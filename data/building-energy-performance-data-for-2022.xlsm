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hidePivotFieldList="1"/>
  <mc:AlternateContent xmlns:mc="http://schemas.openxmlformats.org/markup-compatibility/2006">
    <mc:Choice Requires="x15">
      <x15ac:absPath xmlns:x15ac="http://schemas.microsoft.com/office/spreadsheetml/2010/11/ac" url="D:\VS code files\building_energy_consumption\dataset\singapore_dataset\end_end\data\"/>
    </mc:Choice>
  </mc:AlternateContent>
  <workbookProtection workbookAlgorithmName="SHA-512" workbookHashValue="zrZ3iyr9RIRHOk5npHDW/hM0srcmTxgeVNpXgpL/R64lq558W8UE1N2TV+WT0F1XlXxqEdn9TBMkupCAgMyqrw==" workbookSaltValue="MN/dqz0hPWdQxcjbi78Aog==" workbookSpinCount="100000" lockStructure="1"/>
  <bookViews>
    <workbookView xWindow="-96" yWindow="-96" windowWidth="28992" windowHeight="15792" tabRatio="727" firstSheet="3" activeTab="3"/>
  </bookViews>
  <sheets>
    <sheet name="Building Search" sheetId="10" r:id="rId1"/>
    <sheet name="Benchmarks" sheetId="12" state="hidden" r:id="rId2"/>
    <sheet name="All Buildings" sheetId="7" state="hidden" r:id="rId3"/>
    <sheet name="Commercial Buildings" sheetId="14" r:id="rId4"/>
    <sheet name="Healthcare Facility" sheetId="15" r:id="rId5"/>
    <sheet name="Educational Institution" sheetId="16" r:id="rId6"/>
    <sheet name="Civic, Community &amp; Cultural Ins" sheetId="17" r:id="rId7"/>
    <sheet name="Sports &amp; Recreation Centre" sheetId="18" r:id="rId8"/>
  </sheets>
  <definedNames>
    <definedName name="_xlnm._FilterDatabase" localSheetId="2" hidden="1">'All Buildings'!$A$1:$X$1127</definedName>
    <definedName name="_xlnm._FilterDatabase" localSheetId="0" hidden="1">'Building Search'!$A$2:$AB$1158</definedName>
    <definedName name="_xlnm._FilterDatabase" localSheetId="6" hidden="1">'Civic, Community &amp; Cultural Ins'!$A$1:$V$63</definedName>
    <definedName name="_xlnm._FilterDatabase" localSheetId="3" hidden="1">'Commercial Buildings'!$A$1:$S$1499</definedName>
    <definedName name="_xlnm._FilterDatabase" localSheetId="5" hidden="1">'Educational Institution'!$A$1:$V$146</definedName>
    <definedName name="_xlnm._FilterDatabase" localSheetId="4" hidden="1">'Healthcare Facility'!$A$1:$V$84</definedName>
    <definedName name="_xlnm._FilterDatabase" localSheetId="7" hidden="1">'Sports &amp; Recreation Centre'!$A$1:$V$63</definedName>
    <definedName name="bc">#REF!</definedName>
    <definedName name="EB_Legislation">#REF!</definedName>
    <definedName name="_xlnm.Print_Area" localSheetId="0">'Building Search'!$A$2:$H$12</definedName>
    <definedName name="R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7" l="1"/>
  <c r="U2" i="7"/>
  <c r="S2" i="7"/>
  <c r="S19" i="12"/>
  <c r="S18" i="12"/>
  <c r="S17" i="12"/>
  <c r="S16" i="12"/>
  <c r="S15" i="12"/>
  <c r="S14" i="12"/>
  <c r="K19" i="12"/>
  <c r="K18" i="12"/>
  <c r="K17" i="12"/>
  <c r="K16" i="12"/>
  <c r="K15" i="12"/>
  <c r="K14" i="12"/>
  <c r="C15" i="12"/>
  <c r="C16" i="12"/>
  <c r="C17" i="12"/>
  <c r="C18" i="12"/>
  <c r="C19" i="12"/>
  <c r="C14" i="12"/>
  <c r="B3" i="10" a="1"/>
  <c r="B3" i="10" s="1"/>
  <c r="H13" i="10" l="1"/>
  <c r="H12" i="10"/>
  <c r="H3" i="10"/>
  <c r="H4" i="10"/>
  <c r="H5" i="10"/>
  <c r="H11" i="10"/>
  <c r="H9" i="10"/>
  <c r="H7" i="10"/>
  <c r="H6" i="10"/>
  <c r="H10" i="10"/>
  <c r="H8" i="10"/>
  <c r="U1046" i="7" l="1"/>
  <c r="U1047" i="7" s="1"/>
  <c r="U1048" i="7" s="1"/>
  <c r="U1049" i="7" s="1"/>
  <c r="U1038" i="7"/>
  <c r="U1039" i="7" s="1"/>
  <c r="U1040" i="7" s="1"/>
  <c r="U1041" i="7" s="1"/>
  <c r="U1042" i="7" s="1"/>
  <c r="U1043" i="7" s="1"/>
  <c r="U1044" i="7" s="1"/>
  <c r="U1008" i="7"/>
  <c r="U1009" i="7" s="1"/>
  <c r="U1010" i="7" s="1"/>
  <c r="U1011" i="7" s="1"/>
  <c r="U1012" i="7" s="1"/>
  <c r="U1013" i="7" s="1"/>
  <c r="U1014" i="7" s="1"/>
  <c r="U1015" i="7" s="1"/>
  <c r="U1016" i="7" s="1"/>
  <c r="U1017" i="7" s="1"/>
  <c r="U1018" i="7" s="1"/>
  <c r="U1019" i="7" s="1"/>
  <c r="U1020" i="7" s="1"/>
  <c r="U1021" i="7" s="1"/>
  <c r="U1022" i="7" s="1"/>
  <c r="U1023" i="7" s="1"/>
  <c r="U1024" i="7" s="1"/>
  <c r="U1025" i="7" s="1"/>
  <c r="U1026" i="7" s="1"/>
  <c r="U1027" i="7" s="1"/>
  <c r="U1028" i="7" s="1"/>
  <c r="U1029" i="7" s="1"/>
  <c r="U1030" i="7" s="1"/>
  <c r="U1031" i="7" s="1"/>
  <c r="U1032" i="7" s="1"/>
  <c r="U1033" i="7" s="1"/>
  <c r="U1034" i="7" s="1"/>
  <c r="U1035" i="7" s="1"/>
  <c r="U1036" i="7" s="1"/>
  <c r="U1003" i="7"/>
  <c r="U1004" i="7" s="1"/>
  <c r="U1005" i="7" s="1"/>
  <c r="U1006" i="7" s="1"/>
  <c r="U1095" i="7"/>
  <c r="U1096" i="7" s="1"/>
  <c r="U1097" i="7" s="1"/>
  <c r="U1098" i="7" s="1"/>
  <c r="U1099" i="7" s="1"/>
  <c r="U1100" i="7" s="1"/>
  <c r="U1101" i="7" s="1"/>
  <c r="U1102" i="7" s="1"/>
  <c r="U1103" i="7" s="1"/>
  <c r="U1104" i="7" s="1"/>
  <c r="U1105" i="7" s="1"/>
  <c r="U1106" i="7" s="1"/>
  <c r="U1107" i="7" s="1"/>
  <c r="U1108" i="7" s="1"/>
  <c r="U1074" i="7"/>
  <c r="U1075" i="7" s="1"/>
  <c r="U1076" i="7" s="1"/>
  <c r="U1077" i="7" s="1"/>
  <c r="U1078" i="7" s="1"/>
  <c r="U1079" i="7" s="1"/>
  <c r="U1080" i="7" s="1"/>
  <c r="U1081" i="7" s="1"/>
  <c r="U1082" i="7" s="1"/>
  <c r="U1083" i="7" s="1"/>
  <c r="U1084" i="7" s="1"/>
  <c r="U1085" i="7" s="1"/>
  <c r="U1086" i="7" s="1"/>
  <c r="U1087" i="7" s="1"/>
  <c r="U1088" i="7" s="1"/>
  <c r="U1089" i="7" s="1"/>
  <c r="U1090" i="7" s="1"/>
  <c r="U1091" i="7" s="1"/>
  <c r="U1092" i="7" s="1"/>
  <c r="U1093" i="7" s="1"/>
  <c r="U1110" i="7"/>
  <c r="U1111" i="7" s="1"/>
  <c r="U1112" i="7" s="1"/>
  <c r="U1113" i="7" s="1"/>
  <c r="B859" i="10"/>
  <c r="B858" i="10"/>
  <c r="B857" i="10"/>
  <c r="B856" i="10"/>
  <c r="B855" i="10"/>
  <c r="B854" i="10"/>
  <c r="B853" i="10"/>
  <c r="B852" i="10"/>
  <c r="B851" i="10"/>
  <c r="B850" i="10"/>
  <c r="B849" i="10"/>
  <c r="B848" i="10"/>
  <c r="B847" i="10"/>
  <c r="B846" i="10"/>
  <c r="B845" i="10"/>
  <c r="B844" i="10"/>
  <c r="B843" i="10"/>
  <c r="B842" i="10"/>
  <c r="B841" i="10"/>
  <c r="B840" i="10"/>
  <c r="B839" i="10"/>
  <c r="B838" i="10"/>
  <c r="B837" i="10"/>
  <c r="B836" i="10"/>
  <c r="B835" i="10"/>
  <c r="B834" i="10"/>
  <c r="B833" i="10"/>
  <c r="B832" i="10"/>
  <c r="B831" i="10"/>
  <c r="B830" i="10"/>
  <c r="B829" i="10"/>
  <c r="B828" i="10"/>
  <c r="B827" i="10"/>
  <c r="B826" i="10"/>
  <c r="B825" i="10"/>
  <c r="B824" i="10"/>
  <c r="B823" i="10"/>
  <c r="B822" i="10"/>
  <c r="B821" i="10"/>
  <c r="B820" i="10"/>
  <c r="B819" i="10"/>
  <c r="B818" i="10"/>
  <c r="B817" i="10"/>
  <c r="B816" i="10"/>
  <c r="B815" i="10"/>
  <c r="B814" i="10"/>
  <c r="B813" i="10"/>
  <c r="B812" i="10"/>
  <c r="B811" i="10"/>
  <c r="B810" i="10"/>
  <c r="B809" i="10"/>
  <c r="B808" i="10"/>
  <c r="B807" i="10"/>
  <c r="B806" i="10"/>
  <c r="B805" i="10"/>
  <c r="B804" i="10"/>
  <c r="B803" i="10"/>
  <c r="B802" i="10"/>
  <c r="B801" i="10"/>
  <c r="B800" i="10"/>
  <c r="B799" i="10"/>
  <c r="B798" i="10"/>
  <c r="B797" i="10"/>
  <c r="B796" i="10"/>
  <c r="B795" i="10"/>
  <c r="B794" i="10"/>
  <c r="B793" i="10"/>
  <c r="B792" i="10"/>
  <c r="B791" i="10"/>
  <c r="B790" i="10"/>
  <c r="B789" i="10"/>
  <c r="B788" i="10"/>
  <c r="B787" i="10"/>
  <c r="B786" i="10"/>
  <c r="B785" i="10"/>
  <c r="B784" i="10"/>
  <c r="B783" i="10"/>
  <c r="B782" i="10"/>
  <c r="B781" i="10"/>
  <c r="B780" i="10"/>
  <c r="B779" i="10"/>
  <c r="B778" i="10"/>
  <c r="B777" i="10"/>
  <c r="B776" i="10"/>
  <c r="B775" i="10"/>
  <c r="B774" i="10"/>
  <c r="B773" i="10"/>
  <c r="B772" i="10"/>
  <c r="B771" i="10"/>
  <c r="B770" i="10"/>
  <c r="B769" i="10"/>
  <c r="B768" i="10"/>
  <c r="B767" i="10"/>
  <c r="B766" i="10"/>
  <c r="B765" i="10"/>
  <c r="B764" i="10"/>
  <c r="B763" i="10"/>
  <c r="B762" i="10"/>
  <c r="B761" i="10"/>
  <c r="B760" i="10"/>
  <c r="B759" i="10"/>
  <c r="B758" i="10"/>
  <c r="B757" i="10"/>
  <c r="B756" i="10"/>
  <c r="B755" i="10"/>
  <c r="B754" i="10"/>
  <c r="B753" i="10"/>
  <c r="B752" i="10"/>
  <c r="B751" i="10"/>
  <c r="B750" i="10"/>
  <c r="B749" i="10"/>
  <c r="B748" i="10"/>
  <c r="B747" i="10"/>
  <c r="B746" i="10"/>
  <c r="B745" i="10"/>
  <c r="B744" i="10"/>
  <c r="B743" i="10"/>
  <c r="B742" i="10"/>
  <c r="B741" i="10"/>
  <c r="B740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<sst xmlns="http://schemas.openxmlformats.org/spreadsheetml/2006/main" count="28015" uniqueCount="2664">
  <si>
    <t>Building Name</t>
  </si>
  <si>
    <t>Address</t>
  </si>
  <si>
    <t>AC Type</t>
  </si>
  <si>
    <t>Age  of Chiller</t>
  </si>
  <si>
    <t>Air-con system efficiency (kW/RT)</t>
  </si>
  <si>
    <t>Date of Last Audit/Health Check</t>
  </si>
  <si>
    <t>TOP/CSC Year</t>
  </si>
  <si>
    <t>Main Function</t>
  </si>
  <si>
    <t>Mixed Development</t>
  </si>
  <si>
    <t>Hospital</t>
  </si>
  <si>
    <t>Specialist Clinic</t>
  </si>
  <si>
    <t>Polyclinic/ Private Clinic</t>
  </si>
  <si>
    <t>Retail</t>
  </si>
  <si>
    <t>Community Institution</t>
  </si>
  <si>
    <t>Office</t>
  </si>
  <si>
    <t>TWENTY ANSON</t>
  </si>
  <si>
    <t>20 ANSON ROAD, SINGAPORE 079912</t>
  </si>
  <si>
    <t>Large</t>
  </si>
  <si>
    <t/>
  </si>
  <si>
    <t>Platinum</t>
  </si>
  <si>
    <t>RIVERVALE MALL</t>
  </si>
  <si>
    <t>GoldPlus</t>
  </si>
  <si>
    <t>UNITED SQUARE</t>
  </si>
  <si>
    <t>KINEX</t>
  </si>
  <si>
    <t>11 TANJONG KATONG ROAD, SINGAPORE 437157</t>
  </si>
  <si>
    <t>Gold</t>
  </si>
  <si>
    <t>HPL HOUSE</t>
  </si>
  <si>
    <t>50 CUSCADEN ROAD, SINGAPORE 249724</t>
  </si>
  <si>
    <t>Others</t>
  </si>
  <si>
    <t>Hotel</t>
  </si>
  <si>
    <t>GRACE GLOBAL RAFFLES</t>
  </si>
  <si>
    <t>THE GLOBE</t>
  </si>
  <si>
    <t>100 CECIL STREET, SINGAPORE 069532</t>
  </si>
  <si>
    <t>HIGH STREET PLAZA</t>
  </si>
  <si>
    <t>77 HIGH STREET, SINGAPORE 179433</t>
  </si>
  <si>
    <t>VIVO CITY</t>
  </si>
  <si>
    <t>1 HARBOURFRONT WALK, SINGAPORE 098585</t>
  </si>
  <si>
    <t>CITY PLAZA</t>
  </si>
  <si>
    <t>BEAUTY WORLD CENTRE</t>
  </si>
  <si>
    <t>144 UPPER BUKIT TIMAH ROAD, SINGAPORE 588177</t>
  </si>
  <si>
    <t>OLD HILL STREET POLICE STATION</t>
  </si>
  <si>
    <t>MINISTRY OF MANPOWER SERVICES CENTRE</t>
  </si>
  <si>
    <t>HOTEL ROYAL @ QUEENS</t>
  </si>
  <si>
    <t>12 QUEEN STREET, SINGAPORE 188553</t>
  </si>
  <si>
    <t>50 TIONG BAHRU ROAD, SINGAPORE 168733</t>
  </si>
  <si>
    <t>KECK SENG TOWER</t>
  </si>
  <si>
    <t>133 CECIL STREET, SINGAPORE 069535</t>
  </si>
  <si>
    <t>Certified</t>
  </si>
  <si>
    <t>ONE RAFFLES LINK</t>
  </si>
  <si>
    <t>1 RAFFLES LINK, SINGAPORE 039393</t>
  </si>
  <si>
    <t>THE CONCOURSE</t>
  </si>
  <si>
    <t>300 BEACH ROAD, SINGAPORE 199555</t>
  </si>
  <si>
    <t>AIA ALEXANDRA</t>
  </si>
  <si>
    <t>AIA TOWER</t>
  </si>
  <si>
    <t>ANGLICAN CARE CENTRE (SIMEI)</t>
  </si>
  <si>
    <t>10 SIMEI STREET 3, SINGAPORE 529897</t>
  </si>
  <si>
    <t>Civic, Community &amp; Cultural Institution</t>
  </si>
  <si>
    <t>60 BUANGKOK VIEW, SINGAPORE 534012</t>
  </si>
  <si>
    <t>SAINT ANDREW'S COMMUNITY HOSPITAL</t>
  </si>
  <si>
    <t>8 SIMEI STREET 3, SINGAPORE 529895</t>
  </si>
  <si>
    <t>20 HARBOUR DRIVE, SINGAPORE 117612</t>
  </si>
  <si>
    <t>HARBOURFRONT CENTRE</t>
  </si>
  <si>
    <t>1 MARITIME SQUARE, SINGAPORE 099253</t>
  </si>
  <si>
    <t>HARBOURFRONT TOWER TWO</t>
  </si>
  <si>
    <t>HARBOURFRONT TOWER ONE</t>
  </si>
  <si>
    <t>TAN CHONG TOWER</t>
  </si>
  <si>
    <t>15 QUEEN STREET, SINGAPORE 188537</t>
  </si>
  <si>
    <t>PUBLIC MANSIONS</t>
  </si>
  <si>
    <t>432 BALESTIER ROAD, SINGAPORE 329813</t>
  </si>
  <si>
    <t>RAFFLES HOTEL</t>
  </si>
  <si>
    <t>1 BEACH ROAD, SINGAPORE 189673</t>
  </si>
  <si>
    <t>PIL BUILDING</t>
  </si>
  <si>
    <t>CHINATOWN POINT</t>
  </si>
  <si>
    <t>133 NEW BRIDGE ROAD, SINGAPORE 059413</t>
  </si>
  <si>
    <t>ORCHARD PLAZA</t>
  </si>
  <si>
    <t>150 ORCHARD ROAD, SINGAPORE 238841</t>
  </si>
  <si>
    <t>THE OXLEY</t>
  </si>
  <si>
    <t>9 OXLEY RISE, SINGAPORE 238697</t>
  </si>
  <si>
    <t>SINGAPORE FLYER</t>
  </si>
  <si>
    <t>11 TAMPINES CONCOURSE, SINGAPORE 528729</t>
  </si>
  <si>
    <t>NGEE ANN POLYTECHNIC</t>
  </si>
  <si>
    <t>535 CLEMENTI ROAD, SINGAPORE 599489</t>
  </si>
  <si>
    <t>Educational Institution</t>
  </si>
  <si>
    <t>KK WOMEN'S AND CHILDREN'S HOSPITAL</t>
  </si>
  <si>
    <t>100 BUKIT TIMAH ROAD, SINGAPORE 229899</t>
  </si>
  <si>
    <t>INSTITUTE OF MENTAL HEALTH</t>
  </si>
  <si>
    <t>Private School</t>
  </si>
  <si>
    <t>TEMASEK POLYTECHNIC</t>
  </si>
  <si>
    <t>1 TELOK BLANGAH RISE, SINGAPORE 098888</t>
  </si>
  <si>
    <t>SO SOFITEL SINGAPORE</t>
  </si>
  <si>
    <t>35 ROBINSON ROAD, SINGAPORE 068876</t>
  </si>
  <si>
    <t>SINGAPORE MANUFACTURING FEDERATION BUILDING</t>
  </si>
  <si>
    <t>2985 JALAN BUKIT MERAH, SINGAPORE 159457</t>
  </si>
  <si>
    <t>NATIONAL HEART CENTRE OF SINGAPORE</t>
  </si>
  <si>
    <t>5 HOSPITAL DRIVE, SINGAPORE 169609</t>
  </si>
  <si>
    <t>KWONG WAI SHIU HOSPITAL</t>
  </si>
  <si>
    <t>705 SERANGOON ROAD, SINGAPORE 328127</t>
  </si>
  <si>
    <t>SINGAPORE GENERAL HOSPITAL</t>
  </si>
  <si>
    <t>THE TREASURY</t>
  </si>
  <si>
    <t>100 HIGH STREET, SINGAPORE 179434</t>
  </si>
  <si>
    <t>HOTEL MIRAMAR</t>
  </si>
  <si>
    <t>401 HAVELOCK ROAD, SINGAPORE 169631</t>
  </si>
  <si>
    <t>CHANGI GENERAL HOSPITAL</t>
  </si>
  <si>
    <t>2 SIMEI STREET 3, SINGAPORE 529889</t>
  </si>
  <si>
    <t>2A SIMEI STREET 3, SINGAPORE 529906</t>
  </si>
  <si>
    <t>501 STIRLING ROAD, SINGAPORE 148951</t>
  </si>
  <si>
    <t>GB BUILDING</t>
  </si>
  <si>
    <t>143 CECIL STREET, SINGAPORE 069542</t>
  </si>
  <si>
    <t>SINGAPORE INSTITUTE OF MANAGEMENT</t>
  </si>
  <si>
    <t>41 NAMLY AVENUE, SINGAPORE 267616</t>
  </si>
  <si>
    <t>Univerisity</t>
  </si>
  <si>
    <t>CAMDEN CENTRE</t>
  </si>
  <si>
    <t>KHOO TECK PUAT HOSPITAL</t>
  </si>
  <si>
    <t>NATIONAL CANCER CENTRE</t>
  </si>
  <si>
    <t>NATIONAL DENTAL CENTRE</t>
  </si>
  <si>
    <t>5 SECOND HOSPITAL AVENUE, SINGAPORE 168938</t>
  </si>
  <si>
    <t>NKF CENTRE</t>
  </si>
  <si>
    <t>81 KIM KEAT ROAD, SINGAPORE 328836</t>
  </si>
  <si>
    <t>50 NANYANG VIEW, SINGAPORE 639667</t>
  </si>
  <si>
    <t>60 NANYANG VIEW, SINGAPORE 639673</t>
  </si>
  <si>
    <t>NANYANG TECHNOLOGICAL UNIVERSITY</t>
  </si>
  <si>
    <t>36 NANYANG AVENUE, SINGAPORE 639801</t>
  </si>
  <si>
    <t>42 NANYANG AVENUE, SINGAPORE 639815</t>
  </si>
  <si>
    <t>12 NANYANG HILL, SINGAPORE 637663</t>
  </si>
  <si>
    <t>31 NANYANG LINK, SINGAPORE 637718</t>
  </si>
  <si>
    <t>76 NANYANG DRIVE, SINGAPORE 637331</t>
  </si>
  <si>
    <t>21 NANYANG LINK, SINGAPORE 637371</t>
  </si>
  <si>
    <t>70 NANYANG DRIVE, SINGAPORE 637457</t>
  </si>
  <si>
    <t>81 NANYANG DRIVE, SINGAPORE 637458</t>
  </si>
  <si>
    <t>62 NANYANG DRIVE, SINGAPORE 637459</t>
  </si>
  <si>
    <t>65 NANYANG DRIVE, SINGAPORE 637460</t>
  </si>
  <si>
    <t>60 NANYANG DRIVE, SINGAPORE 637551</t>
  </si>
  <si>
    <t>50 NANYANG DRIVE, SINGAPORE 637553</t>
  </si>
  <si>
    <t>Recreation Club</t>
  </si>
  <si>
    <t>Sports &amp; Recreation Centre</t>
  </si>
  <si>
    <t>52 NANYANG AVENUE, SINGAPORE 639816</t>
  </si>
  <si>
    <t>11 MANDALAY ROAD, SINGAPORE 308232</t>
  </si>
  <si>
    <t>WHEELOCK PLACE</t>
  </si>
  <si>
    <t>501 ORCHARD ROAD, SINGAPORE 238880</t>
  </si>
  <si>
    <t>CLIFFORD CENTRE</t>
  </si>
  <si>
    <t>313 @ SOMERSET</t>
  </si>
  <si>
    <t>313 ORCHARD ROAD, SINGAPORE 238895</t>
  </si>
  <si>
    <t>SINGAPORE LAND TOWER</t>
  </si>
  <si>
    <t>50 RAFFLES PLACE, SINGAPORE 048623</t>
  </si>
  <si>
    <t>CPF BISHAN BUILDING</t>
  </si>
  <si>
    <t>3 BISHAN PLACE, SINGAPORE 579838</t>
  </si>
  <si>
    <t>CPF TAMPINES BUILDING</t>
  </si>
  <si>
    <t>1 TAMPINES CENTRAL 5, SINGAPORE 529508</t>
  </si>
  <si>
    <t>TOKIO MARINE CENTRE</t>
  </si>
  <si>
    <t>20 MCCALLUM STREET, SINGAPORE 069046</t>
  </si>
  <si>
    <t>1 RAFFLES QUAY, SINGAPORE 048583</t>
  </si>
  <si>
    <t>HIGH STREET CENTRE</t>
  </si>
  <si>
    <t>MUSTAFA CENTRE</t>
  </si>
  <si>
    <t>BOON SIEW BUILDING</t>
  </si>
  <si>
    <t>75 BUKIT TIMAH ROAD, SINGAPORE 229833</t>
  </si>
  <si>
    <t>GERMAN CENTRE</t>
  </si>
  <si>
    <t>MITSUBISHI ELECTRIC BUILDING</t>
  </si>
  <si>
    <t>307 ALEXANDRA ROAD, SINGAPORE 159943</t>
  </si>
  <si>
    <t>96 SOMERSET ROAD, SINGAPORE 238163</t>
  </si>
  <si>
    <t>SOUTHPOINT</t>
  </si>
  <si>
    <t>200 CANTONMENT ROAD, SINGAPORE 089763</t>
  </si>
  <si>
    <t>MANDARIN ORCHARD SINGAPORE</t>
  </si>
  <si>
    <t>ORCHARD TOWERS</t>
  </si>
  <si>
    <t>PARKVIEW SQUARE</t>
  </si>
  <si>
    <t>600 NORTH BRIDGE ROAD, SINGAPORE 188778</t>
  </si>
  <si>
    <t>FAR EAST FINANCE BUILDING</t>
  </si>
  <si>
    <t>14 ROBINSON ROAD, SINGAPORE 048545</t>
  </si>
  <si>
    <t>BCA BRADDELL CAMPUS</t>
  </si>
  <si>
    <t>200 BRADDELL ROAD, SINGAPORE 579700</t>
  </si>
  <si>
    <t>MARINA BAY SANDS</t>
  </si>
  <si>
    <t>1 BAYFRONT AVENUE, SINGAPORE 018971</t>
  </si>
  <si>
    <t>2 BAYFRONT AVENUE, SINGAPORE 018972</t>
  </si>
  <si>
    <t>8 BAYFRONT AVENUE, SINGAPORE 018955</t>
  </si>
  <si>
    <t>10 BAYFRONT AVENUE, SINGAPORE 018956</t>
  </si>
  <si>
    <t>KATONG PLAZA</t>
  </si>
  <si>
    <t>1 BROOKE ROAD, SINGAPORE 429979</t>
  </si>
  <si>
    <t>SGX CENTRE I</t>
  </si>
  <si>
    <t>2 SHENTON WAY, SINGAPORE 068804</t>
  </si>
  <si>
    <t>SGX CENTRE II</t>
  </si>
  <si>
    <t>4 SHENTON WAY, SINGAPORE 068807</t>
  </si>
  <si>
    <t>PALAIS RENAISSANCE</t>
  </si>
  <si>
    <t>390 ORCHARD ROAD, SINGAPORE 238871</t>
  </si>
  <si>
    <t>6 RAFFLES QUAY, SINGAPORE 048580</t>
  </si>
  <si>
    <t>501 OLD CHOA CHU KANG ROAD, SINGAPORE 698928</t>
  </si>
  <si>
    <t>IBIS SINGAPORE NOVENA</t>
  </si>
  <si>
    <t>6 IRRAWADDY ROAD, SINGAPORE 329543</t>
  </si>
  <si>
    <t>KATONG SHOPPING CENTRE</t>
  </si>
  <si>
    <t>865 MOUNTBATTEN ROAD, SINGAPORE 437844</t>
  </si>
  <si>
    <t>ROYAL MERUKH S.E.A</t>
  </si>
  <si>
    <t>PARK REGIS SINGAPORE</t>
  </si>
  <si>
    <t>23 MERCHANT ROAD, SINGAPORE 058268</t>
  </si>
  <si>
    <t>WISMA ATRIA</t>
  </si>
  <si>
    <t>30 BENCOOLEN</t>
  </si>
  <si>
    <t>30 BENCOOLEN STREET, SINGAPORE 189621</t>
  </si>
  <si>
    <t>FORUM</t>
  </si>
  <si>
    <t>583 ORCHARD ROAD, SINGAPORE 238884</t>
  </si>
  <si>
    <t>MANDARIN ORIENTAL, SINGAPORE</t>
  </si>
  <si>
    <t>5 RAFFLES AVENUE, SINGAPORE 039797</t>
  </si>
  <si>
    <t>QUEENSWAY SHOPPING CENTRE/QUEENSWAY TOWER</t>
  </si>
  <si>
    <t>1 QUEENSWAY, SINGAPORE 149053</t>
  </si>
  <si>
    <t>FU LU SHOU COMPLEX</t>
  </si>
  <si>
    <t>149 ROCHOR ROAD, SINGAPORE 188425</t>
  </si>
  <si>
    <t>PEACE CENTRE</t>
  </si>
  <si>
    <t>SEACARE BUILDING</t>
  </si>
  <si>
    <t>52 CHIN SWEE ROAD, SINGAPORE 169875</t>
  </si>
  <si>
    <t>8 INTERNATIONAL BUSINESS PARK, SINGAPORE 609925</t>
  </si>
  <si>
    <t>10 MARINA BOULEVARD, SINGAPORE 018983</t>
  </si>
  <si>
    <t>MARINA BAY LINK MALL</t>
  </si>
  <si>
    <t>8A MARINA BOULEVARD, SINGAPORE 018984</t>
  </si>
  <si>
    <t>8 MARINA BOULEVARD, SINGAPORE 018981</t>
  </si>
  <si>
    <t>321 CLEMENTI</t>
  </si>
  <si>
    <t>RELC BUILDING</t>
  </si>
  <si>
    <t>30 ORANGE GROVE ROAD, SINGAPORE 258352</t>
  </si>
  <si>
    <t>PEK CHUAN BUILDING</t>
  </si>
  <si>
    <t>116 LAVENDER STREET, SINGAPORE 338730</t>
  </si>
  <si>
    <t>WINSLAND HOUSE II</t>
  </si>
  <si>
    <t>WINSLAND HOUSE I</t>
  </si>
  <si>
    <t>3 KILLINEY ROAD, SINGAPORE 239519</t>
  </si>
  <si>
    <t>RB CAPITAL BUILDING</t>
  </si>
  <si>
    <t>22 MALACCA STREET, SINGAPORE 048980</t>
  </si>
  <si>
    <t>PARK HOTEL CLARKE QUAY</t>
  </si>
  <si>
    <t>1 UNITY STREET, SINGAPORE 237983</t>
  </si>
  <si>
    <t>GRAND PARK CITY HALL</t>
  </si>
  <si>
    <t>ROBINSON 112</t>
  </si>
  <si>
    <t>112 ROBINSON ROAD, SINGAPORE 068902</t>
  </si>
  <si>
    <t>MAXWELL HOUSE</t>
  </si>
  <si>
    <t>RENDEZVOUS HOTEL SINGAPORE</t>
  </si>
  <si>
    <t>9 BRAS BASAH ROAD, SINGAPORE 189559</t>
  </si>
  <si>
    <t>PACIFIC PLAZA</t>
  </si>
  <si>
    <t>9 SCOTTS ROAD, SINGAPORE 228210</t>
  </si>
  <si>
    <t>THE ELIZABETH</t>
  </si>
  <si>
    <t>ORCHARD RENDEZVOUS HOTEL, SINGAPORE</t>
  </si>
  <si>
    <t>1 TANGLIN ROAD, SINGAPORE 247905</t>
  </si>
  <si>
    <t>SUPREME COURT BUILDING</t>
  </si>
  <si>
    <t>1 SUPREME COURT LANE, SINGAPORE 178879</t>
  </si>
  <si>
    <t>12 COLLEGE ROAD, SINGAPORE 169852</t>
  </si>
  <si>
    <t>14 COLLEGE ROAD, SINGAPORE 169853</t>
  </si>
  <si>
    <t>COLLEGE OF MEDICINE BUILDING</t>
  </si>
  <si>
    <t>16 COLLEGE ROAD, SINGAPORE 169854</t>
  </si>
  <si>
    <t>TAN TECK GUAN BUILDING</t>
  </si>
  <si>
    <t>16A COLLEGE ROAD, SINGAPORE 169855</t>
  </si>
  <si>
    <t>8A COLLEGE ROAD, SINGAPORE 169858</t>
  </si>
  <si>
    <t>BANK OF CHINA BUILDING</t>
  </si>
  <si>
    <t>4 BATTERY ROAD, SINGAPORE 049908</t>
  </si>
  <si>
    <t>HONG LEONG BUILDING</t>
  </si>
  <si>
    <t>16 RAFFLES QUAY, SINGAPORE 048581</t>
  </si>
  <si>
    <t>20 COLLYER QUAY</t>
  </si>
  <si>
    <t>20 COLLYER QUAY, SINGAPORE 049319</t>
  </si>
  <si>
    <t>158 CECIL STREET, SINGAPORE 069545</t>
  </si>
  <si>
    <t>MEWAH BUILDING</t>
  </si>
  <si>
    <t>5 INTERNATIONAL BUSINESS PARK, SINGAPORE 609914</t>
  </si>
  <si>
    <t>CONCORDE SHOPPING CENTRE</t>
  </si>
  <si>
    <t>317 OUTRAM ROAD, SINGAPORE 169075</t>
  </si>
  <si>
    <t>TANGLIN MALL</t>
  </si>
  <si>
    <t>THE SIGNATURE</t>
  </si>
  <si>
    <t>51 CHANGI BUSINESS PARK CENTRAL 2, SINGAPORE 486066</t>
  </si>
  <si>
    <t>TANGLIN SHOPPING CENTRE</t>
  </si>
  <si>
    <t>19 TANGLIN ROAD, SINGAPORE 247909</t>
  </si>
  <si>
    <t>CENTRAL SQUARE</t>
  </si>
  <si>
    <t>ITE COLLEGE CENTRAL</t>
  </si>
  <si>
    <t>2 ANG MO KIO DRIVE, SINGAPORE 567720</t>
  </si>
  <si>
    <t>ITE COLLEGE EAST</t>
  </si>
  <si>
    <t>38 IRRAWADDY ROAD, SINGAPORE 329563</t>
  </si>
  <si>
    <t>22 MOUNT ELIZABETH, SINGAPORE 228517</t>
  </si>
  <si>
    <t>SIM LIM SQUARE</t>
  </si>
  <si>
    <t>1 ROCHOR CANAL ROAD, SINGAPORE 188504</t>
  </si>
  <si>
    <t>AMARA SINGAPORE</t>
  </si>
  <si>
    <t>HOTEL FORT CANNING</t>
  </si>
  <si>
    <t>PLAZA SINGAPURA</t>
  </si>
  <si>
    <t>68 ORCHARD ROAD, SINGAPORE 238839</t>
  </si>
  <si>
    <t>THE ATRIUM @ ORCHARD</t>
  </si>
  <si>
    <t>60 ORCHARD ROAD, SINGAPORE 238889</t>
  </si>
  <si>
    <t>GRAND HYATT SINGAPORE</t>
  </si>
  <si>
    <t>10 SCOTTS ROAD, SINGAPORE 228211</t>
  </si>
  <si>
    <t>SAMSUNG HUB</t>
  </si>
  <si>
    <t>ION ORCHARD</t>
  </si>
  <si>
    <t>2 ORCHARD TURN, SINGAPORE 238801</t>
  </si>
  <si>
    <t>ST. REGIS HOTEL SINGAPORE</t>
  </si>
  <si>
    <t>29 TANGLIN ROAD, SINGAPORE 247911</t>
  </si>
  <si>
    <t>STAMFORD COURT</t>
  </si>
  <si>
    <t>61 STAMFORD ROAD, SINGAPORE 178892</t>
  </si>
  <si>
    <t>HOLIDAY INN EXPRESS SINGAPORE CLARKE QUAY</t>
  </si>
  <si>
    <t>2 MAGAZINE ROAD, SINGAPORE 059573</t>
  </si>
  <si>
    <t>THE CRIMSON</t>
  </si>
  <si>
    <t>31 SCIENCE PARK ROAD, SINGAPORE 117611</t>
  </si>
  <si>
    <t>CITY HOUSE</t>
  </si>
  <si>
    <t>SHANGRI-LA HOTEL</t>
  </si>
  <si>
    <t>22 ORANGE GROVE ROAD, SINGAPORE 258350</t>
  </si>
  <si>
    <t>ITE COLLEGE WEST</t>
  </si>
  <si>
    <t>1 CHOA CHU KANG GROVE, SINGAPORE 688236</t>
  </si>
  <si>
    <t>OCBC CENTRE</t>
  </si>
  <si>
    <t>65 CHULIA STREET, SINGAPORE 049513</t>
  </si>
  <si>
    <t>63 CHULIA STREET, SINGAPORE 049514</t>
  </si>
  <si>
    <t>OCBC CENTRE SOUTH</t>
  </si>
  <si>
    <t>18 CHURCH STREET, SINGAPORE 049479</t>
  </si>
  <si>
    <t>YISHUN 10 CINEMA COMPLEX</t>
  </si>
  <si>
    <t>51 YISHUN CENTRAL 1, SINGAPORE 768794</t>
  </si>
  <si>
    <t>1010 DOVER ROAD, SINGAPORE 139658</t>
  </si>
  <si>
    <t>DAS SPEKTRUM@CBP</t>
  </si>
  <si>
    <t>SUN PLAZA</t>
  </si>
  <si>
    <t>30 SEMBAWANG DRIVE, SINGAPORE 757713</t>
  </si>
  <si>
    <t>79 ANSON ROAD, SINGAPORE 079906</t>
  </si>
  <si>
    <t>142 MOULMEIN ROAD, SINGAPORE 308087</t>
  </si>
  <si>
    <t>TUBERCULOSIS CONTROL UNIT</t>
  </si>
  <si>
    <t>144 MOULMEIN ROAD, SINGAPORE 308089</t>
  </si>
  <si>
    <t>TAN TOCK SENG HOSPITAL</t>
  </si>
  <si>
    <t>11 JALAN TAN TOCK SENG, SINGAPORE 308433</t>
  </si>
  <si>
    <t>7 JALAN TAN TOCK SENG, SINGAPORE 308440</t>
  </si>
  <si>
    <t>STANDARD CHARTERED @ CHANGI 2</t>
  </si>
  <si>
    <t>9 CHANGI BUSINESS PARK CRESCENT, SINGAPORE 486005</t>
  </si>
  <si>
    <t>STANDARD CHARTERED @ CHANGI</t>
  </si>
  <si>
    <t>7 CHANGI BUSINESS PARK CRESCENT, SINGAPORE 486028</t>
  </si>
  <si>
    <t>HOTEL ROYAL</t>
  </si>
  <si>
    <t>36 NEWTON ROAD, SINGAPORE 307964</t>
  </si>
  <si>
    <t>BHARAT BUILDING</t>
  </si>
  <si>
    <t>LOT ONE, SHOPPERS' MALL</t>
  </si>
  <si>
    <t>MIWORLD</t>
  </si>
  <si>
    <t>9 INTERNATIONAL BUSINESS PARK, SINGAPORE 609915</t>
  </si>
  <si>
    <t>10 INTERNATIONAL BUSINESS PARK, SINGAPORE 609928</t>
  </si>
  <si>
    <t>CARLTON HOTEL</t>
  </si>
  <si>
    <t>76 BRAS BASAH ROAD, SINGAPORE 189558</t>
  </si>
  <si>
    <t>ORCHID HOTEL</t>
  </si>
  <si>
    <t>1 TRAS LINK, SINGAPORE 078867</t>
  </si>
  <si>
    <t>22 CAVENAGH ROAD, SINGAPORE 229617</t>
  </si>
  <si>
    <t>HOTEL CHANCELLOR @ ORCHARD</t>
  </si>
  <si>
    <t>28 CAVENAGH ROAD, SINGAPORE 229635</t>
  </si>
  <si>
    <t>PARKROYAL COLLECTION PICKERING, SINGAPORE</t>
  </si>
  <si>
    <t>YEW TEE SQUARE</t>
  </si>
  <si>
    <t>WESTGATE TOWER</t>
  </si>
  <si>
    <t>WESTGATE</t>
  </si>
  <si>
    <t>3 GATEWAY DRIVE, SINGAPORE 608532</t>
  </si>
  <si>
    <t>THE MENDEL</t>
  </si>
  <si>
    <t>12 SCIENCE PARK DRIVE, SINGAPORE 118225</t>
  </si>
  <si>
    <t>14 SCIENCE PARK DRIVE, SINGAPORE 118226</t>
  </si>
  <si>
    <t>75 SCIENCE PARK DRIVE, SINGAPORE 118255</t>
  </si>
  <si>
    <t>OASIS</t>
  </si>
  <si>
    <t>THE RUTHERFORD</t>
  </si>
  <si>
    <t>CINTECH IV</t>
  </si>
  <si>
    <t>16 SCIENCE PARK DRIVE, SINGAPORE 118227</t>
  </si>
  <si>
    <t>THOMSON PLAZA</t>
  </si>
  <si>
    <t>301 UPPER THOMSON ROAD, SINGAPORE 574408</t>
  </si>
  <si>
    <t>CURRENCY HOUSE</t>
  </si>
  <si>
    <t>109 PASIR PANJANG ROAD, SINGAPORE 118536</t>
  </si>
  <si>
    <t>MAS BUILDING</t>
  </si>
  <si>
    <t>10 SHENTON WAY, SINGAPORE 079117</t>
  </si>
  <si>
    <t>TAMPINES PLAZA 1</t>
  </si>
  <si>
    <t>3 TAMPINES CENTRAL 1, SINGAPORE 529540</t>
  </si>
  <si>
    <t>TAMPINES PLAZA 2</t>
  </si>
  <si>
    <t>5 TAMPINES CENTRAL 1, SINGAPORE 529541</t>
  </si>
  <si>
    <t>FOUR POINTS BY SHERATON SINGAPORE, RIVERVIEW</t>
  </si>
  <si>
    <t>382 HAVELOCK ROAD, SINGAPORE 169629</t>
  </si>
  <si>
    <t>HEALTH SCIENCES AUTHORITY BUILDING</t>
  </si>
  <si>
    <t>11 OUTRAM ROAD, SINGAPORE 169078</t>
  </si>
  <si>
    <t>8 ON CLAYMORE</t>
  </si>
  <si>
    <t>8 CLAYMORE HILL, SINGAPORE 229572</t>
  </si>
  <si>
    <t>KATONG SQUARE</t>
  </si>
  <si>
    <t>71 ROBINSON ROAD, SINGAPORE 068895</t>
  </si>
  <si>
    <t>CHIJMES</t>
  </si>
  <si>
    <t>30 VICTORIA STREET, SINGAPORE 187996</t>
  </si>
  <si>
    <t>ORCHARD GATEWAY</t>
  </si>
  <si>
    <t>277 ORCHARD ROAD, SINGAPORE 238858</t>
  </si>
  <si>
    <t>DBS ASIA HUB</t>
  </si>
  <si>
    <t>LAND TRANSPORT AUTHORITY</t>
  </si>
  <si>
    <t>1 HAMPSHIRE ROAD, SINGAPORE 219428</t>
  </si>
  <si>
    <t>MRTC HEADQUARTERS</t>
  </si>
  <si>
    <t>251 NORTH BRIDGE ROAD, SINGAPORE 179102</t>
  </si>
  <si>
    <t>BEACH CENTRE</t>
  </si>
  <si>
    <t>GOLDEN MILE COMPLEX</t>
  </si>
  <si>
    <t>NANYANG POLYTECHNIC</t>
  </si>
  <si>
    <t>ORCHARD HOTEL SINGAPORE</t>
  </si>
  <si>
    <t>442 ORCHARD ROAD, SINGAPORE 238879</t>
  </si>
  <si>
    <t>CENTRAL PLAZA</t>
  </si>
  <si>
    <t>298 TIONG BAHRU ROAD, SINGAPORE 168730</t>
  </si>
  <si>
    <t>TIONG BAHRU PLAZA</t>
  </si>
  <si>
    <t>302 TIONG BAHRU ROAD, SINGAPORE 168732</t>
  </si>
  <si>
    <t>BRITISH CLUB</t>
  </si>
  <si>
    <t>73 BUKIT TINGGI ROAD, SINGAPORE 289761</t>
  </si>
  <si>
    <t>THE JAPANESE ASSOCIATION, SINGAPORE</t>
  </si>
  <si>
    <t>120 ADAM ROAD, SINGAPORE 289899</t>
  </si>
  <si>
    <t>SEMBAWANG COUNTRY CLUB</t>
  </si>
  <si>
    <t>32 JURONG PORT ROAD, SINGAPORE 619104</t>
  </si>
  <si>
    <t>Cultural Institution</t>
  </si>
  <si>
    <t>NATIONAL MUSEUM OF SINGAPORE</t>
  </si>
  <si>
    <t>93 STAMFORD ROAD, SINGAPORE 178897</t>
  </si>
  <si>
    <t>NATIONAL SERVICE RESORT &amp; COUNTRY CLUB</t>
  </si>
  <si>
    <t>10 CHANGI COAST WALK, SINGAPORE 499739</t>
  </si>
  <si>
    <t>ARANDA COUNTRY CLUB</t>
  </si>
  <si>
    <t>10 TUAS WEST DRIVE, SINGAPORE 638404</t>
  </si>
  <si>
    <t>SINGAPORE CONFERENCE HALL</t>
  </si>
  <si>
    <t>LIONS HOME FOR THE ELDERS (BISHAN)</t>
  </si>
  <si>
    <t>9 BISHAN STREET 13, SINGAPORE 579804</t>
  </si>
  <si>
    <t>2 BUKIT BATOK WEST AVENUE 7, SINGAPORE 659003</t>
  </si>
  <si>
    <t>SAFRA COUNTRY CLUB (YISHUN)</t>
  </si>
  <si>
    <t>12 MARINA BOULEVARD, SINGAPORE 018982</t>
  </si>
  <si>
    <t>50 NEO TIEW LANE 3, SINGAPORE 718828</t>
  </si>
  <si>
    <t>CHINESE SWIMMING CLUB</t>
  </si>
  <si>
    <t>21 AMBER ROAD, SINGAPORE 439870</t>
  </si>
  <si>
    <t>Sports Complex</t>
  </si>
  <si>
    <t>SINGAPORE SCIENCE CENTRE</t>
  </si>
  <si>
    <t>9 VERNON PARK, SINGAPORE 367828</t>
  </si>
  <si>
    <t>Civic Institution</t>
  </si>
  <si>
    <t>TRAFFIC POLICE HEADQUARTERS</t>
  </si>
  <si>
    <t>10 UBI AVENUE 3, SINGAPORE 408865</t>
  </si>
  <si>
    <t>517 AIRPORT ROAD, SINGAPORE 539942</t>
  </si>
  <si>
    <t>SINGAPORE POLO CLUB</t>
  </si>
  <si>
    <t>80 MOUNT PLEASANT ROAD, SINGAPORE 298334</t>
  </si>
  <si>
    <t>MAYBANK TOWER</t>
  </si>
  <si>
    <t>2 BATTERY ROAD, SINGAPORE 049907</t>
  </si>
  <si>
    <t>ONE15 MARINA CLUB</t>
  </si>
  <si>
    <t>11 COVE DRIVE, SINGAPORE 098497</t>
  </si>
  <si>
    <t>NATIONAL SKIN CENTRE</t>
  </si>
  <si>
    <t>1 MANDALAY ROAD, SINGAPORE 308205</t>
  </si>
  <si>
    <t>M HOTEL</t>
  </si>
  <si>
    <t>81 ANSON ROAD, SINGAPORE 079908</t>
  </si>
  <si>
    <t>RAMAKRISHNA MISSION BOYS' HOME</t>
  </si>
  <si>
    <t>179 BARTLEY ROAD, SINGAPORE 539784</t>
  </si>
  <si>
    <t>310 ORCHARD ROAD, SINGAPORE 238864</t>
  </si>
  <si>
    <t>SINGAPORE ISLAND COUNTRY CLUB</t>
  </si>
  <si>
    <t>240 SIME ROAD, SINGAPORE 288303</t>
  </si>
  <si>
    <t>ISLAND GOLF CLUB</t>
  </si>
  <si>
    <t>180 ISLAND CLUB ROAD, SINGAPORE 578774</t>
  </si>
  <si>
    <t>LINK@896</t>
  </si>
  <si>
    <t>896 DUNEARN ROAD, SINGAPORE 589472</t>
  </si>
  <si>
    <t>SINGAPORE RECREATION CLUB</t>
  </si>
  <si>
    <t>B CONNAUGHT DRIVE, SINGAPORE 179682</t>
  </si>
  <si>
    <t>CI YUAN COMMUNITY CLUB</t>
  </si>
  <si>
    <t>3 STADIUM DRIVE, SINGAPORE 397630</t>
  </si>
  <si>
    <t>KALLANG INDOOR STADIUM</t>
  </si>
  <si>
    <t>CLUB CSC @ TESSENSOHN</t>
  </si>
  <si>
    <t>CLUB CSC @ BUKIT BATOK</t>
  </si>
  <si>
    <t>91 BUKIT BATOK WEST AVENUE 2, SINGAPORE 659206</t>
  </si>
  <si>
    <t>CLUB CSC @ CHANGI</t>
  </si>
  <si>
    <t>2 NETHERAVON ROAD, SINGAPORE 508503</t>
  </si>
  <si>
    <t>TANJONG PAGAR CENTRE</t>
  </si>
  <si>
    <t>70 JALAN BAHTERA, SINGAPORE 719921</t>
  </si>
  <si>
    <t>SAF YACHT CLUB</t>
  </si>
  <si>
    <t>43 ADMIRALTY ROAD WEST, SINGAPORE 759962</t>
  </si>
  <si>
    <t>MANULIFE TOWER</t>
  </si>
  <si>
    <t>8 CROSS STREET, SINGAPORE 048424</t>
  </si>
  <si>
    <t>OCEAN FINANCIAL CENTRE</t>
  </si>
  <si>
    <t>STATE COURTS</t>
  </si>
  <si>
    <t>1 HAVELOCK SQUARE, SINGAPORE 059724</t>
  </si>
  <si>
    <t>MARINA SQUARE</t>
  </si>
  <si>
    <t>6 RAFFLES BOULEVARD, SINGAPORE 039594</t>
  </si>
  <si>
    <t>HOTEL G SINGAPORE</t>
  </si>
  <si>
    <t>200 MIDDLE ROAD, SINGAPORE 188980</t>
  </si>
  <si>
    <t>HILTON GARDEN INN SINGAPORE SERANGOON</t>
  </si>
  <si>
    <t>SLF BUILDING</t>
  </si>
  <si>
    <t>MSF BUILDING</t>
  </si>
  <si>
    <t>GOOD SHEPHERD PLACE</t>
  </si>
  <si>
    <t>9 LORONG 8 TOA PAYOH, SINGAPORE 319253</t>
  </si>
  <si>
    <t>TECHSQ</t>
  </si>
  <si>
    <t>722 UPPER CHANGI ROAD EAST, SINGAPORE 486854</t>
  </si>
  <si>
    <t>HAVELOCK2</t>
  </si>
  <si>
    <t>2 HAVELOCK ROAD, SINGAPORE 059763</t>
  </si>
  <si>
    <t>MARINE PARADE COMMUNITY CENTRE</t>
  </si>
  <si>
    <t>NOVENA SQUARE</t>
  </si>
  <si>
    <t>238 THOMSON ROAD, SINGAPORE 307683</t>
  </si>
  <si>
    <t>238A THOMSON ROAD, SINGAPORE 307684</t>
  </si>
  <si>
    <t>238B THOMSON ROAD, SINGAPORE 307685</t>
  </si>
  <si>
    <t>NEW PHOENIX PARK</t>
  </si>
  <si>
    <t>28 IRRAWADDY ROAD, SINGAPORE 329560</t>
  </si>
  <si>
    <t>38 BENCOOLEN STREET, SINGAPORE 189654</t>
  </si>
  <si>
    <t>80 BENCOOLEN STREET, SINGAPORE 189655</t>
  </si>
  <si>
    <t>151 BENCOOLEN STREET, SINGAPORE 189656</t>
  </si>
  <si>
    <t>1 AVIATION DRIVE, SINGAPORE 499867</t>
  </si>
  <si>
    <t>205 JALAN KAYU, SINGAPORE 799436</t>
  </si>
  <si>
    <t>THONG TECK HOME FOR SENIOR CITIZENS</t>
  </si>
  <si>
    <t>THE ORIENTAL PLAZA</t>
  </si>
  <si>
    <t>291 NEW BRIDGE ROAD, SINGAPORE 088756</t>
  </si>
  <si>
    <t>SHAW CENTRE</t>
  </si>
  <si>
    <t>1 SCOTTS ROAD, SINGAPORE 228208</t>
  </si>
  <si>
    <t>SHAW HOUSE</t>
  </si>
  <si>
    <t>350 ORCHARD ROAD, SINGAPORE 238868</t>
  </si>
  <si>
    <t>PARKROYAL ON KITCHENER ROAD</t>
  </si>
  <si>
    <t>181 KITCHENER ROAD, SINGAPORE 208533</t>
  </si>
  <si>
    <t>GOODWOOD PARK HOTEL</t>
  </si>
  <si>
    <t>51 IMBIAH WALK, SINGAPORE 099538</t>
  </si>
  <si>
    <t>9 KENT RIDGE DRIVE, SINGAPORE 119241</t>
  </si>
  <si>
    <t>SINGAPORE EXPO</t>
  </si>
  <si>
    <t>SWIBER@IBP</t>
  </si>
  <si>
    <t>ST. ANDREW'S NURSING HOME (HENDERSON)</t>
  </si>
  <si>
    <t>303 HENDERSON ROAD, SINGAPORE 108925</t>
  </si>
  <si>
    <t>190 KENG LEE ROAD, SINGAPORE 308409</t>
  </si>
  <si>
    <t>SOOKEE HQ</t>
  </si>
  <si>
    <t>7 CHANGI BUSINESS PARK VISTA, SINGAPORE 486042</t>
  </si>
  <si>
    <t>510 DOVER ROAD, SINGAPORE 139660</t>
  </si>
  <si>
    <t>SAINT JOSEPH'S HOME</t>
  </si>
  <si>
    <t>36 JURONG WEST STREET 24, SINGAPORE 648141</t>
  </si>
  <si>
    <t>THONG CHAI BUILDING</t>
  </si>
  <si>
    <t>50 CHIN SWEE ROAD, SINGAPORE 169874</t>
  </si>
  <si>
    <t>SPD ABILITY CENTRE</t>
  </si>
  <si>
    <t>2 PENG NGUAN STREET, SINGAPORE 168955</t>
  </si>
  <si>
    <t>UPPER SERANGOON SHOPPING CENTRE</t>
  </si>
  <si>
    <t>RAFFLES HOLLAND V</t>
  </si>
  <si>
    <t>118 HOLLAND AVENUE, SINGAPORE 278997</t>
  </si>
  <si>
    <t>CONNEXIS</t>
  </si>
  <si>
    <t>SYMBIOSIS</t>
  </si>
  <si>
    <t>HELIOS</t>
  </si>
  <si>
    <t>11 BIOPOLIS WAY, SINGAPORE 138667</t>
  </si>
  <si>
    <t>CENTROS</t>
  </si>
  <si>
    <t>20 BIOPOLIS WAY, SINGAPORE 138668</t>
  </si>
  <si>
    <t>NANOS</t>
  </si>
  <si>
    <t>31 BIOPOLIS WAY, SINGAPORE 138669</t>
  </si>
  <si>
    <t>CHROMOS</t>
  </si>
  <si>
    <t>10 BIOPOLIS ROAD, SINGAPORE 138670</t>
  </si>
  <si>
    <t>MATRIX</t>
  </si>
  <si>
    <t>30 BIOPOLIS STREET, SINGAPORE 138671</t>
  </si>
  <si>
    <t>GENOME</t>
  </si>
  <si>
    <t>60 BIOPOLIS STREET, SINGAPORE 138672</t>
  </si>
  <si>
    <t>PROTEOS</t>
  </si>
  <si>
    <t>61 BIOPOLIS DRIVE, SINGAPORE 138673</t>
  </si>
  <si>
    <t>PIXEL</t>
  </si>
  <si>
    <t>SINGAPORE MARRIOTT TANG PLAZA HOTEL</t>
  </si>
  <si>
    <t>320 ORCHARD ROAD, SINGAPORE 238865</t>
  </si>
  <si>
    <t>CHANGI EXHIBITION CENTRE</t>
  </si>
  <si>
    <t>COMPASS ONE</t>
  </si>
  <si>
    <t>1 SENGKANG SQUARE, SINGAPORE 545078</t>
  </si>
  <si>
    <t>NTUC HEALTH (GEYLANG EAST)</t>
  </si>
  <si>
    <t>25 GEYLANG EAST CENTRAL, SINGAPORE 389708</t>
  </si>
  <si>
    <t>JAMIYAH NURSING HOME</t>
  </si>
  <si>
    <t>ST. ANDREW'S NURSING HOME (QUEENSTOWN)</t>
  </si>
  <si>
    <t>OXLEY @ RAFFLES</t>
  </si>
  <si>
    <t>30 RAFFLES PLACE, SINGAPORE 048622</t>
  </si>
  <si>
    <t>SAFRA CLUBHOUSE (TOA PAYOH)</t>
  </si>
  <si>
    <t>SUNSHINE PLAZA</t>
  </si>
  <si>
    <t>10 PRINSEP LINK, SINGAPORE 187948</t>
  </si>
  <si>
    <t>HEARTLAND MALL- KOVAN</t>
  </si>
  <si>
    <t>205 HOUGANG STREET 21, SINGAPORE 530205</t>
  </si>
  <si>
    <t>INTERNATIONAL PLAZA</t>
  </si>
  <si>
    <t>COPTHORNE KING'S HOTEL</t>
  </si>
  <si>
    <t>403 HAVELOCK ROAD, SINGAPORE 169632</t>
  </si>
  <si>
    <t>TONG ENG BUILDING</t>
  </si>
  <si>
    <t>101 CECIL STREET, SINGAPORE 069533</t>
  </si>
  <si>
    <t>THE SINGAPORE RESORT &amp; SPA</t>
  </si>
  <si>
    <t>2 BUKIT MANIS ROAD, SINGAPORE 099891</t>
  </si>
  <si>
    <t>ASCOTT SINGAPORE RAFFLES PLACE</t>
  </si>
  <si>
    <t>2 FINLAYSON GREEN, SINGAPORE 049247</t>
  </si>
  <si>
    <t>KALLANG THEATRE</t>
  </si>
  <si>
    <t>THE HEEREN</t>
  </si>
  <si>
    <t>260 ORCHARD ROAD, SINGAPORE 238855</t>
  </si>
  <si>
    <t>YOUNG WOMEN CHRISTIAN ASSOCIATION HOSTELS</t>
  </si>
  <si>
    <t>6 FORT CANNING ROAD, SINGAPORE 179494</t>
  </si>
  <si>
    <t>IOB BUILDING</t>
  </si>
  <si>
    <t>CUPPAGE PLAZA</t>
  </si>
  <si>
    <t>5 KOEK ROAD, SINGAPORE 228796</t>
  </si>
  <si>
    <t>51 CUPPAGE ROAD</t>
  </si>
  <si>
    <t>51 CUPPAGE ROAD, SINGAPORE 229469</t>
  </si>
  <si>
    <t>RIGEL INNOVATION CENTRE</t>
  </si>
  <si>
    <t>20 CHANGI BUSINESS PARK CENTRAL 2, SINGAPORE 486031</t>
  </si>
  <si>
    <t>GREAT WORLD SERVICED APARTMENTS</t>
  </si>
  <si>
    <t>2 KIM SENG WALK, SINGAPORE 239404</t>
  </si>
  <si>
    <t>EASTPOINT MALL</t>
  </si>
  <si>
    <t>INCOME AT TAMPINES POINT</t>
  </si>
  <si>
    <t>2 TAMPINES CENTRAL 6, SINGAPORE 529483</t>
  </si>
  <si>
    <t>INCOME AT PRINSEP</t>
  </si>
  <si>
    <t>30 PRINSEP STREET, SINGAPORE 188647</t>
  </si>
  <si>
    <t>INCOME CENTRE</t>
  </si>
  <si>
    <t>75 BRAS BASAH ROAD, SINGAPORE 189557</t>
  </si>
  <si>
    <t>INCOME AT TAMPINES JUNCTION</t>
  </si>
  <si>
    <t>300 TAMPINES AVENUE 5, SINGAPORE 529653</t>
  </si>
  <si>
    <t>THE CENTRAL</t>
  </si>
  <si>
    <t>6 EU TONG SEN STREET, SINGAPORE 059817</t>
  </si>
  <si>
    <t>GREAT WORLD CITY</t>
  </si>
  <si>
    <t>1 KIM SENG PROMENADE, SINGAPORE 237994</t>
  </si>
  <si>
    <t>52 WEST COAST FERRY ROAD, SINGAPORE 126887</t>
  </si>
  <si>
    <t>FOUR SEASONS HOTEL</t>
  </si>
  <si>
    <t>190 ORCHARD BOULEVARD, SINGAPORE 248646</t>
  </si>
  <si>
    <t>HILTON INTERNATIONAL SINGAPORE</t>
  </si>
  <si>
    <t>581 ORCHARD ROAD, SINGAPORE 238883</t>
  </si>
  <si>
    <t>DELFI ORCHARD</t>
  </si>
  <si>
    <t>BRIGHT HILL EVERGREEN HOME</t>
  </si>
  <si>
    <t>100 PUNGGOL FIELD, SINGAPORE 828811</t>
  </si>
  <si>
    <t>THE SELETAR MALL</t>
  </si>
  <si>
    <t>33 SENGKANG WEST AVENUE, SINGAPORE 797653</t>
  </si>
  <si>
    <t>GRAND PARK ORCHARD</t>
  </si>
  <si>
    <t>270 ORCHARD ROAD, SINGAPORE 238857</t>
  </si>
  <si>
    <t>JIT POH BUILDING</t>
  </si>
  <si>
    <t>19 KEPPEL ROAD, SINGAPORE 089058</t>
  </si>
  <si>
    <t>36 ARMENIAN STREET, SINGAPORE 179934</t>
  </si>
  <si>
    <t>71 IRRAWADDY ROAD, SINGAPORE 329562</t>
  </si>
  <si>
    <t>RENCI @ BUKIT BATOK ST. 52</t>
  </si>
  <si>
    <t>JEN SINGAPORE TANGLIN BY SHANGRI-LA</t>
  </si>
  <si>
    <t>1A CUSCADEN ROAD, SINGAPORE 249716</t>
  </si>
  <si>
    <t>SATA COMMHEALTH BUILDING</t>
  </si>
  <si>
    <t>351 CHAI CHEE STREET, SINGAPORE 468982</t>
  </si>
  <si>
    <t>CECIL COURT</t>
  </si>
  <si>
    <t>138 CECIL STREET, SINGAPORE 069538</t>
  </si>
  <si>
    <t>WOODLANDS POLYCLINIC</t>
  </si>
  <si>
    <t>GEYLANG POLYCLINIC</t>
  </si>
  <si>
    <t>HOUGANG POLYCLINIC</t>
  </si>
  <si>
    <t>ANG MO KIO POLYCLINIC</t>
  </si>
  <si>
    <t>SAFRA CLUBHOUSE (JURONG)</t>
  </si>
  <si>
    <t>333 BOON LAY WAY, SINGAPORE 649848</t>
  </si>
  <si>
    <t>172A ANG MO KIO AVENUE 8, SINGAPORE 567739</t>
  </si>
  <si>
    <t>537 CLEMENTI ROAD, SINGAPORE 599493</t>
  </si>
  <si>
    <t>10 DOVER DRIVE, SINGAPORE 138683</t>
  </si>
  <si>
    <t>51 GRANGE ROAD, SINGAPORE 249564</t>
  </si>
  <si>
    <t>MOE BUILDING</t>
  </si>
  <si>
    <t>1 NORTH BUONA VISTA DRIVE, SINGAPORE 138675</t>
  </si>
  <si>
    <t>E!HUB@DOWNTOWN EAST</t>
  </si>
  <si>
    <t>1 PASIR RIS CLOSE, SINGAPORE 519599</t>
  </si>
  <si>
    <t>3 TAMPINES GRANDE, SINGAPORE 528799</t>
  </si>
  <si>
    <t>MTOWER</t>
  </si>
  <si>
    <t>460 ALEXANDRA ROAD, SINGAPORE 119963</t>
  </si>
  <si>
    <t>HOLIDAY INN EXPRESS SINGAPORE ORCHARD ROAD</t>
  </si>
  <si>
    <t>20 BIDEFORD ROAD, SINGAPORE 229921</t>
  </si>
  <si>
    <t>ALFA CENTRE</t>
  </si>
  <si>
    <t>99 BUKIT TIMAH ROAD, SINGAPORE 229835</t>
  </si>
  <si>
    <t>PARKLANE SHOPPING MALL</t>
  </si>
  <si>
    <t>35 SELEGIE ROAD, SINGAPORE 188307</t>
  </si>
  <si>
    <t>PHILIPPINE AIRLINES BUILDING</t>
  </si>
  <si>
    <t>135 CECIL STREET, SINGAPORE 069536</t>
  </si>
  <si>
    <t>HI-P BUILDING</t>
  </si>
  <si>
    <t>11 INTERNATIONAL BUSINESS PARK, SINGAPORE 609926</t>
  </si>
  <si>
    <t>SINGAPORE POLYTECHNIC</t>
  </si>
  <si>
    <t>PENINSULA PLAZA</t>
  </si>
  <si>
    <t>111 NORTH BRIDGE ROAD, SINGAPORE 179098</t>
  </si>
  <si>
    <t>MERCHANTS' COURT</t>
  </si>
  <si>
    <t>3A RIVER VALLEY ROAD, SINGAPORE 179020</t>
  </si>
  <si>
    <t>YORK HOTEL</t>
  </si>
  <si>
    <t>SEMBAWANG MART</t>
  </si>
  <si>
    <t>WEST COAST PLAZA</t>
  </si>
  <si>
    <t>154 WEST COAST ROAD, SINGAPORE 127371</t>
  </si>
  <si>
    <t>THE GRANDSTAND</t>
  </si>
  <si>
    <t>200 TURF CLUB ROAD, SINGAPORE 287994</t>
  </si>
  <si>
    <t>CHOA CHU KANG POLYCLINIC</t>
  </si>
  <si>
    <t>2 TECK WHYE CRESCENT, SINGAPORE 688846</t>
  </si>
  <si>
    <t>BUKIT BATOK POLYCLINIC</t>
  </si>
  <si>
    <t>50 BUKIT BATOK WEST AVENUE 3, SINGAPORE 659164</t>
  </si>
  <si>
    <t>PIONEER POLYCLINIC</t>
  </si>
  <si>
    <t>26 JURONG WEST STREET 61, SINGAPORE 648201</t>
  </si>
  <si>
    <t>145 WEST COAST ROAD, SINGAPORE 127367</t>
  </si>
  <si>
    <t>SQUARE 2</t>
  </si>
  <si>
    <t>10 SINARAN DRIVE, SINGAPORE 307506</t>
  </si>
  <si>
    <t>HOTEL BOSS</t>
  </si>
  <si>
    <t>500 JALAN SULTAN, SINGAPORE 199020</t>
  </si>
  <si>
    <t>HOTEL MI</t>
  </si>
  <si>
    <t>41 BENCOOLEN STREET, SINGAPORE 189623</t>
  </si>
  <si>
    <t>V HOTEL BENCOOLEN</t>
  </si>
  <si>
    <t>48 BENCOOLEN STREET, SINGAPORE 189627</t>
  </si>
  <si>
    <t>3 DICKSON ROAD, SINGAPORE 209530</t>
  </si>
  <si>
    <t>V HOTEL LAVENDER</t>
  </si>
  <si>
    <t>70 JELLICOE ROAD, SINGAPORE 208767</t>
  </si>
  <si>
    <t>VALUE HOTEL - THOMSON</t>
  </si>
  <si>
    <t>592 BALESTIER ROAD, SINGAPORE 329901</t>
  </si>
  <si>
    <t>TRISTAR INN</t>
  </si>
  <si>
    <t>1 ONAN ROAD, SINGAPORE 424780</t>
  </si>
  <si>
    <t>THE ARCADE</t>
  </si>
  <si>
    <t>11 COLLYER QUAY, SINGAPORE 049317</t>
  </si>
  <si>
    <t>JEM</t>
  </si>
  <si>
    <t>NATIONAL ARCHIVES OF SINGAPORE</t>
  </si>
  <si>
    <t>1 CANNING RISE, SINGAPORE 179868</t>
  </si>
  <si>
    <t>NATIONAL LIBRARY BUILDING</t>
  </si>
  <si>
    <t>100 VICTORIA STREET, SINGAPORE 188064</t>
  </si>
  <si>
    <t>50 SCOTTS ROAD, SINGAPORE 228242</t>
  </si>
  <si>
    <t>RAMADA SINGAPORE AT ZHONGSHAN PARK</t>
  </si>
  <si>
    <t>HIAP HOE BUILDING AT ZHONGSHAN PARK</t>
  </si>
  <si>
    <t>18 AH HOOD ROAD, SINGAPORE 329983</t>
  </si>
  <si>
    <t>HOUGANG 1</t>
  </si>
  <si>
    <t>CATHAY CINELEISURE ORCHARD</t>
  </si>
  <si>
    <t>8 GRANGE ROAD, SINGAPORE 239695</t>
  </si>
  <si>
    <t>THE CATHAY</t>
  </si>
  <si>
    <t>GLENEAGLES HOSPITAL</t>
  </si>
  <si>
    <t>GREAT EASTERN CENTRE</t>
  </si>
  <si>
    <t>1 PICKERING STREET, SINGAPORE 048659</t>
  </si>
  <si>
    <t>NANKIN ROW</t>
  </si>
  <si>
    <t>3 PICKERING STREET, SINGAPORE 048660</t>
  </si>
  <si>
    <t>SCHOOL OF PHYSICAL EDUCATION SWIMMING COMPLEX</t>
  </si>
  <si>
    <t>21 EVANS ROAD, SINGAPORE 259366</t>
  </si>
  <si>
    <t>LASALLE COLLEGE OF THE ARTS</t>
  </si>
  <si>
    <t>1 MCNALLY STREET, SINGAPORE 187940</t>
  </si>
  <si>
    <t>MOUNTBATTEN SQUARE</t>
  </si>
  <si>
    <t>16 INTERNATIONAL BUSINESS PARK, SINGAPORE 609929</t>
  </si>
  <si>
    <t>SINGAPORE CHINESE CULTURAL CENTRE</t>
  </si>
  <si>
    <t>1 STRAITS BOULEVARD, SINGAPORE 018906</t>
  </si>
  <si>
    <t>MING ARCADE</t>
  </si>
  <si>
    <t>THE ADELPHI</t>
  </si>
  <si>
    <t>1 COLEMAN STREET, SINGAPORE 179803</t>
  </si>
  <si>
    <t>21 BUKIT BATOK STREET 22, SINGAPORE 659589</t>
  </si>
  <si>
    <t>SINGAPORE DISCOVERY CENTRE</t>
  </si>
  <si>
    <t>510 UPPER JURONG ROAD, SINGAPORE 638365</t>
  </si>
  <si>
    <t>FOOK HAI BUILDING</t>
  </si>
  <si>
    <t>150 SOUTH BRIDGE ROAD, SINGAPORE 058727</t>
  </si>
  <si>
    <t>ENABLING VILLAGE</t>
  </si>
  <si>
    <t>20 LENGKOK BAHRU, SINGAPORE 159053</t>
  </si>
  <si>
    <t>ST. ANDREW'S ADULT HOME (SENGKANG)</t>
  </si>
  <si>
    <t>THK HOME FOR DISABLED @ SEMBAWANG</t>
  </si>
  <si>
    <t>7 SEMBAWANG WALK, SINGAPORE 756977</t>
  </si>
  <si>
    <t>HOME FOR THE AGED</t>
  </si>
  <si>
    <t>KEMBANGAN-CHAI CHEE COMMUNITY HUB</t>
  </si>
  <si>
    <t>11 JALAN UBI, SINGAPORE 409074</t>
  </si>
  <si>
    <t>HOME @ HONG SAN</t>
  </si>
  <si>
    <t>28 HONG SAN TERRACE, SINGAPORE 688247</t>
  </si>
  <si>
    <t>51 MARSILING DRIVE, SINGAPORE 739297</t>
  </si>
  <si>
    <t>UPPER THOMSON COMMUNITY HUB</t>
  </si>
  <si>
    <t>600 UPPER THOMSON ROAD, SINGAPORE 574421</t>
  </si>
  <si>
    <t>GRACEHAVEN</t>
  </si>
  <si>
    <t>3 LORONG NAPIRI, SINGAPORE 547528</t>
  </si>
  <si>
    <t>PELANGI VILLAGE</t>
  </si>
  <si>
    <t>2 BUANGKOK GREEN, SINGAPORE 539749</t>
  </si>
  <si>
    <t>4 BUANGKOK GREEN, SINGAPORE 539750</t>
  </si>
  <si>
    <t>6 BUANGKOK GREEN, SINGAPORE 539751</t>
  </si>
  <si>
    <t>8 BUANGKOK GREEN, SINGAPORE 539752</t>
  </si>
  <si>
    <t>10 BUANGKOK GREEN, SINGAPORE 539753</t>
  </si>
  <si>
    <t>12 BUANGKOK GREEN, SINGAPORE 539754</t>
  </si>
  <si>
    <t>14 BUANGKOK GREEN, SINGAPORE 539755</t>
  </si>
  <si>
    <t>REGISTRY OF MARRIAGES</t>
  </si>
  <si>
    <t>FAMILY LINK @ LENGKOK BAHRU</t>
  </si>
  <si>
    <t>BEA BUILDING</t>
  </si>
  <si>
    <t>60 ROBINSON ROAD, SINGAPORE 068892</t>
  </si>
  <si>
    <t>PENINSULA SHOPPING COMPLEX</t>
  </si>
  <si>
    <t>3 COLEMAN STREET, SINGAPORE 179804</t>
  </si>
  <si>
    <t>PENINSULA.EXCELSIOR HOTEL</t>
  </si>
  <si>
    <t>5 COLEMAN STREET, SINGAPORE 179805</t>
  </si>
  <si>
    <t>JALAN BESAR PLAZA</t>
  </si>
  <si>
    <t>UE SQUARE</t>
  </si>
  <si>
    <t>83 CLEMENCEAU AVENUE, SINGAPORE 239920</t>
  </si>
  <si>
    <t>THE ROCHESTER</t>
  </si>
  <si>
    <t>35 ROCHESTER DRIVE, SINGAPORE 138639</t>
  </si>
  <si>
    <t>ONE FINLAYSON GREEN</t>
  </si>
  <si>
    <t>1 FINLAYSON GREEN, SINGAPORE 049246</t>
  </si>
  <si>
    <t>93 HOUGANG AVENUE 4, SINGAPORE 538832</t>
  </si>
  <si>
    <t>ORCHID COUNTRY CLUB</t>
  </si>
  <si>
    <t>CONCORDE HOTEL AND SHOPPING MALL</t>
  </si>
  <si>
    <t>2 LENGKOK BAHRU, SINGAPORE 159047</t>
  </si>
  <si>
    <t>THE BENCOOLEN</t>
  </si>
  <si>
    <t>180 BENCOOLEN STREET, SINGAPORE 189646</t>
  </si>
  <si>
    <t>ALEXANDRA CENTRAL</t>
  </si>
  <si>
    <t>30 HILL STREET, SINGAPORE 179360</t>
  </si>
  <si>
    <t>THOMSON MEDICAL CENTRE</t>
  </si>
  <si>
    <t>298 JALAN BUKIT HO SWEE, SINGAPORE 169565</t>
  </si>
  <si>
    <t>PARKWAY CENTRE</t>
  </si>
  <si>
    <t>1 MARINE PARADE CENTRAL, SINGAPORE 449408</t>
  </si>
  <si>
    <t>515 WEST CAMP ROAD, SINGAPORE 797695</t>
  </si>
  <si>
    <t>THE STAR</t>
  </si>
  <si>
    <t>1 VISTA EXCHANGE GREEN, SINGAPORE 138617</t>
  </si>
  <si>
    <t>THE RIVERWALK</t>
  </si>
  <si>
    <t>20 UPPER CIRCULAR ROAD, SINGAPORE 058416</t>
  </si>
  <si>
    <t>190 ANG MO KIO AVENUE 8, SINGAPORE 568046</t>
  </si>
  <si>
    <t>SUNTEC CITY MALL</t>
  </si>
  <si>
    <t>3 TEMASEK BOULEVARD, SINGAPORE 038983</t>
  </si>
  <si>
    <t>SUNTEC TOWER FIVE</t>
  </si>
  <si>
    <t>5 TEMASEK BOULEVARD, SINGAPORE 038985</t>
  </si>
  <si>
    <t>SUNTEC TOWER FOUR</t>
  </si>
  <si>
    <t>6 TEMASEK BOULEVARD, SINGAPORE 038986</t>
  </si>
  <si>
    <t>SUNTEC TOWER ONE</t>
  </si>
  <si>
    <t>7 TEMASEK BOULEVARD, SINGAPORE 038987</t>
  </si>
  <si>
    <t>SUNTEC TOWER THREE</t>
  </si>
  <si>
    <t>8 TEMASEK BOULEVARD, SINGAPORE 038988</t>
  </si>
  <si>
    <t>SUNTEC TOWER TWO</t>
  </si>
  <si>
    <t>9 TEMASEK BOULEVARD, SINGAPORE 038989</t>
  </si>
  <si>
    <t>TONG BUILDING</t>
  </si>
  <si>
    <t>302 ORCHARD ROAD, SINGAPORE 238862</t>
  </si>
  <si>
    <t>YUHUA COMMUNITY CLUB</t>
  </si>
  <si>
    <t>90 BOON LAY WAY, SINGAPORE 609958</t>
  </si>
  <si>
    <t>SREE NARAYANA MISSION HOME FOR THE AGED SICK</t>
  </si>
  <si>
    <t>PARC SOVEREIGN HOTEL - TYRWHITT</t>
  </si>
  <si>
    <t>165 TYRWHITT ROAD, SINGAPORE 207569</t>
  </si>
  <si>
    <t>NORTH BRIDGE CENTRE</t>
  </si>
  <si>
    <t>420 NORTH BRIDGE ROAD, SINGAPORE 188727</t>
  </si>
  <si>
    <t>THE CHADWICK</t>
  </si>
  <si>
    <t>81 SCIENCE PARK DRIVE, SINGAPORE 118257</t>
  </si>
  <si>
    <t>THE CURIE</t>
  </si>
  <si>
    <t>THE CAVENDISH</t>
  </si>
  <si>
    <t>85 SCIENCE PARK DRIVE, SINGAPORE 118259</t>
  </si>
  <si>
    <t>SINGAPORE BUSINESS FEDERATION CENTER</t>
  </si>
  <si>
    <t>160 ROBINSON ROAD, SINGAPORE 068914</t>
  </si>
  <si>
    <t>9 SENTUL CRESCENT, SINGAPORE 828654</t>
  </si>
  <si>
    <t>THE FLOW MALL</t>
  </si>
  <si>
    <t>66 EAST COAST ROAD, SINGAPORE 428778</t>
  </si>
  <si>
    <t>KAP</t>
  </si>
  <si>
    <t>PAYA LEBAR SQUARE</t>
  </si>
  <si>
    <t>NATIONAL DESIGN CENTRE</t>
  </si>
  <si>
    <t>DJIT SUN MALL</t>
  </si>
  <si>
    <t>GOLDBELL TOWERS</t>
  </si>
  <si>
    <t>47 SCOTTS ROAD, SINGAPORE 228233</t>
  </si>
  <si>
    <t>1 CREATE WAY, SINGAPORE 138602</t>
  </si>
  <si>
    <t>GRANDLINK SQUARE</t>
  </si>
  <si>
    <t>511 GUILLEMARD ROAD, SINGAPORE 399849</t>
  </si>
  <si>
    <t>APEX HARMONY LODGE</t>
  </si>
  <si>
    <t>10 PASIR RIS WALK, SINGAPORE 518240</t>
  </si>
  <si>
    <t>1 RAFFLES BOULEVARD, SINGAPORE 039593</t>
  </si>
  <si>
    <t>TERUSAN RECREATION CENTRE</t>
  </si>
  <si>
    <t>1 JALAN PAPAN, SINGAPORE 619392</t>
  </si>
  <si>
    <t>TUAS SOUTH RECREATION CENTRE</t>
  </si>
  <si>
    <t>BISHAN SPORTS HALL</t>
  </si>
  <si>
    <t>BISHAN STADIUM</t>
  </si>
  <si>
    <t>SHENTON HOUSE</t>
  </si>
  <si>
    <t>3 SHENTON WAY, SINGAPORE 068805</t>
  </si>
  <si>
    <t>LUCKY PLAZA</t>
  </si>
  <si>
    <t>TOA PAYOH ATHLETIC CENTRE</t>
  </si>
  <si>
    <t>SCAPE</t>
  </si>
  <si>
    <t>2 ORCHARD LINK, SINGAPORE 237978</t>
  </si>
  <si>
    <t>NATIONAL GALLERY SINGAPORE</t>
  </si>
  <si>
    <t>MAJLIS UGAMA ISLAM SINGAPURA</t>
  </si>
  <si>
    <t>273 BRADDELL ROAD, SINGAPORE 579702</t>
  </si>
  <si>
    <t>1 ESPLANADE DRIVE, SINGAPORE 038981</t>
  </si>
  <si>
    <t>ESPLANADE MALL</t>
  </si>
  <si>
    <t>SALVATION ARMY</t>
  </si>
  <si>
    <t>20 BISHAN STREET 22, SINGAPORE 579768</t>
  </si>
  <si>
    <t>YMCA</t>
  </si>
  <si>
    <t>1 ORCHARD ROAD, SINGAPORE 238824</t>
  </si>
  <si>
    <t>SINGAPORE POOLS BUILDING</t>
  </si>
  <si>
    <t>210 MIDDLE ROAD, SINGAPORE 188994</t>
  </si>
  <si>
    <t>7 RAFFLES AVENUE, SINGAPORE 039799</t>
  </si>
  <si>
    <t>INTERNATIONAL BUILDING</t>
  </si>
  <si>
    <t>360 ORCHARD ROAD, SINGAPORE 238869</t>
  </si>
  <si>
    <t>DORSETT SINGAPORE</t>
  </si>
  <si>
    <t>333 NEW BRIDGE ROAD, SINGAPORE 088765</t>
  </si>
  <si>
    <t>BANK OF SINGAPORE CENTRE</t>
  </si>
  <si>
    <t>63 MARKET STREET, SINGAPORE 048942</t>
  </si>
  <si>
    <t>INSTITUTE OF SOUTH EAST ASIA STUDIES</t>
  </si>
  <si>
    <t>30 HENG MUI KENG TERRACE, SINGAPORE 119614</t>
  </si>
  <si>
    <t>THE CLEMENTI MALL</t>
  </si>
  <si>
    <t>3155 COMMONWEALTH AVENUE WEST, SINGAPORE 129588</t>
  </si>
  <si>
    <t>THE PARAGON</t>
  </si>
  <si>
    <t>290 ORCHARD ROAD, SINGAPORE 238859</t>
  </si>
  <si>
    <t>CERTIS CISCO CENTRE</t>
  </si>
  <si>
    <t>RUBIKON</t>
  </si>
  <si>
    <t>GLENEAGLES MEDICAL CENTRE</t>
  </si>
  <si>
    <t>6 NAPIER ROAD, SINGAPORE 258499</t>
  </si>
  <si>
    <t>ASIA SQUARE TOWER 1</t>
  </si>
  <si>
    <t>8 MARINA VIEW, SINGAPORE 018960</t>
  </si>
  <si>
    <t>BANK OF AMERICA MERRILL LYNCH HARBOURFRONT</t>
  </si>
  <si>
    <t>SHERATON TOWERS HOTEL</t>
  </si>
  <si>
    <t>39 SCOTTS ROAD, SINGAPORE 228230</t>
  </si>
  <si>
    <t>GENTING CENTRE</t>
  </si>
  <si>
    <t>RESORTS WORLD SENTOSA</t>
  </si>
  <si>
    <t>8 SENTOSA GATEWAY, SINGAPORE 098269</t>
  </si>
  <si>
    <t>GENTING HOTEL JURONG</t>
  </si>
  <si>
    <t>2 TOWN HALL LINK, SINGAPORE 608516</t>
  </si>
  <si>
    <t>THE CENTREPOINT</t>
  </si>
  <si>
    <t>176 ORCHARD ROAD, SINGAPORE 238843</t>
  </si>
  <si>
    <t>BEDOK MALL</t>
  </si>
  <si>
    <t>311 NEW UPPER CHANGI ROAD, SINGAPORE 467360</t>
  </si>
  <si>
    <t>984 UPPER CHANGI ROAD NORTH, SINGAPORE 506969</t>
  </si>
  <si>
    <t>978 UPPER CHANGI ROAD NORTH, SINGAPORE 506977</t>
  </si>
  <si>
    <t>980 UPPER CHANGI ROAD NORTH, SINGAPORE 507708</t>
  </si>
  <si>
    <t>982 UPPER CHANGI ROAD NORTH, SINGAPORE 507709</t>
  </si>
  <si>
    <t>10 TANAH MERAH BESAR ROAD, SINGAPORE 498834</t>
  </si>
  <si>
    <t>AXA TOWER</t>
  </si>
  <si>
    <t>MOUNTBATTEN CENTRE</t>
  </si>
  <si>
    <t>231 MOUNTBATTEN ROAD, SINGAPORE 397999</t>
  </si>
  <si>
    <t>NATIONAL INSTITUTE OF EDUCATION</t>
  </si>
  <si>
    <t>THE PLAZA</t>
  </si>
  <si>
    <t>ASSISI HOSPICE</t>
  </si>
  <si>
    <t>832 THOMSON ROAD, SINGAPORE 574627</t>
  </si>
  <si>
    <t>FAR EAST SHOPPING CENTRE</t>
  </si>
  <si>
    <t>545 ORCHARD ROAD, SINGAPORE 238882</t>
  </si>
  <si>
    <t>ACADEMIA</t>
  </si>
  <si>
    <t>20 COLLEGE ROAD, SINGAPORE 169856</t>
  </si>
  <si>
    <t>MAPLETREE ANSON</t>
  </si>
  <si>
    <t>60 ANSON ROAD, SINGAPORE 079914</t>
  </si>
  <si>
    <t>MOUNT ALVERNIA HOSPITAL</t>
  </si>
  <si>
    <t>820 THOMSON ROAD, SINGAPORE 574623</t>
  </si>
  <si>
    <t>48 BOON LAY WAY, SINGAPORE 609961</t>
  </si>
  <si>
    <t>HILLION MALL</t>
  </si>
  <si>
    <t>HEARTBEAT @ BEDOK</t>
  </si>
  <si>
    <t>11 BEDOK NORTH STREET 1, SINGAPORE 469662</t>
  </si>
  <si>
    <t>FUNAN</t>
  </si>
  <si>
    <t>MERCURE SINGAPORE BUGIS</t>
  </si>
  <si>
    <t>122 MIDDLE ROAD, SINGAPORE 188973</t>
  </si>
  <si>
    <t>ORCHARD SHOPPING CENTRE</t>
  </si>
  <si>
    <t>321 ORCHARD ROAD, SINGAPORE 238866</t>
  </si>
  <si>
    <t>SCDF HQ 1ST CD DIVISION</t>
  </si>
  <si>
    <t>3 QUEENSWAY, SINGAPORE 149073</t>
  </si>
  <si>
    <t>1 MARYMOUNT LANE, SINGAPORE 574029</t>
  </si>
  <si>
    <t>SCDF HQ 2ND CD DIVISION</t>
  </si>
  <si>
    <t>1 TAMPINES INDUSTRIAL AVENUE 3, SINGAPORE 528777</t>
  </si>
  <si>
    <t>50 BUANGKOK DRIVE, SINGAPORE 545064</t>
  </si>
  <si>
    <t>HQ SINGAPORE CIVIL DEFENCE FORCE</t>
  </si>
  <si>
    <t>91 UBI AVENUE 4, SINGAPORE 408827</t>
  </si>
  <si>
    <t>CIVIL DEFENCE ACADEMY</t>
  </si>
  <si>
    <t>101 JALAN BAHAR, SINGAPORE 649734</t>
  </si>
  <si>
    <t>SCDF JALAN BAHAR CAMP</t>
  </si>
  <si>
    <t>91 JALAN BAHAR, SINGAPORE 649735</t>
  </si>
  <si>
    <t>SCDF HQ 4TH CD DIVISION</t>
  </si>
  <si>
    <t>80 BUKIT BATOK ROAD, SINGAPORE 658072</t>
  </si>
  <si>
    <t>SCDF HQ 3RD CD DIVISION</t>
  </si>
  <si>
    <t>533 YISHUN INDUSTRIAL PARK A, SINGAPORE 768774</t>
  </si>
  <si>
    <t>KALLANG FIRE STATION</t>
  </si>
  <si>
    <t>JALAN BESAR STADIUM</t>
  </si>
  <si>
    <t>100 TYRWHITT ROAD, SINGAPORE 207542</t>
  </si>
  <si>
    <t>AMK HUB</t>
  </si>
  <si>
    <t>THONG TECK BUILDING</t>
  </si>
  <si>
    <t>KING'S CENTRE</t>
  </si>
  <si>
    <t>390 HAVELOCK ROAD, SINGAPORE 169662</t>
  </si>
  <si>
    <t>REPUBLIC PLAZA</t>
  </si>
  <si>
    <t>CITY SQUARE MALL</t>
  </si>
  <si>
    <t>70 BUANGKOK VIEW, SINGAPORE 534190</t>
  </si>
  <si>
    <t>NEX</t>
  </si>
  <si>
    <t>23 SERANGOON CENTRAL, SINGAPORE 556083</t>
  </si>
  <si>
    <t>RAFFLES HOSPITAL</t>
  </si>
  <si>
    <t>585 NORTH BRIDGE ROAD, SINGAPORE 188770</t>
  </si>
  <si>
    <t>CAPRI BY FRASER CHINA SQUARE, SINGAPORE</t>
  </si>
  <si>
    <t>181 SOUTH BRIDGE ROAD, SINGAPORE 058743</t>
  </si>
  <si>
    <t>CAPRI BY FRASER CHANGI CITY</t>
  </si>
  <si>
    <t>3 CHANGI BUSINESS PARK CENTRAL 1, SINGAPORE 486037</t>
  </si>
  <si>
    <t>OUE DOWNTOWN</t>
  </si>
  <si>
    <t>JOO CHIAT COMPLEX</t>
  </si>
  <si>
    <t>1 JOO CHIAT ROAD, SINGAPORE 420001</t>
  </si>
  <si>
    <t>CAPITAL TOWER</t>
  </si>
  <si>
    <t>168 ROBINSON ROAD, SINGAPORE 068912</t>
  </si>
  <si>
    <t>CAPITAGREEN</t>
  </si>
  <si>
    <t>138 MARKET STREET, SINGAPORE 048946</t>
  </si>
  <si>
    <t>ASIA SQUARE TOWER 2</t>
  </si>
  <si>
    <t>12 MARINA VIEW, SINGAPORE 018961</t>
  </si>
  <si>
    <t>HSBC BUILDING</t>
  </si>
  <si>
    <t>6 BATTERY ROAD, SINGAPORE 049909</t>
  </si>
  <si>
    <t>ONE GEORGE STREET</t>
  </si>
  <si>
    <t>1 GEORGE STREET, SINGAPORE 049145</t>
  </si>
  <si>
    <t>SEMBAWANG SHOPPING CENTRE</t>
  </si>
  <si>
    <t>604 SEMBAWANG ROAD, SINGAPORE 758459</t>
  </si>
  <si>
    <t>TOURISM COURT</t>
  </si>
  <si>
    <t>1 ORCHARD SPRING LANE, SINGAPORE 247729</t>
  </si>
  <si>
    <t>NTUC TRADE UNION HOUSE</t>
  </si>
  <si>
    <t>73 BRAS BASAH ROAD, SINGAPORE 189556</t>
  </si>
  <si>
    <t>405 HAVELOCK ROAD, SINGAPORE 169633</t>
  </si>
  <si>
    <t>10 RAEBURN PARK, SINGAPORE 088702</t>
  </si>
  <si>
    <t>SWAMI HOME FOR THE AGED</t>
  </si>
  <si>
    <t>WOODLANDS CARE HOME</t>
  </si>
  <si>
    <t>2 WOODLANDS RISE, SINGAPORE 737749</t>
  </si>
  <si>
    <t>METTA BUILDING</t>
  </si>
  <si>
    <t>32 SIMEI STREET 1, SINGAPORE 529950</t>
  </si>
  <si>
    <t>CIVIL SERVICE COLLEGE</t>
  </si>
  <si>
    <t>31 NORTH BUONA VISTA ROAD, SINGAPORE 275983</t>
  </si>
  <si>
    <t>THE URA CENTRE</t>
  </si>
  <si>
    <t>45 MAXWELL ROAD, SINGAPORE 069118</t>
  </si>
  <si>
    <t>CROSS STREET EXCHANGE</t>
  </si>
  <si>
    <t>SEAGATE SINGAPORE DESIGN CENTER - THE SHUGART</t>
  </si>
  <si>
    <t>26 AYER RAJAH CRESCENT, SINGAPORE 139944</t>
  </si>
  <si>
    <t>2 BUKIT MERAH CENTRAL, SINGAPORE 159835</t>
  </si>
  <si>
    <t>1 KAY SIANG ROAD, SINGAPORE 248922</t>
  </si>
  <si>
    <t>TANJONG KATONG COMPLEX</t>
  </si>
  <si>
    <t>845 GEYLANG ROAD, SINGAPORE 400845</t>
  </si>
  <si>
    <t>VISION EXCHANGE</t>
  </si>
  <si>
    <t>2 VENTURE DRIVE, SINGAPORE 608526</t>
  </si>
  <si>
    <t>THE CAPITOL KEMPINSKI HOTEL SINGAPORE</t>
  </si>
  <si>
    <t>15 STAMFORD ROAD, SINGAPORE 178906</t>
  </si>
  <si>
    <t>SENGKANG GENERAL HOSPITAL</t>
  </si>
  <si>
    <t>THE KINGSMEN EXPERIENCE</t>
  </si>
  <si>
    <t>OXLEY TOWER</t>
  </si>
  <si>
    <t>138 ROBINSON ROAD, SINGAPORE 068906</t>
  </si>
  <si>
    <t>SAFRA CLUBHOUSE (TAMPINES)</t>
  </si>
  <si>
    <t>RIVERSIDE POINT</t>
  </si>
  <si>
    <t>PLUS</t>
  </si>
  <si>
    <t>20 CECIL STREET, SINGAPORE 049705</t>
  </si>
  <si>
    <t>FOUR ACRES SINGAPORE</t>
  </si>
  <si>
    <t>36 BEACH ROAD, SINGAPORE 189766</t>
  </si>
  <si>
    <t>38 BEACH ROAD, SINGAPORE 189767</t>
  </si>
  <si>
    <t>26 BEACH ROAD, SINGAPORE 189768</t>
  </si>
  <si>
    <t>JW MARRIOTT SINGAPORE SOUTH BEACH</t>
  </si>
  <si>
    <t>30 BEACH ROAD, SINGAPORE 189763</t>
  </si>
  <si>
    <t>THE SOUTH BEACH</t>
  </si>
  <si>
    <t>TAMAN JURONG SHOPPING CENTRE</t>
  </si>
  <si>
    <t>399 YUNG SHENG ROAD, SINGAPORE 610399</t>
  </si>
  <si>
    <t>AMERICAN CLUB</t>
  </si>
  <si>
    <t>VILLAGE HOTEL BUGIS</t>
  </si>
  <si>
    <t>390 VICTORIA STREET, SINGAPORE 188061</t>
  </si>
  <si>
    <t>105 PUNGGOL ROAD, SINGAPORE 546636</t>
  </si>
  <si>
    <t>FU HUI LINK</t>
  </si>
  <si>
    <t>19 COMPASSVALE WALK, SINGAPORE 544644</t>
  </si>
  <si>
    <t>SENTOSA DEVELOPMENT CORPORATION OFFICE</t>
  </si>
  <si>
    <t>ERA APAC CENTRE</t>
  </si>
  <si>
    <t>CAUSEWAY POINT</t>
  </si>
  <si>
    <t>1 WOODLANDS SQUARE, SINGAPORE 738099</t>
  </si>
  <si>
    <t>TANGLIN CLUB</t>
  </si>
  <si>
    <t>GREAT EASTERN @ CHANGI</t>
  </si>
  <si>
    <t>200 CHANGI ROAD, SINGAPORE 419734</t>
  </si>
  <si>
    <t>150 CECIL STREET, SINGAPORE 069543</t>
  </si>
  <si>
    <t>MANDARIN GALLERY</t>
  </si>
  <si>
    <t>2 STAMFORD ROAD, SINGAPORE 178882</t>
  </si>
  <si>
    <t>ROYAL ONE PHILLIP</t>
  </si>
  <si>
    <t>1 PHILLIP STREET, SINGAPORE 048692</t>
  </si>
  <si>
    <t>ROYAL GROUP BUILDING</t>
  </si>
  <si>
    <t>3 PHILLIP STREET, SINGAPORE 048693</t>
  </si>
  <si>
    <t>BANGKOK BANK BUILDING</t>
  </si>
  <si>
    <t>180 CECIL STREET, SINGAPORE 069546</t>
  </si>
  <si>
    <t>ORCHARD GATEWAY @ EMERALD</t>
  </si>
  <si>
    <t>218 ORCHARD ROAD, SINGAPORE 238851</t>
  </si>
  <si>
    <t>223 @ MOUNTBATTEN</t>
  </si>
  <si>
    <t>KEPPEL BAY TOWER</t>
  </si>
  <si>
    <t>1 HARBOURFRONT AVENUE, SINGAPORE 098632</t>
  </si>
  <si>
    <t>518 CLEMENTI AVENUE 3, SINGAPORE 129907</t>
  </si>
  <si>
    <t>80 MIDDLE ROAD, SINGAPORE 188966</t>
  </si>
  <si>
    <t>OUR TAMPINES HUB</t>
  </si>
  <si>
    <t>71 CHAI CHEE STREET, SINGAPORE 468981</t>
  </si>
  <si>
    <t>TAMPINES CARE HOME</t>
  </si>
  <si>
    <t>TEXTILE CENTRE</t>
  </si>
  <si>
    <t>200 JALAN SULTAN, SINGAPORE 199018</t>
  </si>
  <si>
    <t>MYVILLAGE AT SERANGOON GARDEN</t>
  </si>
  <si>
    <t>5 LOWER KENT RIDGE ROAD, SINGAPORE 119074</t>
  </si>
  <si>
    <t>NUH MEDICAL CENTRE</t>
  </si>
  <si>
    <t>1 LOWER KENT RIDGE ROAD, SINGAPORE 119082</t>
  </si>
  <si>
    <t>ARC 380</t>
  </si>
  <si>
    <t>380 JALAN BESAR, SINGAPORE 209000</t>
  </si>
  <si>
    <t>VILLAGE HOTEL ALBERT COURT</t>
  </si>
  <si>
    <t>180 ALBERT STREET, SINGAPORE 189971</t>
  </si>
  <si>
    <t>LUCKY CHINATOWN</t>
  </si>
  <si>
    <t>211 NEW BRIDGE ROAD, SINGAPORE 059432</t>
  </si>
  <si>
    <t>92 TELOK AYER STREET, SINGAPORE 048472</t>
  </si>
  <si>
    <t>VILLAGE HOTEL CHANGI</t>
  </si>
  <si>
    <t>1 NETHERAVON ROAD, SINGAPORE 508502</t>
  </si>
  <si>
    <t>VILLAGE HOTEL KATONG</t>
  </si>
  <si>
    <t>25 MARINE PARADE, SINGAPORE 449536</t>
  </si>
  <si>
    <t>ICA BUILDING</t>
  </si>
  <si>
    <t>10 KALLANG ROAD, SINGAPORE 208718</t>
  </si>
  <si>
    <t>MARITIME HOUSE</t>
  </si>
  <si>
    <t>120 CANTONMENT ROAD, SINGAPORE 089760</t>
  </si>
  <si>
    <t>HDB CENTRE OF BUILDING RESEARCH</t>
  </si>
  <si>
    <t>TELOK BLANGAH HOUSE</t>
  </si>
  <si>
    <t>52 TELOK BLANGAH ROAD, SINGAPORE 098829</t>
  </si>
  <si>
    <t>5 POH HUAT ROAD, SINGAPORE 546703</t>
  </si>
  <si>
    <t>ALL SAINTS HOME (JURONG EAST)</t>
  </si>
  <si>
    <t>20 JURONG EAST AVENUE 1, SINGAPORE 609792</t>
  </si>
  <si>
    <t>551 YISHUN RING ROAD, SINGAPORE 768681</t>
  </si>
  <si>
    <t>11 TAMPINES STREET 44, SINGAPORE 529123</t>
  </si>
  <si>
    <t>230 STADIUM BOULEVARD, SINGAPORE 397799</t>
  </si>
  <si>
    <t>WATERWAY POINT</t>
  </si>
  <si>
    <t>83 PUNGGOL CENTRAL, SINGAPORE 828761</t>
  </si>
  <si>
    <t>NTUC HEALTH (CHAI CHEE)</t>
  </si>
  <si>
    <t>35 CHAI CHEE STREET, SINGAPORE 468984</t>
  </si>
  <si>
    <t>YISHUN COMMUNITY HOSPITAL</t>
  </si>
  <si>
    <t>2 YISHUN CENTRAL 2, SINGAPORE 768024</t>
  </si>
  <si>
    <t>KEBUN BARU COMMUNITY CLUB</t>
  </si>
  <si>
    <t>216 ANG MO KIO AVENUE 4, SINGAPORE 569897</t>
  </si>
  <si>
    <t>NATIONAL COMMUNITY LEADERSHIP INSTITUTE</t>
  </si>
  <si>
    <t>70 SOUTH BUONA VISTA ROAD, SINGAPORE 118176</t>
  </si>
  <si>
    <t>CUSTOMS OPERATIONS COMMAND</t>
  </si>
  <si>
    <t>1 BULIM DRIVE, SINGAPORE 648171</t>
  </si>
  <si>
    <t>BUKIT PANJANG PLAZA</t>
  </si>
  <si>
    <t>1 JELEBU ROAD, SINGAPORE 677743</t>
  </si>
  <si>
    <t>CROWNE PLAZA CHANGI AIRPORT</t>
  </si>
  <si>
    <t>75 AIRPORT BOULEVARD, SINGAPORE 819664</t>
  </si>
  <si>
    <t>ALEXANDRA POINT</t>
  </si>
  <si>
    <t>438 ALEXANDRA ROAD, SINGAPORE 119958</t>
  </si>
  <si>
    <t>JURONG POINT</t>
  </si>
  <si>
    <t>INTERCONTINENTAL SINGAPORE ROBERTSON QUAY</t>
  </si>
  <si>
    <t>1 NANSON ROAD, SINGAPORE 238909</t>
  </si>
  <si>
    <t>ISTANA</t>
  </si>
  <si>
    <t>HOLIDAY INN SINGAPORE ORCHARD CITY CENTRE</t>
  </si>
  <si>
    <t>METRO-Y STEVENS</t>
  </si>
  <si>
    <t>60 STEVENS ROAD, SINGAPORE 257854</t>
  </si>
  <si>
    <t>ROBINSON CENTRE</t>
  </si>
  <si>
    <t>LENG KEE COMMUNITY CENTRE</t>
  </si>
  <si>
    <t>SWISSOTEL MERCHANT COURT SINGAPORE</t>
  </si>
  <si>
    <t>20 MERCHANT ROAD, SINGAPORE 058281</t>
  </si>
  <si>
    <t>YOTEL SINGAPORE ORCHARD ROAD</t>
  </si>
  <si>
    <t>366 ORCHARD ROAD, SINGAPORE 238904</t>
  </si>
  <si>
    <t>CHANGI CITY POINT</t>
  </si>
  <si>
    <t>5 CHANGI BUSINESS PARK CENTRAL 1, SINGAPORE 486038</t>
  </si>
  <si>
    <t>WOODLANDS CIVIC CENTRE</t>
  </si>
  <si>
    <t>900 SOUTH WOODLANDS DRIVE, SINGAPORE 730900</t>
  </si>
  <si>
    <t>UP@ROBERTSON QUAY</t>
  </si>
  <si>
    <t>STUDIO M HOTEL</t>
  </si>
  <si>
    <t>3 NANSON ROAD, SINGAPORE 238910</t>
  </si>
  <si>
    <t>81 VICTORIA STREET, SINGAPORE 188065</t>
  </si>
  <si>
    <t>SINGAPORE MANAGEMENT UNIVERSITY</t>
  </si>
  <si>
    <t>50 STAMFORD ROAD, SINGAPORE 178899</t>
  </si>
  <si>
    <t>SOCIETY FOR THE AGED SICK</t>
  </si>
  <si>
    <t>FAR EAST PLAZA</t>
  </si>
  <si>
    <t>14 SCOTTS ROAD, SINGAPORE 228213</t>
  </si>
  <si>
    <t>SAFRA CLUBHOUSE (MOUNT FABER)</t>
  </si>
  <si>
    <t>2 TELOK BLANGAH WAY, SINGAPORE 098803</t>
  </si>
  <si>
    <t>REPUBLIC POLYTECHNIC</t>
  </si>
  <si>
    <t>ORCHARD CENTRAL</t>
  </si>
  <si>
    <t>181 ORCHARD ROAD, SINGAPORE 238896</t>
  </si>
  <si>
    <t>TEKKA PLACE</t>
  </si>
  <si>
    <t>2 SERANGOON ROAD, SINGAPORE 218227</t>
  </si>
  <si>
    <t>COMCENTRE</t>
  </si>
  <si>
    <t>31 EXETER ROAD, SINGAPORE 239732</t>
  </si>
  <si>
    <t>PICKERING OPERATION CENTRE</t>
  </si>
  <si>
    <t>20 PICKERING STREET, SINGAPORE 048658</t>
  </si>
  <si>
    <t>YO:HA@TAMPINES</t>
  </si>
  <si>
    <t>TAMPINES ONE</t>
  </si>
  <si>
    <t>10 TAMPINES CENTRAL 1, SINGAPORE 529536</t>
  </si>
  <si>
    <t>CENTURY SQUARE</t>
  </si>
  <si>
    <t>2 TAMPINES CENTRAL 5, SINGAPORE 529509</t>
  </si>
  <si>
    <t>HOUGANG MALL</t>
  </si>
  <si>
    <t>FRASERS TOWER</t>
  </si>
  <si>
    <t>182 CECIL STREET, SINGAPORE 069547</t>
  </si>
  <si>
    <t>SCOTTSWALK</t>
  </si>
  <si>
    <t>25 SCOTTS ROAD, SINGAPORE 228220</t>
  </si>
  <si>
    <t>CARLTON CITY SINGAPORE</t>
  </si>
  <si>
    <t>1 GOPENG STREET, SINGAPORE 078862</t>
  </si>
  <si>
    <t>SINGAPORE SWIMMING CLUB</t>
  </si>
  <si>
    <t>45 TANJONG RHU ROAD, SINGAPORE 436899</t>
  </si>
  <si>
    <t>NTUC HEALTH (JURONG WEST)</t>
  </si>
  <si>
    <t>MOUNT ELIZABETH HOSPITAL</t>
  </si>
  <si>
    <t>3 MOUNT ELIZABETH, SINGAPORE 228510</t>
  </si>
  <si>
    <t>HEALTH PROMOTION BOARD</t>
  </si>
  <si>
    <t>3 SECOND HOSPITAL AVENUE, SINGAPORE 168937</t>
  </si>
  <si>
    <t>461 CLEMENTI ROAD, SINGAPORE 599491</t>
  </si>
  <si>
    <t>MYP CENTRE</t>
  </si>
  <si>
    <t>9 BATTERY ROAD, SINGAPORE 049910</t>
  </si>
  <si>
    <t>PARLIAMENT HOUSE COMPLEX</t>
  </si>
  <si>
    <t>1 PARLIAMENT PLACE, SINGAPORE 178880</t>
  </si>
  <si>
    <t>10 SCIENCE CENTRE ROAD, SINGAPORE 609079</t>
  </si>
  <si>
    <t>CENTROPOD @ CHANGI</t>
  </si>
  <si>
    <t>OUE BAYFRONT</t>
  </si>
  <si>
    <t>50 COLLYER QUAY, SINGAPORE 049321</t>
  </si>
  <si>
    <t>OUE TOWER</t>
  </si>
  <si>
    <t>60 COLLYER QUAY, SINGAPORE 049322</t>
  </si>
  <si>
    <t>OUE LINK</t>
  </si>
  <si>
    <t>62 COLLYER QUAY, SINGAPORE 049325</t>
  </si>
  <si>
    <t>YEN SAN BUILDING</t>
  </si>
  <si>
    <t>268 ORCHARD ROAD, SINGAPORE 238856</t>
  </si>
  <si>
    <t>BENCOOLEN RESIDENCES</t>
  </si>
  <si>
    <t>SINGAPORE NATIONAL EYE CENTRE</t>
  </si>
  <si>
    <t>KEPPEL CLUB</t>
  </si>
  <si>
    <t>CHOA CHU KANG CENTRE</t>
  </si>
  <si>
    <t>51 SCOTTS ROAD, SINGAPORE 228241</t>
  </si>
  <si>
    <t>BUGIS JUNCTION</t>
  </si>
  <si>
    <t>230 VICTORIA STREET, SINGAPORE 188024</t>
  </si>
  <si>
    <t>MAPLETREE BUSINESS CITY</t>
  </si>
  <si>
    <t>20 PASIR PANJANG ROAD, SINGAPORE 117439</t>
  </si>
  <si>
    <t>1 THE KNOLLS, SINGAPORE 098297</t>
  </si>
  <si>
    <t>UNITED WORLD COLLEGE</t>
  </si>
  <si>
    <t>1207 DOVER ROAD, SINGAPORE 139654</t>
  </si>
  <si>
    <t>1 TAMPINES STREET 73, SINGAPORE 528704</t>
  </si>
  <si>
    <t>GATEWAY EAST</t>
  </si>
  <si>
    <t>152 BEACH ROAD, SINGAPORE 189721</t>
  </si>
  <si>
    <t>MACPHERSON MALL</t>
  </si>
  <si>
    <t>1 FUSIONOPOLIS VIEW, SINGAPORE 138577</t>
  </si>
  <si>
    <t>HOTEL GRAND PACIFIC</t>
  </si>
  <si>
    <t>ANSON CENTRE</t>
  </si>
  <si>
    <t>51 ANSON ROAD, SINGAPORE 079904</t>
  </si>
  <si>
    <t>CROWN AT ROBINSON</t>
  </si>
  <si>
    <t>140 ROBINSON ROAD, SINGAPORE 068907</t>
  </si>
  <si>
    <t>80 ROBINSON ROAD, SINGAPORE 068898</t>
  </si>
  <si>
    <t>10 HYDERABAD ROAD, SINGAPORE 119579</t>
  </si>
  <si>
    <t>ORCHARD BUILDING</t>
  </si>
  <si>
    <t>1 GRANGE ROAD, SINGAPORE 239693</t>
  </si>
  <si>
    <t>LIAT TOWERS</t>
  </si>
  <si>
    <t>541 ORCHARD ROAD, SINGAPORE 238881</t>
  </si>
  <si>
    <t>20 SEMBAWANG CRESCENT, SINGAPORE 757092</t>
  </si>
  <si>
    <t>THE SYNERGY</t>
  </si>
  <si>
    <t>1 INTERNATIONAL BUSINESS PARK, SINGAPORE 609917</t>
  </si>
  <si>
    <t>THE STRATEGY</t>
  </si>
  <si>
    <t>2 INTERNATIONAL BUSINESS PARK, SINGAPORE 609930</t>
  </si>
  <si>
    <t>JUNCTION 8 SHOPPING CENTRE</t>
  </si>
  <si>
    <t>9 BISHAN PLACE, SINGAPORE 579837</t>
  </si>
  <si>
    <t>SULTAN PLAZA</t>
  </si>
  <si>
    <t>100 JALAN SULTAN, SINGAPORE 199001</t>
  </si>
  <si>
    <t>IMM BUILDING</t>
  </si>
  <si>
    <t>2 JURONG EAST STREET 21, SINGAPORE 609601</t>
  </si>
  <si>
    <t>ANSON HOUSE</t>
  </si>
  <si>
    <t>72 ANSON ROAD, SINGAPORE 079911</t>
  </si>
  <si>
    <t>ROBINSON 77</t>
  </si>
  <si>
    <t>77 ROBINSON ROAD, SINGAPORE 068896</t>
  </si>
  <si>
    <t>LE MERIDIEN SINGAPORE, SENTOSA</t>
  </si>
  <si>
    <t>23 BEACH VIEW, SINGAPORE 098679</t>
  </si>
  <si>
    <t>10 ARTILLERY AVENUE, SINGAPORE 099951</t>
  </si>
  <si>
    <t>ROXY SQUARE</t>
  </si>
  <si>
    <t>50 EAST COAST ROAD, SINGAPORE 428769</t>
  </si>
  <si>
    <t>18 ROBINSON</t>
  </si>
  <si>
    <t>FURAMA CITY CENTRE SINGAPORE</t>
  </si>
  <si>
    <t>60 EU TONG SEN STREET, SINGAPORE 059804</t>
  </si>
  <si>
    <t>ONE RAFFLES PLACE</t>
  </si>
  <si>
    <t>1 RAFFLES PLACE, SINGAPORE 048616</t>
  </si>
  <si>
    <t>CENTRAL LIBRARY</t>
  </si>
  <si>
    <t>12 KENT RIDGE CRESCENT, SINGAPORE 119275</t>
  </si>
  <si>
    <t>15 KENT RIDGE ROAD, SINGAPORE 119225</t>
  </si>
  <si>
    <t>18 KENT RIDGE ROAD, SINGAPORE 119227</t>
  </si>
  <si>
    <t>20 LOWER KENT RIDGE ROAD, SINGAPORE 119080</t>
  </si>
  <si>
    <t>5 ARTS LINK, SINGAPORE 117570</t>
  </si>
  <si>
    <t>7 ARTS LINK, SINGAPORE 117571</t>
  </si>
  <si>
    <t>9 ARTS LINK, SINGAPORE 117572</t>
  </si>
  <si>
    <t>11 ARTS LINK, SINGAPORE 117573</t>
  </si>
  <si>
    <t>8 KENT RIDGE DRIVE, SINGAPORE 119246</t>
  </si>
  <si>
    <t>17 KENT RIDGE CRESCENT, SINGAPORE 119277</t>
  </si>
  <si>
    <t>50 KENT RIDGE CRESCENT, SINGAPORE 119279</t>
  </si>
  <si>
    <t>2 MEDICAL DRIVE, SINGAPORE 117593</t>
  </si>
  <si>
    <t>4 MEDICAL DRIVE, SINGAPORE 117594</t>
  </si>
  <si>
    <t>8 MEDICAL DRIVE, SINGAPORE 117596</t>
  </si>
  <si>
    <t>10 MEDICAL DRIVE, SINGAPORE 117597</t>
  </si>
  <si>
    <t>14 MEDICAL DRIVE, SINGAPORE 117599</t>
  </si>
  <si>
    <t>16 MEDICAL DRIVE, SINGAPORE 117600</t>
  </si>
  <si>
    <t>18 MEDICAL DRIVE, SINGAPORE 117601</t>
  </si>
  <si>
    <t>12 SCIENCE DRIVE 4, SINGAPORE 117556</t>
  </si>
  <si>
    <t>14 SCIENCE DRIVE 4, SINGAPORE 117557</t>
  </si>
  <si>
    <t>16 SCIENCE DRIVE 4, SINGAPORE 117558</t>
  </si>
  <si>
    <t>18 SCIENCE DRIVE 4, SINGAPORE 117559</t>
  </si>
  <si>
    <t>20 SCIENCE DRIVE 4, SINGAPORE 117560</t>
  </si>
  <si>
    <t>8 COLLEGE ROAD, SINGAPORE 169857</t>
  </si>
  <si>
    <t>27 MEDICAL DRIVE, SINGAPORE 117510</t>
  </si>
  <si>
    <t>10 ARCHITECTURE DRIVE, SINGAPORE 117511</t>
  </si>
  <si>
    <t>1 SCIENCE DRIVE 2, SINGAPORE 117541</t>
  </si>
  <si>
    <t>3 SCIENCE DRIVE 2, SINGAPORE 117543</t>
  </si>
  <si>
    <t>5 SCIENCE DRIVE 2, SINGAPORE 117545</t>
  </si>
  <si>
    <t>6 SCIENCE DRIVE 2, SINGAPORE 117546</t>
  </si>
  <si>
    <t>8 SCIENCE DRIVE 2, SINGAPORE 117547</t>
  </si>
  <si>
    <t>10 SCIENCE DRIVE 2, SINGAPORE 117548</t>
  </si>
  <si>
    <t>12 SCIENCE DRIVE 2, SINGAPORE 117549</t>
  </si>
  <si>
    <t>2 SCIENCE DRIVE 3, SINGAPORE 117551</t>
  </si>
  <si>
    <t>3 SCIENCE DRIVE 3, SINGAPORE 117552</t>
  </si>
  <si>
    <t>4 SCIENCE DRIVE 3, SINGAPORE 117553</t>
  </si>
  <si>
    <t>6 SCIENCE DRIVE 3, SINGAPORE 117554</t>
  </si>
  <si>
    <t>INSTITUTE OF SYSTEMS SCIENCE</t>
  </si>
  <si>
    <t>25 HENG MUI KENG TERRACE, SINGAPORE 119615</t>
  </si>
  <si>
    <t>21 HENG MUI KENG TERRACE, SINGAPORE 119613</t>
  </si>
  <si>
    <t>2 COLLEGE AVENUE WEST, SINGAPORE 138607</t>
  </si>
  <si>
    <t>8 COLLEGE AVENUE WEST, SINGAPORE 138608</t>
  </si>
  <si>
    <t>NATIONAL UNIVERSITY OF SINGAPORE</t>
  </si>
  <si>
    <t>10 KENT RIDGE CRESCENT, SINGAPORE 119260</t>
  </si>
  <si>
    <t>11 KENT RIDGE DRIVE, SINGAPORE 119244</t>
  </si>
  <si>
    <t>15 KENT RIDGE DRIVE, SINGAPORE 119245</t>
  </si>
  <si>
    <t>5 ENGINEERING DRIVE 1, SINGAPORE 117608</t>
  </si>
  <si>
    <t>28 MEDICAL DRIVE, SINGAPORE 117456</t>
  </si>
  <si>
    <t>13 COMPUTING DRIVE, SINGAPORE 117417</t>
  </si>
  <si>
    <t>3 RESEARCH LINK, SINGAPORE 117602</t>
  </si>
  <si>
    <t>5 RESEARCH LINK, SINGAPORE 117603</t>
  </si>
  <si>
    <t>7 ENGINEERING DRIVE 1, SINGAPORE 117574</t>
  </si>
  <si>
    <t>9 ENGINEERING DRIVE 1, SINGAPORE 117575</t>
  </si>
  <si>
    <t>1 ENGINEERING DRIVE 2, SINGAPORE 117576</t>
  </si>
  <si>
    <t>2 ENGINEERING DRIVE 2, SINGAPORE 117577</t>
  </si>
  <si>
    <t>3 ENGINEERING DRIVE 2, SINGAPORE 117578</t>
  </si>
  <si>
    <t>5 ENGINEERING DRIVE 2, SINGAPORE 117579</t>
  </si>
  <si>
    <t>1 ENGINEERING DRIVE 3, SINGAPORE 117580</t>
  </si>
  <si>
    <t>2 ENGINEERING DRIVE 3, SINGAPORE 117581</t>
  </si>
  <si>
    <t>3 ENGINEERING DRIVE 3, SINGAPORE 117582</t>
  </si>
  <si>
    <t>4 ENGINEERING DRIVE 3, SINGAPORE 117583</t>
  </si>
  <si>
    <t>4 ENGINEERING DRIVE 4, SINGAPORE 117585</t>
  </si>
  <si>
    <t>2 ARCHITECTURE DRIVE, SINGAPORE 117565</t>
  </si>
  <si>
    <t>4 ARCHITECTURE DRIVE, SINGAPORE 117566</t>
  </si>
  <si>
    <t>10 LOWER KENT RIDGE ROAD, SINGAPORE 119076</t>
  </si>
  <si>
    <t>21 LOWER KENT RIDGE ROAD, SINGAPORE 119077</t>
  </si>
  <si>
    <t>12A KENT RIDGE ROAD, SINGAPORE 119222</t>
  </si>
  <si>
    <t>6 ENGINEERING DRIVE 4, SINGAPORE 117361</t>
  </si>
  <si>
    <t>QUALITY HOTEL MARLOW</t>
  </si>
  <si>
    <t>W SINGAPORE SENTOSA COVE HOTEL</t>
  </si>
  <si>
    <t>21 OCEAN WAY, SINGAPORE 098374</t>
  </si>
  <si>
    <t>THE METROPOLIS</t>
  </si>
  <si>
    <t>9 NORTH BUONA VISTA DRIVE, SINGAPORE 138588</t>
  </si>
  <si>
    <t>SINGAPORE BIBLE COLLEGE</t>
  </si>
  <si>
    <t>MINISTRY OF MANPOWER BUILDING</t>
  </si>
  <si>
    <t>18 HAVELOCK ROAD, SINGAPORE 059764</t>
  </si>
  <si>
    <t>25 NORTH BRIDGE</t>
  </si>
  <si>
    <t>7 RAFFLES BOULEVARD, SINGAPORE 039595</t>
  </si>
  <si>
    <t>NORDIC EUROPEAN CENTRE</t>
  </si>
  <si>
    <t>3 INTERNATIONAL BUSINESS PARK, SINGAPORE 609927</t>
  </si>
  <si>
    <t>NTU INNOVATION CENTRE</t>
  </si>
  <si>
    <t>71 NANYANG DRIVE, SINGAPORE 638075</t>
  </si>
  <si>
    <t>ABI PLAZA</t>
  </si>
  <si>
    <t>11 KEPPEL ROAD, SINGAPORE 089057</t>
  </si>
  <si>
    <t>NGEE ANN CITY</t>
  </si>
  <si>
    <t>391A ORCHARD ROAD, SINGAPORE 238873</t>
  </si>
  <si>
    <t>FARRER SQUARE</t>
  </si>
  <si>
    <t>10 FARRER PARK STATION ROAD, SINGAPORE 217564</t>
  </si>
  <si>
    <t>TEMPCO TECHNOMINIUM</t>
  </si>
  <si>
    <t>16 AYER RAJAH CRESCENT, SINGAPORE 139965</t>
  </si>
  <si>
    <t>CAPITAL SQUARE</t>
  </si>
  <si>
    <t>23 CHURCH STREET, SINGAPORE 049481</t>
  </si>
  <si>
    <t>BUGIS CUBE</t>
  </si>
  <si>
    <t>FUJI XEROX TOWERS</t>
  </si>
  <si>
    <t>THE KENDALL</t>
  </si>
  <si>
    <t>50 SCIENCE PARK ROAD, SINGAPORE 117406</t>
  </si>
  <si>
    <t>THE ARIES</t>
  </si>
  <si>
    <t>51 SCIENCE PARK ROAD, SINGAPORE 117586</t>
  </si>
  <si>
    <t>THE ALPHA</t>
  </si>
  <si>
    <t>10 SCIENCE PARK ROAD, SINGAPORE 117684</t>
  </si>
  <si>
    <t>THE GEMINI</t>
  </si>
  <si>
    <t>41 SCIENCE PARK ROAD, SINGAPORE 117610</t>
  </si>
  <si>
    <t>1 CHANGI BUSINESS PARK CRESCENT, SINGAPORE 486025</t>
  </si>
  <si>
    <t>ONE @ CHANGI CITY</t>
  </si>
  <si>
    <t>1 CHANGI BUSINESS PARK AVENUE 1, SINGAPORE 486058</t>
  </si>
  <si>
    <t>EASTGATE</t>
  </si>
  <si>
    <t>ROBERTSON WALK</t>
  </si>
  <si>
    <t>11 UNITY STREET, SINGAPORE 237995</t>
  </si>
  <si>
    <t>JURONG TOWN HALL</t>
  </si>
  <si>
    <t>9 JURONG TOWN HALL ROAD, SINGAPORE 609431</t>
  </si>
  <si>
    <t>THE JTC SUMMIT</t>
  </si>
  <si>
    <t>8 JURONG TOWN HALL ROAD, SINGAPORE 609434</t>
  </si>
  <si>
    <t>CLEANTECH ONE</t>
  </si>
  <si>
    <t>1 CLEANTECH LOOP, SINGAPORE 637141</t>
  </si>
  <si>
    <t>JTC LAUNCHPAD @ JURONG INNOVATION DISTRICT</t>
  </si>
  <si>
    <t>2 CLEANTECH LOOP, SINGAPORE 637144</t>
  </si>
  <si>
    <t>JTC CLEANTECH TWO @CLEANTECH PARK</t>
  </si>
  <si>
    <t>3 CLEANTECH LOOP, SINGAPORE 637143</t>
  </si>
  <si>
    <t>9 CHANGI BUSINESS PARK CENTRAL 1, SINGAPORE 486048</t>
  </si>
  <si>
    <t>15 CHANGI BUSINESS PARK CENTRAL 1, SINGAPORE 486057</t>
  </si>
  <si>
    <t>7 CHANGI BUSINESS PARK CENTRAL 1, SINGAPORE 486072</t>
  </si>
  <si>
    <t>INNOVIS</t>
  </si>
  <si>
    <t>2 FUSIONOPOLIS WAY, SINGAPORE 138634</t>
  </si>
  <si>
    <t>KINESIS</t>
  </si>
  <si>
    <t>4 FUSIONOPOLIS WAY, SINGAPORE 138635</t>
  </si>
  <si>
    <t>SYNTHESIS</t>
  </si>
  <si>
    <t>6 FUSIONOPOLIS WAY, SINGAPORE 138636</t>
  </si>
  <si>
    <t>REVENUE HOUSE</t>
  </si>
  <si>
    <t>55 NEWTON ROAD, SINGAPORE 307987</t>
  </si>
  <si>
    <t>AMNIOS</t>
  </si>
  <si>
    <t>1 BIOPOLIS DRIVE, SINGAPORE 138622</t>
  </si>
  <si>
    <t>SYNAPSE</t>
  </si>
  <si>
    <t>3 BIOPOLIS DRIVE, SINGAPORE 138623</t>
  </si>
  <si>
    <t>IBIS SINGAPORE BENCOOLEN</t>
  </si>
  <si>
    <t>170 BENCOOLEN STREET, SINGAPORE 189657</t>
  </si>
  <si>
    <t>KITCHENER COMPLEX</t>
  </si>
  <si>
    <t>809 FRENCH ROAD, SINGAPORE 200809</t>
  </si>
  <si>
    <t>NEW BRIDGE CENTRE</t>
  </si>
  <si>
    <t>336 SMITH STREET, SINGAPORE 050336</t>
  </si>
  <si>
    <t>BURLINGTON SQUARE</t>
  </si>
  <si>
    <t>175 BENCOOLEN STREET, SINGAPORE 189649</t>
  </si>
  <si>
    <t>31 INTERNATIONAL BUSINESS PARK, SINGAPORE 609921</t>
  </si>
  <si>
    <t>112 KATONG</t>
  </si>
  <si>
    <t>ACACIA HOME</t>
  </si>
  <si>
    <t>30 ADMIRALTY STREET, SINGAPORE 757441</t>
  </si>
  <si>
    <t>ICON@IBP</t>
  </si>
  <si>
    <t>3A INTERNATIONAL BUSINESS PARK, SINGAPORE 609935</t>
  </si>
  <si>
    <t>HOUGANG GREEN SHOPPING MALL</t>
  </si>
  <si>
    <t>18 SCIENCE PARK DRIVE, SINGAPORE 118229</t>
  </si>
  <si>
    <t>SPRINGLEAF TOWER</t>
  </si>
  <si>
    <t>3 ANSON ROAD, SINGAPORE 079909</t>
  </si>
  <si>
    <t>CONNECTION ONE</t>
  </si>
  <si>
    <t>HDB HUB</t>
  </si>
  <si>
    <t>490 LORONG 6 TOA PAYOH, SINGAPORE 310490</t>
  </si>
  <si>
    <t>PEOPLE'S ASSOCIATION</t>
  </si>
  <si>
    <t>8 EU TONG SEN STREET, SINGAPORE 059818</t>
  </si>
  <si>
    <t>OCBC TAMPINES CENTRE ONE</t>
  </si>
  <si>
    <t>11 TAMPINES CENTRAL 1, SINGAPORE 529542</t>
  </si>
  <si>
    <t>OCBC TAMPINES CENTRE TWO</t>
  </si>
  <si>
    <t>31 TAMPINES AVENUE 4, SINGAPORE 529680</t>
  </si>
  <si>
    <t>TELEPARK</t>
  </si>
  <si>
    <t>5 TAMPINES CENTRAL 6, SINGAPORE 529482</t>
  </si>
  <si>
    <t>MIDPOINT ORCHARD</t>
  </si>
  <si>
    <t>BUKIT TIMAH PLAZA</t>
  </si>
  <si>
    <t>1 JALAN ANAK BUKIT, SINGAPORE 588996</t>
  </si>
  <si>
    <t>CENTRAL MALL</t>
  </si>
  <si>
    <t>VISTA POINT</t>
  </si>
  <si>
    <t>DEPOT HEIGHTS SHOPPING CENTRE</t>
  </si>
  <si>
    <t>PEOPLE'S PARK COMPLEX</t>
  </si>
  <si>
    <t>MAXWELL CHAMBERS</t>
  </si>
  <si>
    <t>32 MAXWELL ROAD, SINGAPORE 069115</t>
  </si>
  <si>
    <t>WEST MALL</t>
  </si>
  <si>
    <t>1 BUKIT BATOK CENTRAL LINK, SINGAPORE 658713</t>
  </si>
  <si>
    <t>ULU PANDAN COMMUNITY CENTRE</t>
  </si>
  <si>
    <t>WILKIE EDGE</t>
  </si>
  <si>
    <t>8 WILKIE ROAD, SINGAPORE 228095</t>
  </si>
  <si>
    <t>SENTOSA GOLF CLUB</t>
  </si>
  <si>
    <t>27 BUKIT MANIS ROAD, SINGAPORE 099892</t>
  </si>
  <si>
    <t>TELETECH PARK</t>
  </si>
  <si>
    <t>20 SCIENCE PARK ROAD, SINGAPORE 117674</t>
  </si>
  <si>
    <t>VALLEY POINT</t>
  </si>
  <si>
    <t>491 RIVER VALLEY ROAD, SINGAPORE 248371</t>
  </si>
  <si>
    <t>LIFELONG LEARNING INSTITUTE</t>
  </si>
  <si>
    <t>LEISURE PARK KALLANG</t>
  </si>
  <si>
    <t>5 STADIUM WALK, SINGAPORE 397693</t>
  </si>
  <si>
    <t>MILLENIA WALK</t>
  </si>
  <si>
    <t>CENTENNIAL TOWER</t>
  </si>
  <si>
    <t>MILLENIA TOWER</t>
  </si>
  <si>
    <t>BUGIS+</t>
  </si>
  <si>
    <t>GALAXIS</t>
  </si>
  <si>
    <t>INFINITE STUDIOS</t>
  </si>
  <si>
    <t>21 MEDIA CIRCLE, SINGAPORE 138562</t>
  </si>
  <si>
    <t>PRUDENTIAL TOWER</t>
  </si>
  <si>
    <t>30 CECIL STREET, SINGAPORE 049712</t>
  </si>
  <si>
    <t>CLEMENTI POLICE DIVISION HEADQUARTERS</t>
  </si>
  <si>
    <t>20 CLEMENTI AVENUE 5, SINGAPORE 129858</t>
  </si>
  <si>
    <t>2 JURONG WEST AVENUE 5, SINGAPORE 649482</t>
  </si>
  <si>
    <t>18 NAPIER ROAD, SINGAPORE 258510</t>
  </si>
  <si>
    <t>21 KAMPONG JAVA ROAD, SINGAPORE 228892</t>
  </si>
  <si>
    <t>SPECIAL OPERATIONS COMMAND</t>
  </si>
  <si>
    <t>QUEENSWAY, SINGAPORE 149051</t>
  </si>
  <si>
    <t>JURONG WEST SPORTS &amp; RECREATION CTR</t>
  </si>
  <si>
    <t>HOTEL TRAVELTINE</t>
  </si>
  <si>
    <t>700 BEACH ROAD, SINGAPORE 199598</t>
  </si>
  <si>
    <t>THE WOODGROVE</t>
  </si>
  <si>
    <t>120 ROBINSON ROAD, SINGAPORE 068913</t>
  </si>
  <si>
    <t>NUCLEOS</t>
  </si>
  <si>
    <t>21 BIOPOLIS ROAD, SINGAPORE 138567</t>
  </si>
  <si>
    <t>ASCENT</t>
  </si>
  <si>
    <t>2 SCIENCE PARK DRIVE, SINGAPORE 118222</t>
  </si>
  <si>
    <t>GOODMAN ARTS CENTRE</t>
  </si>
  <si>
    <t>ENVIRONMENT BUILDING</t>
  </si>
  <si>
    <t>40 SCOTTS ROAD, SINGAPORE 228231</t>
  </si>
  <si>
    <t>SINGAPORE SHOPPING CENTRE</t>
  </si>
  <si>
    <t>190 CLEMENCEAU AVENUE, SINGAPORE 239924</t>
  </si>
  <si>
    <t>SINGAPORE RACECOURSE</t>
  </si>
  <si>
    <t>58 LOWLAND ROAD, SINGAPORE 547453</t>
  </si>
  <si>
    <t>SCOTTS SQUARE</t>
  </si>
  <si>
    <t>6 SCOTTS ROAD, SINGAPORE 228209</t>
  </si>
  <si>
    <t>1 JURONG EAST STREET 21, SINGAPORE 609606</t>
  </si>
  <si>
    <t>ANG MO KIO COMMUNITY HOSPITAL</t>
  </si>
  <si>
    <t>NEXUS @ONE-NORTH</t>
  </si>
  <si>
    <t>NEUROS</t>
  </si>
  <si>
    <t>IMMUNOS</t>
  </si>
  <si>
    <t>SINGAPORE UNIVERSITY OF TECHNOLOGY AND DESIGN</t>
  </si>
  <si>
    <t>8 SOMAPAH ROAD, SINGAPORE 487372</t>
  </si>
  <si>
    <t>GUTHRIE HOUSE</t>
  </si>
  <si>
    <t>1 FIFTH AVENUE, SINGAPORE 268802</t>
  </si>
  <si>
    <t>17 CHANGI BUSINESS PARK CENTRAL 1, SINGAPORE 486073</t>
  </si>
  <si>
    <t>3 CHANGI BUSINESS PARK VISTA, SINGAPORE 486051</t>
  </si>
  <si>
    <t>1 PASIR RIS CENTRAL STREET 3, SINGAPORE 518457</t>
  </si>
  <si>
    <t>MUHAMMADIYAH WELFARE HOME</t>
  </si>
  <si>
    <t>EMPRESS PLACE BUILDING</t>
  </si>
  <si>
    <t>BRIGHT VISION HOSPITAL</t>
  </si>
  <si>
    <t>31 AH HOOD ROAD, SINGAPORE 329979</t>
  </si>
  <si>
    <t>OLD POLICE ACADEMY</t>
  </si>
  <si>
    <t>ANG MO KIO POLICE DIVISION HEADQUARTERS</t>
  </si>
  <si>
    <t>51 ANG MO KIO AVENUE 9, SINGAPORE 569784</t>
  </si>
  <si>
    <t>POLICE COAST GUARD LOYANG BASE</t>
  </si>
  <si>
    <t>91 LOYANG WAY, SINGAPORE 508773</t>
  </si>
  <si>
    <t>POLICE COAST GUARD HQ AND POLCOM BUILDING</t>
  </si>
  <si>
    <t>11 BRANI WAY, SINGAPORE 098658</t>
  </si>
  <si>
    <t>POLICE COAST GUARD GUL BASE</t>
  </si>
  <si>
    <t>9 PIONEER PLACE, SINGAPORE 627864</t>
  </si>
  <si>
    <t>POLICE CANTONMENT COMPLEX</t>
  </si>
  <si>
    <t>391 NEW BRIDGE ROAD, SINGAPORE 088762</t>
  </si>
  <si>
    <t>AIRPORT POLICE STATION</t>
  </si>
  <si>
    <t>35 AIRPORT BOULEVARD, SINGAPORE 819645</t>
  </si>
  <si>
    <t>1 HEMMANT ROAD, SINGAPORE 438675</t>
  </si>
  <si>
    <t>BEDOK POLICE DIVISION HEADQUARTERS</t>
  </si>
  <si>
    <t>30 BEDOK NORTH ROAD, SINGAPORE 469676</t>
  </si>
  <si>
    <t>ROBINSON POINT</t>
  </si>
  <si>
    <t>39 ROBINSON ROAD, SINGAPORE 068911</t>
  </si>
  <si>
    <t>101 BUKIT PANJANG ROAD, SINGAPORE 679910</t>
  </si>
  <si>
    <t>BALESTIER POINT</t>
  </si>
  <si>
    <t>279 BALESTIER ROAD, SINGAPORE 329727</t>
  </si>
  <si>
    <t>THE REGENT SINGAPORE</t>
  </si>
  <si>
    <t>1 CUSCADEN ROAD, SINGAPORE 249715</t>
  </si>
  <si>
    <t>TAMPINES MALL</t>
  </si>
  <si>
    <t>4 TAMPINES CENTRAL 5, SINGAPORE 529510</t>
  </si>
  <si>
    <t>CUSTOMS HOUSE</t>
  </si>
  <si>
    <t>CLIFFORD PIER</t>
  </si>
  <si>
    <t>1 FULLERTON SQUARE, SINGAPORE 049178</t>
  </si>
  <si>
    <t>CHANGI COVE</t>
  </si>
  <si>
    <t>351 CRANWELL ROAD, SINGAPORE 509866</t>
  </si>
  <si>
    <t>5 TAMPINES STREET 32, SINGAPORE 529284</t>
  </si>
  <si>
    <t>90 EU TONG SEN STREET, SINGAPORE 059811</t>
  </si>
  <si>
    <t>DIOCESAN CENTRE BUILDING</t>
  </si>
  <si>
    <t>1 FRANCIS THOMAS DRIVE, SINGAPORE 359340</t>
  </si>
  <si>
    <t>DEVAN NAIR INSTITUTE</t>
  </si>
  <si>
    <t>11 NORTHSHORE DRIVE, SINGAPORE 828670</t>
  </si>
  <si>
    <t>FRAGRANCE EMPIRE BUILDING</t>
  </si>
  <si>
    <t>456 ALEXANDRA ROAD, SINGAPORE 119962</t>
  </si>
  <si>
    <t>HAITE BUILDING</t>
  </si>
  <si>
    <t>15 CHANGI BUSINESS PARK CRESCENT, SINGAPORE 486006</t>
  </si>
  <si>
    <t>TUV SUD PSB BUILDING</t>
  </si>
  <si>
    <t>BALESTIER PLAZA</t>
  </si>
  <si>
    <t>YEWTEE POINT</t>
  </si>
  <si>
    <t>21 CHOA CHU KANG NORTH 6, SINGAPORE 689578</t>
  </si>
  <si>
    <t>9 AH HOOD ROAD, SINGAPORE 329975</t>
  </si>
  <si>
    <t>THE MIDTOWN</t>
  </si>
  <si>
    <t>CONNEXION</t>
  </si>
  <si>
    <t>1 FARRER PARK STATION ROAD, SINGAPORE 217562</t>
  </si>
  <si>
    <t>ANCHORPOINT SHOPPING CENTRE</t>
  </si>
  <si>
    <t>370 ALEXANDRA ROAD, SINGAPORE 159953</t>
  </si>
  <si>
    <t>PEOPLE'S PARK CENTRE</t>
  </si>
  <si>
    <t>BUKIT TIMAH SHOPPING CENTRE</t>
  </si>
  <si>
    <t>170 UPPER BUKIT TIMAH ROAD, SINGAPORE 588179</t>
  </si>
  <si>
    <t>UOB PLAZA</t>
  </si>
  <si>
    <t>80 RAFFLES PLACE, SINGAPORE 048624</t>
  </si>
  <si>
    <t>FAR EASTERN BANK BUILDING</t>
  </si>
  <si>
    <t>156 CECIL STREET, SINGAPORE 069544</t>
  </si>
  <si>
    <t>UOB ALEXANDRA BUILDING</t>
  </si>
  <si>
    <t>396 ALEXANDRA ROAD, SINGAPORE 119954</t>
  </si>
  <si>
    <t>UOB TAMPINES CENTRE</t>
  </si>
  <si>
    <t>1 TAMPINES CENTRAL 1, SINGAPORE 529539</t>
  </si>
  <si>
    <t>MND BUILDING</t>
  </si>
  <si>
    <t>5 MAXWELL ROAD, SINGAPORE 069110</t>
  </si>
  <si>
    <t>MND BUILDING ANNEXE B</t>
  </si>
  <si>
    <t>7 MAXWELL ROAD, SINGAPORE 069111</t>
  </si>
  <si>
    <t>MND BUILDING ANNEXE A</t>
  </si>
  <si>
    <t>9 MAXWELL ROAD, SINGAPORE 069112</t>
  </si>
  <si>
    <t>57 ANCHORVALE ROAD, SINGAPORE 544964</t>
  </si>
  <si>
    <t>NEW WORLD CENTRE</t>
  </si>
  <si>
    <t>1 JALAN BERSEH, SINGAPORE 209037</t>
  </si>
  <si>
    <t>QUEENSTOWN SWIMMING COMPLEX</t>
  </si>
  <si>
    <t>1 HILLVIEW RISE, SINGAPORE 667970</t>
  </si>
  <si>
    <t>111 SOMERSET</t>
  </si>
  <si>
    <t>SIF BUILDING</t>
  </si>
  <si>
    <t>96 ROBINSON ROAD, SINGAPORE 068899</t>
  </si>
  <si>
    <t>CHOA CHU KANG STADIUM</t>
  </si>
  <si>
    <t>PARKWAY PARADE</t>
  </si>
  <si>
    <t>SENGKANG COMMUNITY HUB</t>
  </si>
  <si>
    <t>31 BEACH VIEW, SINGAPORE 098008</t>
  </si>
  <si>
    <t>BEDOK STADIUM</t>
  </si>
  <si>
    <t>1 BEDOK NORTH STREET 2, SINGAPORE 469642</t>
  </si>
  <si>
    <t>SELETAR COUNTRY CLUB</t>
  </si>
  <si>
    <t>101 SELETAR CLUB ROAD, SINGAPORE 798273</t>
  </si>
  <si>
    <t>JUNCTION 10</t>
  </si>
  <si>
    <t>120 PASIR RIS CENTRAL, SINGAPORE 519640</t>
  </si>
  <si>
    <t>TAMPINES WEST COMMUNITY CLUB</t>
  </si>
  <si>
    <t>BISHAN COMMUNITY CLUB</t>
  </si>
  <si>
    <t>51 BISHAN STREET 13, SINGAPORE 579799</t>
  </si>
  <si>
    <t>GOLDHILL PLAZA</t>
  </si>
  <si>
    <t>1 GOLDHILL PLAZA, SINGAPORE 308899</t>
  </si>
  <si>
    <t>108 ROBINSON ROAD, SINGAPORE 068900</t>
  </si>
  <si>
    <t>MINISTRY OF FOREIGN AFFAIRS BUILDING</t>
  </si>
  <si>
    <t>1 SHERWOOD ROAD, SINGAPORE 248163</t>
  </si>
  <si>
    <t>WISMA GEYLANG SERAI</t>
  </si>
  <si>
    <t>BALMORAL PLAZA</t>
  </si>
  <si>
    <t>22 KENSINGTON PARK ROAD, SINGAPORE 557271</t>
  </si>
  <si>
    <t>VIVA VISTA</t>
  </si>
  <si>
    <t>JUNCTION NINE</t>
  </si>
  <si>
    <t>INCOME AT RAFFLES</t>
  </si>
  <si>
    <t>16 COLLYER QUAY, SINGAPORE 049318</t>
  </si>
  <si>
    <t>OG BUILDING</t>
  </si>
  <si>
    <t>100 UPPER CROSS STREET, SINGAPORE 058360</t>
  </si>
  <si>
    <t>THE OCTAGON</t>
  </si>
  <si>
    <t>105 CECIL STREET, SINGAPORE 069534</t>
  </si>
  <si>
    <t>78 SHENTON WAY, SINGAPORE 079120</t>
  </si>
  <si>
    <t>NEHSONS BUILDING</t>
  </si>
  <si>
    <t>REALTY CENTRE</t>
  </si>
  <si>
    <t>OG ALBERT COMPLEX</t>
  </si>
  <si>
    <t>60 ALBERT STREET, SINGAPORE 189969</t>
  </si>
  <si>
    <t>MANHATTAN HOUSE</t>
  </si>
  <si>
    <t>151 CHIN SWEE ROAD, SINGAPORE 169876</t>
  </si>
  <si>
    <t>CES CENTRE</t>
  </si>
  <si>
    <t>171 CHIN SWEE ROAD, SINGAPORE 169877</t>
  </si>
  <si>
    <t>RAFFLES CITY TOWER</t>
  </si>
  <si>
    <t>RAFFLES CITY SHOPPING CENTRE</t>
  </si>
  <si>
    <t>252 NORTH BRIDGE ROAD, SINGAPORE 179103</t>
  </si>
  <si>
    <t>200 VICTORIA STREET, SINGAPORE 188021</t>
  </si>
  <si>
    <t>GR:ID</t>
  </si>
  <si>
    <t>ODEON TOWERS</t>
  </si>
  <si>
    <t>331 NORTH BRIDGE ROAD, SINGAPORE 188720</t>
  </si>
  <si>
    <t>ICB ENTERPRISE HOUSE</t>
  </si>
  <si>
    <t>FORTUNE CENTRE</t>
  </si>
  <si>
    <t>MANULIFE CENTRE</t>
  </si>
  <si>
    <t>GOLDEN MILE TOWER</t>
  </si>
  <si>
    <t>6001 BEACH ROAD, SINGAPORE 199589</t>
  </si>
  <si>
    <t>SIM LIM TOWER</t>
  </si>
  <si>
    <t>10 JALAN BESAR, SINGAPORE 208787</t>
  </si>
  <si>
    <t>UNITED HOUSE</t>
  </si>
  <si>
    <t>MACDONALD HOUSE</t>
  </si>
  <si>
    <t>OG ORCHARD POINT</t>
  </si>
  <si>
    <t>160 ORCHARD ROAD, SINGAPORE 238842</t>
  </si>
  <si>
    <t>FABER HOUSE</t>
  </si>
  <si>
    <t>HAW PAR CENTRE</t>
  </si>
  <si>
    <t>180 CLEMENCEAU AVENUE, SINGAPORE 239922</t>
  </si>
  <si>
    <t>HOLLAND ROAD SHOPPING CENTRE</t>
  </si>
  <si>
    <t>SINGAPORE POST CENTRE</t>
  </si>
  <si>
    <t>10 EUNOS ROAD 8, SINGAPORE 408600</t>
  </si>
  <si>
    <t>BEDOK POINT</t>
  </si>
  <si>
    <t>9 TAMPINES GRANDE, SINGAPORE 528735</t>
  </si>
  <si>
    <t>JCUBE</t>
  </si>
  <si>
    <t>VISIONCREST</t>
  </si>
  <si>
    <t>103 PENANG ROAD, SINGAPORE 238467</t>
  </si>
  <si>
    <t>RHB BANK BUILDING</t>
  </si>
  <si>
    <t>90 CECIL STREET, SINGAPORE 069531</t>
  </si>
  <si>
    <t>ICON@CHANGI</t>
  </si>
  <si>
    <t>228 CHANGI ROAD, SINGAPORE 419741</t>
  </si>
  <si>
    <t>QUAYSIDE ISLE</t>
  </si>
  <si>
    <t>TUNG ANN ASSOCIATION BUILDING</t>
  </si>
  <si>
    <t>8 ANTHONY ROAD, SINGAPORE 229957</t>
  </si>
  <si>
    <t>HEXACUBE</t>
  </si>
  <si>
    <t>160 CHANGI ROAD, SINGAPORE 419728</t>
  </si>
  <si>
    <t>SHANGRI-LA'S RASA SENTOSA RESORT &amp; SPA</t>
  </si>
  <si>
    <t>GRAND COPTHORNE WATERFRONT</t>
  </si>
  <si>
    <t>392 HAVELOCK ROAD, SINGAPORE 169663</t>
  </si>
  <si>
    <t>OASIA HOTEL NOVENA, SINGAPORE</t>
  </si>
  <si>
    <t>8 SINARAN DRIVE, SINGAPORE 307470</t>
  </si>
  <si>
    <t>PARK AVENUE CHANGI</t>
  </si>
  <si>
    <t>PS100</t>
  </si>
  <si>
    <t>100 PECK SEAH STREET, SINGAPORE 079333</t>
  </si>
  <si>
    <t>THE GALEN</t>
  </si>
  <si>
    <t>61 SCIENCE PARK ROAD, SINGAPORE 117525</t>
  </si>
  <si>
    <t>THE CAPRICORN</t>
  </si>
  <si>
    <t>SOLARIS</t>
  </si>
  <si>
    <t>1 FUSIONOPOLIS WALK, SINGAPORE 138628</t>
  </si>
  <si>
    <t>10 CHANGI BUSINESS PARK CENTRAL 2, SINGAPORE 486030</t>
  </si>
  <si>
    <t>15A CHANGI BUSINESS PARK CENTRAL 1, SINGAPORE 486035</t>
  </si>
  <si>
    <t>TECHQUEST</t>
  </si>
  <si>
    <t>7 INTERNATIONAL BUSINESS PARK, SINGAPORE 609919</t>
  </si>
  <si>
    <t>ACER BUILDING</t>
  </si>
  <si>
    <t>29 INTERNATIONAL BUSINESS PARK, SINGAPORE 609923</t>
  </si>
  <si>
    <t>1A INTERNATIONAL BUSINESS PARK, SINGAPORE 609933</t>
  </si>
  <si>
    <t>14 INTERNATIONAL BUSINESS PARK, SINGAPORE 609922</t>
  </si>
  <si>
    <t>VIVA BUSINESS PARK</t>
  </si>
  <si>
    <t>750 CHAI CHEE ROAD, SINGAPORE 469000</t>
  </si>
  <si>
    <t>26A AYER RAJAH CRESCENT, SINGAPORE 139963</t>
  </si>
  <si>
    <t>ONE MARINA BOULEVARD</t>
  </si>
  <si>
    <t>1 MARINA BOULEVARD, SINGAPORE 018989</t>
  </si>
  <si>
    <t>ROYAL SQUARE AT NOVENA</t>
  </si>
  <si>
    <t>DUO TOWER</t>
  </si>
  <si>
    <t>PARKWAY EAST HOSPITAL</t>
  </si>
  <si>
    <t>321 JOO CHIAT PLACE, SINGAPORE 427990</t>
  </si>
  <si>
    <t>CEREBRAL PALSY CENTRE</t>
  </si>
  <si>
    <t>65 PASIR RIS DRIVE 1, SINGAPORE 519529</t>
  </si>
  <si>
    <t>TAMPINES POLYCLINIC</t>
  </si>
  <si>
    <t>1 TAMPINES STREET 41, SINGAPORE 529203</t>
  </si>
  <si>
    <t>VICTORIA THEATRE</t>
  </si>
  <si>
    <t>LITTLE SISTERS OF THE POOR</t>
  </si>
  <si>
    <t>1 SEGAR ROAD, SINGAPORE 677738</t>
  </si>
  <si>
    <t>ARENA COUNTRY CLUB</t>
  </si>
  <si>
    <t>Commercial Building</t>
  </si>
  <si>
    <t>Healthcare Facility</t>
  </si>
  <si>
    <t>Medium</t>
  </si>
  <si>
    <t>Water Cooled Chilled Water Plant</t>
  </si>
  <si>
    <t>Air Cooled Chilled Water Plant</t>
  </si>
  <si>
    <t>ITE/ Polytechnic</t>
  </si>
  <si>
    <t>note: includes buildings without completed submissions in 2021, NA refers to buildings that were not benchmarked, or EUI has been combined under the main building</t>
  </si>
  <si>
    <t>Community Hospital/ Nursing Home</t>
  </si>
  <si>
    <t>Award (Green/Non-Green)</t>
  </si>
  <si>
    <t>Year of GM Award</t>
  </si>
  <si>
    <t>Green Mark Version</t>
  </si>
  <si>
    <t>Existing Building for Non-Residential buildings (version 2.1)</t>
  </si>
  <si>
    <t>New Building for Non-Residential buildings (version 4.1)</t>
  </si>
  <si>
    <t>Existing Non-Residental Buildings ENRB: 2017</t>
  </si>
  <si>
    <t>New Building for Non-Residential buildings (version 4)</t>
  </si>
  <si>
    <t>Existing Building for Non-Residential buildings (version 3)</t>
  </si>
  <si>
    <t>Non-Residential Buildings NRB: 2015</t>
  </si>
  <si>
    <t>New Building for Non-Residential buildings (version 3)</t>
  </si>
  <si>
    <t>New Building for Non-Residential buildings (version 4.0)</t>
  </si>
  <si>
    <t>Existing Building (version 2)</t>
  </si>
  <si>
    <t>New Building (version 1)</t>
  </si>
  <si>
    <t>Existing Data Centres</t>
  </si>
  <si>
    <t>New Building for A/C buildings (version 2)</t>
  </si>
  <si>
    <t>Healthcare Facilities (Version 1.0)</t>
  </si>
  <si>
    <t>Existing Building (version 1)</t>
  </si>
  <si>
    <t>GM NRB: 2015</t>
  </si>
  <si>
    <t>21 JURONG EAST STREET 31</t>
  </si>
  <si>
    <t>51 GRANGE ROAD</t>
  </si>
  <si>
    <t>298 JALAN BUKIT HO SWEE</t>
  </si>
  <si>
    <t>501 OLD CHOA CHU KANG ROAD</t>
  </si>
  <si>
    <t>1 KAY SIANG ROAD</t>
  </si>
  <si>
    <t>1 DEFU AVENUE 1</t>
  </si>
  <si>
    <t>18 NAPIER ROAD</t>
  </si>
  <si>
    <t>3 BULIM DRIVE</t>
  </si>
  <si>
    <t>31 INTERNATIONAL BUSINESS PARK</t>
  </si>
  <si>
    <t>28 BIOPOLIS ROAD</t>
  </si>
  <si>
    <t>1A INTERNATIONAL BUSINESS PARK</t>
  </si>
  <si>
    <t>71 CHAI CHEE STREET</t>
  </si>
  <si>
    <t>20 HARBOUR DRIVE</t>
  </si>
  <si>
    <t>79 ANSON ROAD</t>
  </si>
  <si>
    <t>1 AVIATION DRIVE</t>
  </si>
  <si>
    <t>6 BATTERY ROAD</t>
  </si>
  <si>
    <t>78 SHENTON WAY</t>
  </si>
  <si>
    <t>51 SCOTTS ROAD</t>
  </si>
  <si>
    <t>63 CHULIA STREET</t>
  </si>
  <si>
    <t>71 ROBINSON ROAD</t>
  </si>
  <si>
    <t>18 SCIENCE PARK DRIVE</t>
  </si>
  <si>
    <t>80 ROBINSON ROAD</t>
  </si>
  <si>
    <t>6 RAFFLES QUAY</t>
  </si>
  <si>
    <t>2 BUKIT MERAH CENTRAL</t>
  </si>
  <si>
    <t>3 TAMPINES GRANDE</t>
  </si>
  <si>
    <t>984 UPPER CHANGI ROAD NORTH</t>
  </si>
  <si>
    <t>20 AYER RAJAH CRESCENT</t>
  </si>
  <si>
    <t>26A AYER RAJAH CRESCENT</t>
  </si>
  <si>
    <t>450 ALEXANDRA ROAD</t>
  </si>
  <si>
    <t>149 COMPASSVALE BOW</t>
  </si>
  <si>
    <t>1 MARYMOUNT LANE</t>
  </si>
  <si>
    <t>50 BUANGKOK DRIVE</t>
  </si>
  <si>
    <t>145 WEST COAST ROAD</t>
  </si>
  <si>
    <t>10 SCIENCE CENTRE ROAD</t>
  </si>
  <si>
    <t>36 ARMENIAN STREET</t>
  </si>
  <si>
    <t>90 EU TONG SEN STREET</t>
  </si>
  <si>
    <t>101 BUKIT PANJANG ROAD</t>
  </si>
  <si>
    <t>1 HILLVIEW RISE</t>
  </si>
  <si>
    <t>3 HAVELOCK SQUARE</t>
  </si>
  <si>
    <t>108 ROBINSON ROAD</t>
  </si>
  <si>
    <t>150 CECIL STREET</t>
  </si>
  <si>
    <t>991G ALEXANDRA ROAD</t>
  </si>
  <si>
    <t>14 INTERNATIONAL BUSINESS PARK</t>
  </si>
  <si>
    <t>120 ROBINSON ROAD</t>
  </si>
  <si>
    <t>10 RAEBURN PARK</t>
  </si>
  <si>
    <t>158 CECIL STREET</t>
  </si>
  <si>
    <t>11 TAMPINES CONCOURSE</t>
  </si>
  <si>
    <t>16 INTERNATIONAL BUSINESS PARK</t>
  </si>
  <si>
    <t>30 HILL STREET</t>
  </si>
  <si>
    <t>137 TELOK AYER STREET</t>
  </si>
  <si>
    <t>50 SCOTTS ROAD</t>
  </si>
  <si>
    <t>21 JURONG EAST CENTRAL 1</t>
  </si>
  <si>
    <t>2 LENGKOK BAHRU</t>
  </si>
  <si>
    <t>93 HOUGANG AVENUE 4</t>
  </si>
  <si>
    <t>8 ANTHONY ROAD</t>
  </si>
  <si>
    <t>8 INTERNATIONAL BUSINESS PARK</t>
  </si>
  <si>
    <t>10 INTERNATIONAL BUSINESS PARK</t>
  </si>
  <si>
    <t>28 STEVENS ROAD</t>
  </si>
  <si>
    <t>50 TIONG BAHRU ROAD</t>
  </si>
  <si>
    <t>51 IMBIAH WALK</t>
  </si>
  <si>
    <t>405 HAVELOCK ROAD</t>
  </si>
  <si>
    <t>1 LARKHILL ROAD</t>
  </si>
  <si>
    <t>10 ARTILLERY AVENUE</t>
  </si>
  <si>
    <t>96 SOMERSET ROAD</t>
  </si>
  <si>
    <t>22 CAVENAGH ROAD</t>
  </si>
  <si>
    <t>1 THE KNOLLS</t>
  </si>
  <si>
    <t>175A CHIN SWEE ROAD</t>
  </si>
  <si>
    <t>3 DICKSON ROAD</t>
  </si>
  <si>
    <t>67 QUEEN STREET</t>
  </si>
  <si>
    <t>92 TELOK AYER STREET</t>
  </si>
  <si>
    <t>1 PASIR RIS CENTRAL STREET 3</t>
  </si>
  <si>
    <t>930 YISHUN AVENUE 2</t>
  </si>
  <si>
    <t>230 STADIUM BOULEVARD</t>
  </si>
  <si>
    <t>61 ANG MO KIO AVENUE 8</t>
  </si>
  <si>
    <t>5 TAMPINES STREET 32</t>
  </si>
  <si>
    <t>36 BEACH ROAD</t>
  </si>
  <si>
    <t>3 STADIUM DRIVE</t>
  </si>
  <si>
    <t>120 PASIR RIS CENTRAL</t>
  </si>
  <si>
    <t>57 ANCHORVALE ROAD</t>
  </si>
  <si>
    <t>70 JALAN BAHTERA</t>
  </si>
  <si>
    <t>515 WEST CAMP ROAD</t>
  </si>
  <si>
    <t>100 TURF CLUB ROAD</t>
  </si>
  <si>
    <t>10 TUAS WEST DRIVE</t>
  </si>
  <si>
    <t>52 WEST COAST FERRY ROAD</t>
  </si>
  <si>
    <t>31 BEACH VIEW</t>
  </si>
  <si>
    <t>131 RIFLE RANGE ROAD</t>
  </si>
  <si>
    <t>11 SLIM BARRACKS RISE</t>
  </si>
  <si>
    <t>48 BOON LAY WAY</t>
  </si>
  <si>
    <t>11 NORTHSHORE DRIVE</t>
  </si>
  <si>
    <t>31 AH HOOD ROAD</t>
  </si>
  <si>
    <t>726 UPPER CHANGI ROAD EAST</t>
  </si>
  <si>
    <t>190 ANG MO KIO AVENUE 8</t>
  </si>
  <si>
    <t>1010 DOVER ROAD</t>
  </si>
  <si>
    <t>1 TANAH MERAH COAST ROAD</t>
  </si>
  <si>
    <t>50 NEO TIEW LANE 3</t>
  </si>
  <si>
    <t>9 SENTUL CRESCENT</t>
  </si>
  <si>
    <t>2 BUKIT BATOK WEST AVENUE 7</t>
  </si>
  <si>
    <t>81 CHOA CHU KANG WAY</t>
  </si>
  <si>
    <t>22 KENSINGTON PARK ROAD</t>
  </si>
  <si>
    <t>1 PLYMOUTH AVENUE</t>
  </si>
  <si>
    <t>9 VERNON PARK</t>
  </si>
  <si>
    <t>2 JURONG WEST AVENUE 5</t>
  </si>
  <si>
    <t>21 KAMPONG JAVA ROAD</t>
  </si>
  <si>
    <t>1 HEMMANT ROAD</t>
  </si>
  <si>
    <t>105 PUNGGOL ROAD</t>
  </si>
  <si>
    <t>500 UPPER BUKIT TIMAH ROAD</t>
  </si>
  <si>
    <t>20 SEMBAWANG CRESCENT</t>
  </si>
  <si>
    <t>60 BUANGKOK VIEW</t>
  </si>
  <si>
    <t>1 SEGAR ROAD</t>
  </si>
  <si>
    <t>2 CHOA CHU KANG LOOP</t>
  </si>
  <si>
    <t>190 KENG LEE ROAD</t>
  </si>
  <si>
    <t>32 JURONG PORT ROAD</t>
  </si>
  <si>
    <t>149 SIMS DRIVE</t>
  </si>
  <si>
    <t>29B TAMPINES AVENUE 1</t>
  </si>
  <si>
    <t>510 DOVER ROAD</t>
  </si>
  <si>
    <t>461 CLEMENTI ROAD</t>
  </si>
  <si>
    <t>10 DOVER DRIVE</t>
  </si>
  <si>
    <t>11 MANDALAY ROAD</t>
  </si>
  <si>
    <t>469A BUKIT TIMAH ROAD</t>
  </si>
  <si>
    <t>11 SCIENCE PARK ROAD</t>
  </si>
  <si>
    <t>80 BENCOOLEN STREET</t>
  </si>
  <si>
    <t>21 BUKIT BATOK STREET 22</t>
  </si>
  <si>
    <t>1 TELOK BLANGAH RISE</t>
  </si>
  <si>
    <t>9 AH HOOD ROAD</t>
  </si>
  <si>
    <t>92 JALAN RAJAH</t>
  </si>
  <si>
    <t>1A WOODLEIGH PARK</t>
  </si>
  <si>
    <t>58 LOWLAND ROAD</t>
  </si>
  <si>
    <t>1 TAMPINES STREET 73</t>
  </si>
  <si>
    <t>29 HENG MUI KENG TERRACE</t>
  </si>
  <si>
    <t>501 STIRLING ROAD</t>
  </si>
  <si>
    <t>10 HYDERABAD ROAD</t>
  </si>
  <si>
    <t>1 AYER RAJAH AVENUE</t>
  </si>
  <si>
    <t>2 ONE-NORTH GATEWAY</t>
  </si>
  <si>
    <t>1 JURONG EAST STREET 21</t>
  </si>
  <si>
    <t>38 IRRAWADDY ROAD</t>
  </si>
  <si>
    <t>551 YISHUN RING ROAD</t>
  </si>
  <si>
    <t>10 ANG MO KIO AVENUE 8</t>
  </si>
  <si>
    <t>70 BUANGKOK VIEW</t>
  </si>
  <si>
    <t>20 WOODLANDS STREET 82</t>
  </si>
  <si>
    <t>205 JALAN KAYU</t>
  </si>
  <si>
    <t>91 YISHUN CENTRAL</t>
  </si>
  <si>
    <t>9 CHOA CHU KANG AVENUE 4</t>
  </si>
  <si>
    <t>5 POH HUAT ROAD</t>
  </si>
  <si>
    <t>11 TAMPINES STREET 44</t>
  </si>
  <si>
    <t>48 HOUGANG AVENUE 8</t>
  </si>
  <si>
    <t>2 BUKIT BATOK STREET 11</t>
  </si>
  <si>
    <t>71 IRRAWADDY ROAD</t>
  </si>
  <si>
    <t>Building Type</t>
  </si>
  <si>
    <t>Building Size</t>
  </si>
  <si>
    <t>GFA</t>
  </si>
  <si>
    <t>AC Area</t>
  </si>
  <si>
    <t>AC Area Percentage</t>
  </si>
  <si>
    <t>No. Of Hotel Room</t>
  </si>
  <si>
    <t>2020 EUI</t>
  </si>
  <si>
    <t>2020 EUI Quartile/ Energy Ranking</t>
  </si>
  <si>
    <t>2021 EUI Quartile/ Energy Ranking</t>
  </si>
  <si>
    <t>2021 EUI</t>
  </si>
  <si>
    <t>Select Building Name</t>
  </si>
  <si>
    <t>Summary of Building Energy Performance</t>
  </si>
  <si>
    <r>
      <t xml:space="preserve">Reason for High EUI </t>
    </r>
    <r>
      <rPr>
        <sz val="12"/>
        <color theme="1"/>
        <rFont val="Calibri"/>
        <family val="2"/>
        <scheme val="minor"/>
      </rPr>
      <t>(if any)</t>
    </r>
  </si>
  <si>
    <t>Reason for High EUI (if any)</t>
  </si>
  <si>
    <t>Office Building with Non-Typical Activity (e.g. Industrial Function)</t>
  </si>
  <si>
    <t>CPIB BUILDING</t>
  </si>
  <si>
    <t>Small</t>
  </si>
  <si>
    <t>MAN FUT TONG NURSING HOME</t>
  </si>
  <si>
    <t>20 WOODLANDS ST 82, SINGAPORE 738507</t>
  </si>
  <si>
    <t>MENICON SINGAPORE PTE LTD</t>
  </si>
  <si>
    <t>BANK OF AMERICA HARBOURFRONT</t>
  </si>
  <si>
    <t>2 HARBOURFRONT PLACE, SINGAPORE 098499, SINGAPORE 098499</t>
  </si>
  <si>
    <t>SHATEC</t>
  </si>
  <si>
    <t>TAMPINES MART</t>
  </si>
  <si>
    <t>GM:2021 In Operation</t>
  </si>
  <si>
    <t>31TAMPINES STREET 61, SINGAPORE 528564</t>
  </si>
  <si>
    <t>10 PASIR PANJANG ROAD,, SINGAPORE 117438</t>
  </si>
  <si>
    <t>ORCHARD ROAD, SINGAPORE 238876</t>
  </si>
  <si>
    <t>Water-Cooled Package Units</t>
  </si>
  <si>
    <t>BLK 20 ARC</t>
  </si>
  <si>
    <t>BLK 20 AYER RAJAH CRESCENT, SINGAPORE 139964</t>
  </si>
  <si>
    <t>JALAN BESAR SPORT CENTRE</t>
  </si>
  <si>
    <t>JURONG POINT SHOPPING CENTRE 1</t>
  </si>
  <si>
    <t>JURONG POINT
1 JURONG WEST CENTRAL 2
SINGAPORE 648886, SINGAPORE 648886</t>
  </si>
  <si>
    <t>HAVELOCK 2</t>
  </si>
  <si>
    <t>SIT@SP BUILDING</t>
  </si>
  <si>
    <t>810 GEYLANG ROAD
#07-00 CITY PLAZA, SINGAPORE 409286</t>
  </si>
  <si>
    <t>10  COLEMAN STREET , SINGAPORE 179809, SINGAPORE 179809</t>
  </si>
  <si>
    <t>JURONG EAST ACTIVESG SPORT CENTRE</t>
  </si>
  <si>
    <t>21 JURONG EAST ST 31, SINGAPORE 609517</t>
  </si>
  <si>
    <t>SAFRA YISHUN COUNTRY CLUB</t>
  </si>
  <si>
    <t>60 YISHUN AVE 4, SINGAPORE 769027</t>
  </si>
  <si>
    <t>6 SHENTON WAY, SINGAPORE 068809, SINGAPORE 068809</t>
  </si>
  <si>
    <t>1 EXPO DRIVE, #02-01, SINGAPORE 486150</t>
  </si>
  <si>
    <t>ST.ANDREW'S NURSING HOME</t>
  </si>
  <si>
    <t>11 JALAN PENJARA SINGAPORE 149380, SINGAPORE 149380</t>
  </si>
  <si>
    <t>HOTEL RE! PTE LTD</t>
  </si>
  <si>
    <t>175A CHIN SWEE ROAD,
SINGAPORE 169879, SINGAPORE 169879</t>
  </si>
  <si>
    <t>MING ARCADE, 21 CUSCADEN ROAD, SINGAPORE 249720</t>
  </si>
  <si>
    <t>SAFRA JURONG CLUBHOUSE (JURONG)</t>
  </si>
  <si>
    <t>CARLTON HOTEL SINGAPORE</t>
  </si>
  <si>
    <t>Existing Non-Residential Buildings (Version 2.1)</t>
  </si>
  <si>
    <t>SINGAPORE INSTITUTE OF POWER &amp; GAS (SIPG)</t>
  </si>
  <si>
    <t>1A. WOODLEIGH PARK, SINGAPORE 357874</t>
  </si>
  <si>
    <t>9 – 15 ADAM ROAD, SINGAPORE 289886</t>
  </si>
  <si>
    <t>HOLIDAY INN SINGAPORE ORCHARD CITY CENTER</t>
  </si>
  <si>
    <t>11 CAVANAGH ROAD, SINGAPORE 229616</t>
  </si>
  <si>
    <t>TEMASEK LIFE SCIENCES LABORATORY</t>
  </si>
  <si>
    <t>REPUBLIC OF SINGAPORE YACTH CLUB</t>
  </si>
  <si>
    <t>Existing Non-Residential Buildings (RECERT 2017)</t>
  </si>
  <si>
    <t>HOTEL MIRAMAR (S) LTD</t>
  </si>
  <si>
    <t>ECLIPSE</t>
  </si>
  <si>
    <t>District Cooling System (DCS)</t>
  </si>
  <si>
    <t>JAMES COOK UNIVERSITY PTE. LTD.</t>
  </si>
  <si>
    <t>149 SIMS DRIVE, SINGAPORE 387380, SINGAPORE 387380</t>
  </si>
  <si>
    <t>MOE EVANS ROAD</t>
  </si>
  <si>
    <t>30 RAFFLES PLACE</t>
  </si>
  <si>
    <t>BLOCK 548 WOODLANDS DRIVE 44, SINGAPORE 730548</t>
  </si>
  <si>
    <t>FAR EAST SQUARE</t>
  </si>
  <si>
    <t>CARLTON CITY HOTEL SINGAPORE</t>
  </si>
  <si>
    <t>BLOCK 511 CANBERRA ROAD, SINGAPORE 750511</t>
  </si>
  <si>
    <t>THE CHEVRONS</t>
  </si>
  <si>
    <t>ORCHARD TOWERS AND ONE CLAYMORE</t>
  </si>
  <si>
    <t>400 ORCHARD ROAD
AND
1 CLAYMORE DRIVE, SINGAPORE 238875</t>
  </si>
  <si>
    <t>MERCURE SINGAPORE TYRWHITT</t>
  </si>
  <si>
    <t>756 UPPER SERANGOON ROAD #02-39A, SINGAPORE 534626</t>
  </si>
  <si>
    <t>FURAMA RIVERFRONT</t>
  </si>
  <si>
    <t>9, AVIATION PARK ROAD, SINGAPORE 498760</t>
  </si>
  <si>
    <t>1 MAJU AVENUE, SINGAPORE 556679, SINGAPORE 556679</t>
  </si>
  <si>
    <t>CLEMENTI SPORT HALL</t>
  </si>
  <si>
    <t>RC HOTEL (PTE) LTD</t>
  </si>
  <si>
    <t>80 BREAS BASAH ROAD, SINGAPORE 189560</t>
  </si>
  <si>
    <t>PARK AVENUE ROCHESTER</t>
  </si>
  <si>
    <t>31 ROCHESTER DRIVE, SINGAPORE 138637, SINGAPORE 138637</t>
  </si>
  <si>
    <t>RC HOTEL (PTE} LTD</t>
  </si>
  <si>
    <t>OCBC CENTRE EAST</t>
  </si>
  <si>
    <t>MAXWELL CHAMBER SUITES</t>
  </si>
  <si>
    <t>28 MAXWELL RD, SINGAPORE 069120</t>
  </si>
  <si>
    <t>SERANGOON GARDENS COUNTRY CLUB</t>
  </si>
  <si>
    <t>HOLIDAY INN EXPRESS CLARKE QUAY</t>
  </si>
  <si>
    <t>60 PAYA LEBAR ROAD SINGAPORE 409051, SINGAPORE 409051</t>
  </si>
  <si>
    <t>DNV TECHNOLOGY CENTRE</t>
  </si>
  <si>
    <t>30 MERCHANT ROAD, RIVERSIDE POINT, SINGAPORE 058282</t>
  </si>
  <si>
    <t>TEMASEK CLUB</t>
  </si>
  <si>
    <t>131
RIFLE RANGE ROAD, #03-03, SINGAPORE 588406</t>
  </si>
  <si>
    <t>1KAY SIANG ROAD</t>
  </si>
  <si>
    <t>3 LIM TECK LIM ROAD, SINGAPORE 088934</t>
  </si>
  <si>
    <t>ASCOTT RAFFLES PLACE SINGAPORE</t>
  </si>
  <si>
    <t>339 THOMSON ROAD SINGAPORE 307677, SINGAPORE 307677</t>
  </si>
  <si>
    <t>SINGAPORE INSTITUTE OF TECHNOLOGY (SIT@TP)</t>
  </si>
  <si>
    <t>29BTAMPINES AVENUE 1, SINGAPORE 528694</t>
  </si>
  <si>
    <t>INSEAD</t>
  </si>
  <si>
    <t>1 AYER RAJAR AVENUE, SINGAPORE 138676</t>
  </si>
  <si>
    <t>SQUARE 2 / NOVENA MEDICAL CENTER</t>
  </si>
  <si>
    <t>REN CI COMMUNITY HOSPITAL</t>
  </si>
  <si>
    <t>163/165/167 PENANG ROAD, SINGAPORE 238463</t>
  </si>
  <si>
    <t>86, 88 EAST COAST ROAD, SINGAPORE 428788</t>
  </si>
  <si>
    <t>THE FULLERTON HOTEL</t>
  </si>
  <si>
    <t>ORCHARDGATEWAY@EMERALD</t>
  </si>
  <si>
    <t>SINGAPORE AVIATION ACADEMY</t>
  </si>
  <si>
    <t>3 SIMEI STREET 6 #06-09, SINGAPORE 528833</t>
  </si>
  <si>
    <t>PARK REGIS INVESTMENTS PTE LTD</t>
  </si>
  <si>
    <t>ISEAS - YUSOF ISHAK INSTITUTE</t>
  </si>
  <si>
    <t>21 MERCHANT ROAD S058267, SINGAPORE 058267</t>
  </si>
  <si>
    <t>ALEXANDRA HOSPITAL</t>
  </si>
  <si>
    <t>378 ALEXANDRA ROAD, SINGAPORE 159964</t>
  </si>
  <si>
    <t>New Non-Residential Buildings (NRB: 2015) (R3)</t>
  </si>
  <si>
    <t>MOUNT ELIZABETH NOVENA HOSPITAL</t>
  </si>
  <si>
    <t>THE PAN PACIFIC HOTEL SINGAPORE</t>
  </si>
  <si>
    <t>SINGAPORE INSTITUTE OF TECHNOLOGY (SIT@DOVER)</t>
  </si>
  <si>
    <t>ORCHARD RENDEZVOUS HOTEL</t>
  </si>
  <si>
    <t>90 HOUGANG AVE 10, SINGAPORE 538766</t>
  </si>
  <si>
    <t>AFRO-ASIA BUILDING</t>
  </si>
  <si>
    <t>63 ROBINSON ROAD, SINGAPORE 068894</t>
  </si>
  <si>
    <t>ASIAN CIVILISATIONS MUSEUM</t>
  </si>
  <si>
    <t>EMPRESS PLACE, SINGAPORE 179555</t>
  </si>
  <si>
    <t>XILINX ASIA PACIFIC PTE LTD</t>
  </si>
  <si>
    <t>XILINX ASIA PACIFIC PTE LTD, 5 CHANGI BUSINESS PARK VISTA, SINGAPORE 486040</t>
  </si>
  <si>
    <t>450 LOR 6 TOA PAYOH, SINGAPORE 319394</t>
  </si>
  <si>
    <t>JOO CHIAT COMPLEX BLK 1 &amp; 2</t>
  </si>
  <si>
    <t>THE RITZ-CARLTON, MILENIA SINGAPORE</t>
  </si>
  <si>
    <t>M1 , MAIN OPERATION CENTER</t>
  </si>
  <si>
    <t>SIT@NP</t>
  </si>
  <si>
    <t>268 ORCHARD ROAD</t>
  </si>
  <si>
    <t>M1 LIMITED</t>
  </si>
  <si>
    <t>SEMBAWANG COUNTRY CLUB.</t>
  </si>
  <si>
    <t>249, SEMBAWANG ROAD, SINGAPORE 758352</t>
  </si>
  <si>
    <t>7 CBP</t>
  </si>
  <si>
    <t>TAMPINES 1</t>
  </si>
  <si>
    <t>SHANGRI-LA SINGAPORE</t>
  </si>
  <si>
    <t>REN CI @ ANG MO KIO NURSING HOME</t>
  </si>
  <si>
    <t>10 ANG MO KIO AVE 8, SINGAPORE 567727</t>
  </si>
  <si>
    <t>435 ORCHARD ROAD SINGAPORE 238877, SINGAPORE 238877</t>
  </si>
  <si>
    <t>SIT@NYP</t>
  </si>
  <si>
    <t>VIBE HOTEL SINGAPORE ORCHARD</t>
  </si>
  <si>
    <t>24 MOUNT ELIZABETH, SINGAPORE 228518, SINGAPORE 228518</t>
  </si>
  <si>
    <t>53 ANG MO KIO AVE 3, SINGAPORE 569933</t>
  </si>
  <si>
    <t>INTERCONTINENTAL SINGAPORE</t>
  </si>
  <si>
    <t>KENT RIDGE GUILD HOUSE</t>
  </si>
  <si>
    <t>WILMAR INTERNATIONAL</t>
  </si>
  <si>
    <t>28 BIOPOLIS ROAD, SINGAPORE 138568</t>
  </si>
  <si>
    <t>ALL SAINTS HOME (HOUGANG)</t>
  </si>
  <si>
    <t>PLAZA 8</t>
  </si>
  <si>
    <t>SAFRA TAMPINES</t>
  </si>
  <si>
    <t>1A TAMPINES ST 92
SINGAPORE 528882, SINGAPORE 528882</t>
  </si>
  <si>
    <t>SINGAPORE INSTITUTE OF MANAGEMENT NAMLY CAMPUS</t>
  </si>
  <si>
    <t>ALL SAINTS HOME (TAMPINES)</t>
  </si>
  <si>
    <t>ALL SAINTS HOME (YISHUN)</t>
  </si>
  <si>
    <t>NATIONAL UNIVERSITY HOSPITAL MEDICAL CENTRE</t>
  </si>
  <si>
    <t>PARKROYAL KITCHENER HOTEL PTE LTD</t>
  </si>
  <si>
    <t>THE FULLERTON WATERBOATHOUSE</t>
  </si>
  <si>
    <t>3 FULLERTON ROAD SINGAPORE 049215, SINGAPORE 049215</t>
  </si>
  <si>
    <t>BLK 167, 168 &amp; 169 
JALAN BUKIT MERAH, SINGAPORE 150168</t>
  </si>
  <si>
    <t>304 ORCHARD ROAD #06-50, SINGAPORE 238863</t>
  </si>
  <si>
    <t>21 MOUNT ELIZABETH SINGAPORE 228516, SINGAPORE 228516</t>
  </si>
  <si>
    <t>Existing Non-Residential Buildings (ENRB: 2017)</t>
  </si>
  <si>
    <t>SINGAPORE BUDDHIST WELFARE SERVICES</t>
  </si>
  <si>
    <t>70 COLLYER QUAY SINGAPORE 049323, SINGAPORE 049323</t>
  </si>
  <si>
    <t>80 COLLYER QUAY SINGAPORE 049326, SINGAPORE 049326</t>
  </si>
  <si>
    <t>MINISTRY OF MANPOWER SERVICE CENTRE</t>
  </si>
  <si>
    <t>1500 BENDEMEER RD, SINGAPORE 339946</t>
  </si>
  <si>
    <t>SHERATON TOWERS SINGAPORE HOTEL</t>
  </si>
  <si>
    <t>31 BUKIT BATOK STREET 52, SINGAPORE 659251, SINGAPORE 659251</t>
  </si>
  <si>
    <t>SUNSHINE WELFARE ACTION MISSION (SWAMI)</t>
  </si>
  <si>
    <t>NO. 5, SEMBAWANG WALK, SINGAPORE 757717</t>
  </si>
  <si>
    <t>101 VICTOR STREET, SINGAPORE 188018</t>
  </si>
  <si>
    <t>CLEANTECH TWO BLK A</t>
  </si>
  <si>
    <t>JTC LAUNCHPAD@JURONG INNOVATION DISTRICT</t>
  </si>
  <si>
    <t>BRAS BASAH COMPLEX</t>
  </si>
  <si>
    <t>231 BAIN STREET, SINGAPORE 180231</t>
  </si>
  <si>
    <t>SENGKANG SPORTS CENTRE</t>
  </si>
  <si>
    <t>QUEENSWAY SHOPPING CENTRE</t>
  </si>
  <si>
    <t>TOA PAYOH SPORT CENTRE</t>
  </si>
  <si>
    <t>301 LORONG 6 TOA PAYOH, SINGAPORE 319389</t>
  </si>
  <si>
    <t>ST ANDREW'S NURSING HOME</t>
  </si>
  <si>
    <t>NATIONAL SKIN CENTRE (S) PTE LTD</t>
  </si>
  <si>
    <t>CAMDEN MEDICAL</t>
  </si>
  <si>
    <t>ONE ORCHARD BOULEVARD, SINGAPORE 248649</t>
  </si>
  <si>
    <t>COLLYER QUAY CENTRE</t>
  </si>
  <si>
    <t>9 CHANGI BUSINESS PARK VISTA  #01-01, SINGAPORE 486041</t>
  </si>
  <si>
    <t>18 SPD</t>
  </si>
  <si>
    <t>N/A</t>
  </si>
  <si>
    <t>FORUM THE SHOPPING MALL</t>
  </si>
  <si>
    <t>LIONS HOME FOR THE ELDERS</t>
  </si>
  <si>
    <t>1 ST. ANDREWS ROAD, SINGAPORE 178957, SINGAPORE 178957</t>
  </si>
  <si>
    <t>S P JAIN SCHOOL OF GLOBAL MANAGEMENT</t>
  </si>
  <si>
    <t>50 JURONG WEST STREET 93 S648967, SINGAPORE 648967</t>
  </si>
  <si>
    <t>HOUGANG SPORT CENTRE</t>
  </si>
  <si>
    <t>22 SCOTTS ROAD, SINGAPORE 228221</t>
  </si>
  <si>
    <t>10 CENTRAL EXCHANGE GREEN, SINGAPORE 138649, SINGAPORE 138649</t>
  </si>
  <si>
    <t>NATIONAL UNIVERSITY CENTRE FOR ORAL HEALTH SINGAPORE (NUCOHS)</t>
  </si>
  <si>
    <t>9 LOWER KENT RIDGE ROAD, SINGAPORE 119085</t>
  </si>
  <si>
    <t>SINGAPORE POLYTECHNIC GRADUATES GUILD</t>
  </si>
  <si>
    <t>HAW PAR GLASS TOWER</t>
  </si>
  <si>
    <t>178 CLEMENCEAU AVENUE, SINGAPORE 239926</t>
  </si>
  <si>
    <t>220 ORCHARD ROAD #01-11, SINGAPORE 238852</t>
  </si>
  <si>
    <t>TUBERCULOSIS CONTROL UNIT (CONTACT CENTRE)</t>
  </si>
  <si>
    <t>1 HARBOURFRONT PLACE, SINGAPORE 098633, SINGAPORE 098633</t>
  </si>
  <si>
    <t>HOME TEAM ACADEMY</t>
  </si>
  <si>
    <t>3 HARBOURFRONT PLACE, SINGAPORE 099254, SINGAPORE 099254</t>
  </si>
  <si>
    <t>91 GEYLANG EAST AVE 2, SINGAPORE 389759</t>
  </si>
  <si>
    <t>61 ROBINSON</t>
  </si>
  <si>
    <t>61 ROBINSON AND 61 ROBINSON ROAD, SINGAPORE 068893</t>
  </si>
  <si>
    <t>145 SYED ALWI ROAD 
SINGAPORE 207704, SINGAPORE 207704</t>
  </si>
  <si>
    <t>30 RAFFLES  AVENUE, SINGAPORE 039803</t>
  </si>
  <si>
    <t>101 KITCHENER ROAD,
#05-00
JALAN BESAR PLAZA, SINGAPORE 208511</t>
  </si>
  <si>
    <t>SINGAPORE YOUTH FLYING CLUB</t>
  </si>
  <si>
    <t>SCOTTS SPAZIO PTE LTD</t>
  </si>
  <si>
    <t>HILTON GARDEN INN SINGAPORE</t>
  </si>
  <si>
    <t>3 BELILIOS ROAD, SINGAPORE 219924, SINGAPORE 219924</t>
  </si>
  <si>
    <t>SINGAPORE CHRISTIAN HOME</t>
  </si>
  <si>
    <t>1 TEBING LANE, SINGAPORE 828838</t>
  </si>
  <si>
    <t>HOUGANG1</t>
  </si>
  <si>
    <t>1. HOUGANG STREET 91, SINGAPORE 538692</t>
  </si>
  <si>
    <t>BISHAN SPORT HALL</t>
  </si>
  <si>
    <t>5, BISHAN STREET 14, SINGAPORE 579783</t>
  </si>
  <si>
    <t>63 PASIR RIS DRIVE 3, SINGAPORE 519497</t>
  </si>
  <si>
    <t>FAMILY JUSTICE COURTS</t>
  </si>
  <si>
    <t>3 HAVELOCK SQUAR, SINGAPORE 059725</t>
  </si>
  <si>
    <t>CLUSTER A</t>
  </si>
  <si>
    <t>BEACH ROAD HOTEL 1886(LTD)</t>
  </si>
  <si>
    <t>CLUSTER B AND ANNEX BUILDINGS</t>
  </si>
  <si>
    <t>PRISON HEADQUARTERS</t>
  </si>
  <si>
    <t>SPEAR BASE</t>
  </si>
  <si>
    <t>11 EUNOS RD 8, SINGAPORE 408601</t>
  </si>
  <si>
    <t>VILLA FRANCIS HOME FOR THE AGED</t>
  </si>
  <si>
    <t>91, YISHUN CENTRAL, SINGAPORE 768829</t>
  </si>
  <si>
    <t>ITE HEADQUARTERS &amp; COLLEGE CENTRAL</t>
  </si>
  <si>
    <t>10 SIMEI AVENUE, SINGAPORE 486047, SINGAPORE 486047</t>
  </si>
  <si>
    <t>TM1 &amp; TM2 (CLUSTER C)</t>
  </si>
  <si>
    <t>BEDOK CAMPUS</t>
  </si>
  <si>
    <t>SELARANG PARK COMPLEX &amp; SPHH</t>
  </si>
  <si>
    <t>1811 &amp; 1825 UPPER CHANGI ROAD NORTH, SINGAPORE 506909</t>
  </si>
  <si>
    <t>MEDICAL CENTRE
CHANGI GENERAL HOSPITAL</t>
  </si>
  <si>
    <t>HOTEL 81 DICKSON</t>
  </si>
  <si>
    <t>ORCHARD RD SINGAPORE 238823, SINGAPORE 238823</t>
  </si>
  <si>
    <t>46 EAST COAST ROAD #B1-01, SINGAPORE 428766</t>
  </si>
  <si>
    <t>CHANGI COVE HOTEL</t>
  </si>
  <si>
    <t>ONE RAFFLES QUAY PTE LTD</t>
  </si>
  <si>
    <t>8 LENGKOK BAHRU, SINGAPORE 159052, SINGAPORE 159052</t>
  </si>
  <si>
    <t>7 CANNING RISE, SINGAPORE 179869, SINGAPORE 179869</t>
  </si>
  <si>
    <t>SINGAPORE BOYS' HOME</t>
  </si>
  <si>
    <t>3 BULIM DR, SINGAPORE 648172, SINGAPORE 648172</t>
  </si>
  <si>
    <t>SINGAPORE GIRLS HOME</t>
  </si>
  <si>
    <t>1 DEFU AVE 1, SINGAPORE 539540, SINGAPORE 539540</t>
  </si>
  <si>
    <t>SINGAPORE BOYS' HOSTEL</t>
  </si>
  <si>
    <t>149 COMPASSVALE BOW, SINGAPORE 544690, SINGAPORE 544690</t>
  </si>
  <si>
    <t>HEALTH SCIENCES AUTHORITY</t>
  </si>
  <si>
    <t>SIN MING OFFICE
10 SIN MING DRIVE, SINGAPORE 575701</t>
  </si>
  <si>
    <t>CREATE</t>
  </si>
  <si>
    <t>110 SENGKANG EAST WAY, SINGAPORE 544886, SINGAPORE 544886</t>
  </si>
  <si>
    <t>NIL</t>
  </si>
  <si>
    <t>46 NANYANG AVENUE, SINGAPORE 639817</t>
  </si>
  <si>
    <t>48 NANYANG AVENUE, SINGAPORE 639818</t>
  </si>
  <si>
    <t>THE SINGAPORE ISLAND COUNTRY CLUB</t>
  </si>
  <si>
    <t>THE SINGAPORE ISLAND COUNTRY CLUB (THE BUKIT)</t>
  </si>
  <si>
    <t>CDC 2</t>
  </si>
  <si>
    <t>VALUE HOTEL THOMSON</t>
  </si>
  <si>
    <t>ESR BIZPARK@CHAI CHEE</t>
  </si>
  <si>
    <t>MARINA BAY FINANCIAL CENTRE TOWER 3</t>
  </si>
  <si>
    <t>HQ SCDF</t>
  </si>
  <si>
    <t>HEARTBEAT@BEDOK</t>
  </si>
  <si>
    <t>MARINA BAY FINANCIAL CENTRE TOWER 2</t>
  </si>
  <si>
    <t>MARINA BAY FINANCIAL CENTRE TOWER 1</t>
  </si>
  <si>
    <t>NATIONAL SERVICE TRAINING CENTRE</t>
  </si>
  <si>
    <t>2ND SCDF DIVISION HQ / TAMPINES FIRE STATION</t>
  </si>
  <si>
    <t>SULTAN-LINK</t>
  </si>
  <si>
    <t>53 MOHD SULTAN ROAD, SINGAPORE 238993</t>
  </si>
  <si>
    <t>KALLANG FIRE STATION / HOME TEAM JOINT FACILITY</t>
  </si>
  <si>
    <t>2 GUILLEMARD CLOSE, SINGAPORE 397623</t>
  </si>
  <si>
    <t>SULTAN LINK</t>
  </si>
  <si>
    <t>55 MOHD SULTAN ROAD, SINGAPORE 238995</t>
  </si>
  <si>
    <t>MTOWER/ARC</t>
  </si>
  <si>
    <t>57 MOHD SULTAN ROAD, SINGAPORE 238997</t>
  </si>
  <si>
    <t>4TH SCDF DIVISION HQ / BUKIT BATOK FIRE STATION</t>
  </si>
  <si>
    <t>59 MOHD SULTAN ROAD, SINGAPORE 238999</t>
  </si>
  <si>
    <t>3RD SCDF DIVISION HQ / YISHUN FIRE STATION</t>
  </si>
  <si>
    <t>61 MOHD SULTAN ROAD, SINGAPORE 239001</t>
  </si>
  <si>
    <t>1ST SCDF DIVISION HQ / ALEXANDRA FIRE STATION</t>
  </si>
  <si>
    <t>63 MOHD SULTAN ROAD, SINGAPORE 239002</t>
  </si>
  <si>
    <t>SENGKANG FIRE STATION</t>
  </si>
  <si>
    <t>BISHAN FIRE STATION</t>
  </si>
  <si>
    <t>TANG PLAZA</t>
  </si>
  <si>
    <t>MINISTRY OF FOREIGN AFFAIRS</t>
  </si>
  <si>
    <t>ST JAMES POWER STATION</t>
  </si>
  <si>
    <t>3 SENTOSA GATEWAY, SINGAPORE 098544</t>
  </si>
  <si>
    <t>30 WOODGROVE AVENUE 1 SINGAPORE 739065, SINGAPORE 739065</t>
  </si>
  <si>
    <t>309 CHOA CHU KANG AVE 4, SINGAPORE 680309</t>
  </si>
  <si>
    <t>PARKROYAL COLLECTION PICKERING</t>
  </si>
  <si>
    <t>3 UPPER PICKERING STREET, SINGAPORE 058289, SINGAPORE 058289</t>
  </si>
  <si>
    <t>SINGAPORE ASSOCIATION OF THE VISUALLY HANDICAPPED</t>
  </si>
  <si>
    <t>47 TOA PAYOH RISE, SINGAPORE 298104</t>
  </si>
  <si>
    <t>YOUNG WOMAN CHRISTIAN ASSOCIATION HOSTELS</t>
  </si>
  <si>
    <t>12 TUAS SOUTH STREET 13, SINGAPORE 636937, SINGAPORE 636937</t>
  </si>
  <si>
    <t>49 TOA PAYOH RISE, SINGAPORE 298105</t>
  </si>
  <si>
    <t>LIGHTHOUSE SCHOOL</t>
  </si>
  <si>
    <t>51 TOA PAYOH RISE, SINGAPORE 298106</t>
  </si>
  <si>
    <t>5 TAMPINES AVENUE 3 , SINGAPORE 529705, SINGAPORE 529705</t>
  </si>
  <si>
    <t>163 TANGLIN MALL, SINGAPORE 247933</t>
  </si>
  <si>
    <t>NATIONAL CANCER CENTRE OF SINGAPORE PTE LTD</t>
  </si>
  <si>
    <t>11 HOSPITAL CRESCENT, SINGAPORE 169610</t>
  </si>
  <si>
    <t>BUILDING A &amp; B</t>
  </si>
  <si>
    <t>29 HENG MUI KENG TERRACE SINGAPORE 119620, SINGAPORE 119620</t>
  </si>
  <si>
    <t>3501 JALAN BUKIT MERAH, SINGAPORE 159460, SINGAPORE 159460</t>
  </si>
  <si>
    <t>SCIENCE CENTRE SINGAPORE</t>
  </si>
  <si>
    <t>15 SCIENCE CENTRE ROAD, SINGAPORE 609081, SINGAPORE 609081</t>
  </si>
  <si>
    <t>SEAMEO REGIONAL LANGUAGE CENTRE BUILDING</t>
  </si>
  <si>
    <t>313@SOMERSET</t>
  </si>
  <si>
    <t>LOT ONE SHOPPERS' MALL</t>
  </si>
  <si>
    <t>21 CHOA CHU KANG AVE 4, SINGAPORE 689812</t>
  </si>
  <si>
    <t>THYE HUA KWAN NURSING HOME LIMITED</t>
  </si>
  <si>
    <t>48 HOUGANG AVE 8, SINGAPORE 538793</t>
  </si>
  <si>
    <t>MINISTRY OF MANPOWER HQ</t>
  </si>
  <si>
    <t>333A ORCHARD RD, SINGAPORE 238897</t>
  </si>
  <si>
    <t>HERITAGE CONSERVATION CENTRE</t>
  </si>
  <si>
    <t>SENJA CASHEW COMMUNITY CLUB</t>
  </si>
  <si>
    <t>EIGHTRIUM</t>
  </si>
  <si>
    <t>YO:HA TAMPINES</t>
  </si>
  <si>
    <t>6 TAMPINES STREET 92, SINGAPORE 528893</t>
  </si>
  <si>
    <t>HOUGANG COMMUNITY CLUB</t>
  </si>
  <si>
    <t>35 HOUGANG AVENUE 3 , SINGAPORE 538840, SINGAPORE 538840</t>
  </si>
  <si>
    <t>MCST393, PEOPLE'S PARK CENTRE</t>
  </si>
  <si>
    <t>101 UPPER CROSS STREET #07-09, SINGAPORE 058357</t>
  </si>
  <si>
    <t>1 SCIENCE PARK ROAD
SINGAPORE SCIENCE PARK 2, SINGAPORE 117528</t>
  </si>
  <si>
    <t>NURSING HOME (GEYLANG EAST)</t>
  </si>
  <si>
    <t>MARINA SQUARE SHOPPING MALL (EXCLUDING MANDARIN ORIENTAL, PARKROYAL COLLECTION AND PAN PACIFIC SINGAPORE)</t>
  </si>
  <si>
    <t>108 DEPOT RD, SINGAPORE 100108</t>
  </si>
  <si>
    <t>130, WEST COAST DRIVE, SINGAPORE 127444</t>
  </si>
  <si>
    <t>101 THOMSON ROAD #33-00, SINGAPORE 307591</t>
  </si>
  <si>
    <t>MAIN BUILDING</t>
  </si>
  <si>
    <t>100 ORCHARD ROAD #01-100B, SINGAPORE 238840</t>
  </si>
  <si>
    <t>P&amp;G SINGAPORE INNOVATION CENTRE</t>
  </si>
  <si>
    <t>THE AMERICAN CLUB</t>
  </si>
  <si>
    <t>10, CLAYMORE HILL, SINGAPORE 228219</t>
  </si>
  <si>
    <t>52 JURONG GATEWAY ROAD, SINGAPORE 608549</t>
  </si>
  <si>
    <t>MANDALA CLUB</t>
  </si>
  <si>
    <t>31 BUKIT PASOH ROAD, SINGAPORE 089845</t>
  </si>
  <si>
    <t>*SCAPE</t>
  </si>
  <si>
    <t>MOMENTUS HOTEL ALEXANDRA</t>
  </si>
  <si>
    <t>323 ALEXANDRA ROAD SINGAPORE 159972, SINGAPORE 159972</t>
  </si>
  <si>
    <t>229 MOUNTBATTEN ROAD, SINGAPORE 398007, SINGAPORE 398007</t>
  </si>
  <si>
    <t>THE ST REGIS HOTEL SINGAPORE</t>
  </si>
  <si>
    <t>NATIONAL INSTITUE OF EDUCATION</t>
  </si>
  <si>
    <t>1 NANYANG WALK, SINGAPORE 637616, SINGAPORE 637616</t>
  </si>
  <si>
    <t>AM HOTEL</t>
  </si>
  <si>
    <t>51 JOO CHIAT ROAD, SINGAPORE 427373</t>
  </si>
  <si>
    <t>MACALISTER HALL</t>
  </si>
  <si>
    <t>KING EDWARD VII HALL</t>
  </si>
  <si>
    <t>HARROWER HALL</t>
  </si>
  <si>
    <t>RAFFLES TOWN CLUB</t>
  </si>
  <si>
    <t>1 PLYMOUTH AVE, SINGAPORE 297753</t>
  </si>
  <si>
    <t>OASIA RESORT SENTOSA</t>
  </si>
  <si>
    <t>10 HOSPITAL BOULEVARD #19-01 SINGAPORE 168582, SINGAPORE 169608</t>
  </si>
  <si>
    <t>CATHAY BUILDING 2002 PTE LTD</t>
  </si>
  <si>
    <t>2 HANDY ROAD UNIT #04-01, SINGAPORE 229233, SINGAPORE 229233</t>
  </si>
  <si>
    <t>HOMETEAMNS BUKIT BATOK</t>
  </si>
  <si>
    <t>DAWSON PLACE</t>
  </si>
  <si>
    <t>57 DAWSON ROAD, SINGAPORE 142057</t>
  </si>
  <si>
    <t>ROYAL PLAZA ON SCOTTS</t>
  </si>
  <si>
    <t>NO 15 BEACH ROAD, SINGAPORE 189677</t>
  </si>
  <si>
    <t>2 SENGKANG SQUARE, SINGAPORE 545025, SINGAPORE 545025</t>
  </si>
  <si>
    <t>321 ALEXANDRA ROAD
#02-47, SINGAPORE 159971</t>
  </si>
  <si>
    <t>LINK HOTEL</t>
  </si>
  <si>
    <t>991G</t>
  </si>
  <si>
    <t>991G ALEXANDRA ROAD SINGAPORE 119975, SINGAPORE 119975</t>
  </si>
  <si>
    <t>TAMPINES CONCOURSE</t>
  </si>
  <si>
    <t>JU ENG HOME FOR SENIOR CITIZENS</t>
  </si>
  <si>
    <t>MAXWELL CHAMBERS PTE LTD</t>
  </si>
  <si>
    <t>MARINA ONE</t>
  </si>
  <si>
    <t>5, 7, 9 STRAITS VIEW, SINGAPORE 018935</t>
  </si>
  <si>
    <t>DOWNTOWN EAST</t>
  </si>
  <si>
    <t>GUOCO TOWER</t>
  </si>
  <si>
    <t>1 5 7 9 WALLICH STREET, SINGAPORE 078884</t>
  </si>
  <si>
    <t>201 VICTORIA STREET #02-28 BUGIS+, SINGAPORE 188067</t>
  </si>
  <si>
    <t>130 HOUGANG AVE 1, SINGAPORE 538900</t>
  </si>
  <si>
    <t>YONG PUNG HOW SCHOOL OF LAW</t>
  </si>
  <si>
    <t>55 ARMENIAN STREET, SINGAPORE 179943</t>
  </si>
  <si>
    <t>KEAT HONG COMMUNITY CLUB</t>
  </si>
  <si>
    <t>2 CHOA CHU KANG LOOP, #01-01, SINGAPORE 689687</t>
  </si>
  <si>
    <t>JUNCTION 8</t>
  </si>
  <si>
    <t>60 TESSENSOHN ROAD, SINGAPORE 217664, SINGAPORE 217664</t>
  </si>
  <si>
    <t>ORCHARDGATEWAY</t>
  </si>
  <si>
    <t>SILOSO BEACH RESORT</t>
  </si>
  <si>
    <t>10 WOODLANDS AVENUE 8 SINGAPORE 738973
1 WOODLANDS INDUSTRIAL PARK E3 SINGAPORE 757780
PLEASE NOTE THAT THERE ARE 2 ADDRESSES FOR THIS PREMISE, SINGAPORE 738973</t>
  </si>
  <si>
    <t>NANYANG ACADEMY OF FINE ARTS - CAMPUS 1</t>
  </si>
  <si>
    <t>ESSEC</t>
  </si>
  <si>
    <t>5 NEPAL PARK, SINGAPORE 139408</t>
  </si>
  <si>
    <t>NO 3 CHURCH STREET SAMSUNG HUB #07-02 SINGAPORE 049483, SINGAPORE 049483</t>
  </si>
  <si>
    <t>NANYANG ACADEMY OF FINE ARTS - CAMPUS 2</t>
  </si>
  <si>
    <t>IBIS NOVENA HOTEL</t>
  </si>
  <si>
    <t>I12 KATONG</t>
  </si>
  <si>
    <t>112 EAST COAST ROAD, I12 KATONG
#11-248, SINGAPORE 428802</t>
  </si>
  <si>
    <t>GLENEAGLES MEDICAL CENTRE (MCST 1847)</t>
  </si>
  <si>
    <t>PAN PACIFIC SERVICED SUITES SINGAPORE, ORCHARD</t>
  </si>
  <si>
    <t>96 SOMERSET ROAD, SINGAPORE 199592</t>
  </si>
  <si>
    <t>ACACIA WELFARE HOME</t>
  </si>
  <si>
    <t>SINGAPORE INDOOR STADIUM</t>
  </si>
  <si>
    <t>BUKIT BATOK HOME FOR THE AGED</t>
  </si>
  <si>
    <t>11 BUKIT BATOK WEST AVE 2, SINGAPORE 659205</t>
  </si>
  <si>
    <t>SINGAPORE SPORTSHUB</t>
  </si>
  <si>
    <t>PULLMAN SINGAPORE ORCHARD</t>
  </si>
  <si>
    <t>CONRAD CENTENNIAL SINGAPORE</t>
  </si>
  <si>
    <t>TWO TEMASEK BOULEVARD, SINGAPORE 038982</t>
  </si>
  <si>
    <t>HUB SYNERGY POINT</t>
  </si>
  <si>
    <t>70 ANSON ROAD, SINGAPORE 079905</t>
  </si>
  <si>
    <t>YALE-NUS COLLEGE</t>
  </si>
  <si>
    <t>16 COLLEGE AVENUE WEST #01-220, SINGAPORE 138527</t>
  </si>
  <si>
    <t>BUGIS VILLAGE AND BUGIS STREET</t>
  </si>
  <si>
    <t>62 TO 67 QUEEN STREET/151 TO 166 ROCHOR ROAD/229 TO 253 VICTORIA STREET (ODD NO. ONLY)
52 QUEEN STREET / 1 TO 5 AND 7 NEW BUGIS STREET, SINGAPORE 188546</t>
  </si>
  <si>
    <t>NANYANG ACADEMY OF FINE ARTS - CAMPUS 3</t>
  </si>
  <si>
    <t>1 GATEWAY DRIVE, #01-51 WESTGATE TOWER, SINGAPORE 608531</t>
  </si>
  <si>
    <t>VIVOCITY</t>
  </si>
  <si>
    <t>HOLLAND PIAZZA</t>
  </si>
  <si>
    <t>3 LORONG LIPUT, SINGAPORE 277725</t>
  </si>
  <si>
    <t>180 ANG MO KIO AVE 8, SINGAPORE 569830</t>
  </si>
  <si>
    <t>ST. ANDREW'S COMMUNITY HOSPITAL</t>
  </si>
  <si>
    <t>UNITED WORLD COLLEGE OF SOUTHEAST ASIA</t>
  </si>
  <si>
    <t>CAPELLA HOTEL SINGAPORE</t>
  </si>
  <si>
    <t>UNITED WORLD COLLEGE OF SOUTH EAST ASIA - EAST</t>
  </si>
  <si>
    <t>MOEHQ (GRANGE ROAD)</t>
  </si>
  <si>
    <t>SAFRA PUNGGOL</t>
  </si>
  <si>
    <t>FONTAINE INVESTMENT PTE LTD</t>
  </si>
  <si>
    <t>UOB PLAZA 1 &amp; 2</t>
  </si>
  <si>
    <t>MWS CHRISTALITE METHODIST HOME</t>
  </si>
  <si>
    <t>JAMIYAH HOME FOR THE AGED</t>
  </si>
  <si>
    <t>1 TAMPINES AVE 3, SINGAPORE 529707</t>
  </si>
  <si>
    <t>147 COMPASSVALE BOW, SINGAPORE 544691</t>
  </si>
  <si>
    <t>450 ALEXANDRA</t>
  </si>
  <si>
    <t>450 ALEXANDRA, SINGAPORE 119960</t>
  </si>
  <si>
    <t>EAST ASIA INSTITUTE OF MANAGEMENT</t>
  </si>
  <si>
    <t>RAFFLES MARINA LTD</t>
  </si>
  <si>
    <t>25 INTERNATIONAL BUSINESS PARK #01-78 GERMAN CENTRE, SINGAPORE 609916</t>
  </si>
  <si>
    <t>109 NORTH BRIDGE ROAD, SINGAPORE 179097, SINGAPORE 179097</t>
  </si>
  <si>
    <t>MAPLETREE ANSON BUILDING</t>
  </si>
  <si>
    <t>NEXUS @ ONE NORTH</t>
  </si>
  <si>
    <t>1&amp;3 FUSIONPOLIS LINK, SINGAPORE 138542</t>
  </si>
  <si>
    <t>21 TAMPINES AVE 1, SINGAPORE 529757</t>
  </si>
  <si>
    <t>9 CBP</t>
  </si>
  <si>
    <t>15 CBP</t>
  </si>
  <si>
    <t>71 ROBINSON</t>
  </si>
  <si>
    <t>ROBINSON ROAD, SINGAPORE 048547</t>
  </si>
  <si>
    <t>THE MANAGEMENT CORPORATION STRATA TITLE PLAN NO. 703</t>
  </si>
  <si>
    <t>DSO NATIONAL LABORATORIES</t>
  </si>
  <si>
    <t>SARIMBUN SCOUT CAMPSITE</t>
  </si>
  <si>
    <t>THE BENCOOLEN MCST 2576</t>
  </si>
  <si>
    <t>HOTEL GRAND CENTRAL</t>
  </si>
  <si>
    <t>137 TELOK AYER</t>
  </si>
  <si>
    <t>137 TELOK AYER STREET SINGAPORE 068602, SINGAPORE 068602</t>
  </si>
  <si>
    <t>293 LORONG 6 TOA PAYOH SINGAPORE 319387, SINGAPORE 319387</t>
  </si>
  <si>
    <t>IOB BUILDING @ 64 CECIL STREET, SINGAPORE 049711</t>
  </si>
  <si>
    <t>DUKE-NUS MEDICAL SCHOOL</t>
  </si>
  <si>
    <t>83 CURIE</t>
  </si>
  <si>
    <t>83 SCIENCE PAR DRIVE, SINGAPORE 118258</t>
  </si>
  <si>
    <t>SGX CENTRE 1</t>
  </si>
  <si>
    <t>SGX CENTRE 2</t>
  </si>
  <si>
    <t>RAFFLES FINANCIAL CENTRE PTE LTD</t>
  </si>
  <si>
    <t>25 NORTH BRIDGE
25 NORTH BRIDGE ROAD, SINGAPORE 179104</t>
  </si>
  <si>
    <t>THE SALVATION ARMY PRAISEHAVEN</t>
  </si>
  <si>
    <t>500 BUKIT TIMAH ROAD , SINGAPORE 678106, SINGAPORE 678106</t>
  </si>
  <si>
    <t>THE SALVATION ARMY TERRITORIAL HEADQUARTER</t>
  </si>
  <si>
    <t>EDUCATION RESOURCE CENTRE</t>
  </si>
  <si>
    <t>STEPHEN RIADY CENTRE</t>
  </si>
  <si>
    <t>MCST 1334 ,514 THOMSON ROAD,SLF BUILDING ANNEXE SINGAPORE 298179, SINGAPORE 298179</t>
  </si>
  <si>
    <t>NATION UNIVERSITY OF SINGAPORE - BUKIT TIMAH CAMPUS</t>
  </si>
  <si>
    <t>469 BUKIT TIMAH RD, SINGAPORE 259756</t>
  </si>
  <si>
    <t>SCHOOL OF COMPUTING BLOCK 3 (COM3)</t>
  </si>
  <si>
    <t>11 RESEARCH LINK, SINGAPORE 119391</t>
  </si>
  <si>
    <t>SEMBCORP HQ BUILDING</t>
  </si>
  <si>
    <t>TECHNO EDGE</t>
  </si>
  <si>
    <t>3A ENGINEERING DRIVE 2, SINGAPORE 117275</t>
  </si>
  <si>
    <t>SUNTEC SINGAPORE CONVENTION AND EXHIBITION CENTRE</t>
  </si>
  <si>
    <t>1 TEMASEK AVENUE SINGAPORE 039192, SINGAPORE 039192</t>
  </si>
  <si>
    <t>3 TEMASEK AVENUE SINGAPORE 039190, SINGAPORE 039190</t>
  </si>
  <si>
    <t>9 RAFFLES BOULEVARD SINGAPORE 039596, SINGAPORE 039596</t>
  </si>
  <si>
    <t>UNIVERSITY SPORT CENTRE</t>
  </si>
  <si>
    <t>2 SPORTS DRIVE, SINGAPORE 117288</t>
  </si>
  <si>
    <t>DESIGN &amp; ENVIRONMENT BLOCK 4</t>
  </si>
  <si>
    <t>8 ARCHITECTURE DRIVE, SINGAPORE 117356</t>
  </si>
  <si>
    <t>ENGINEERING BLOCK 2A (EDIC)</t>
  </si>
  <si>
    <t>180 KITCHENER ROAD #B2-29 CITY SQUARE MALL
B, SINGAPORE 208539</t>
  </si>
  <si>
    <t>CAPITASKY</t>
  </si>
  <si>
    <t>79 ROBINSON ROAD, SINGAPORE 068897</t>
  </si>
  <si>
    <t>CAPITASPRING</t>
  </si>
  <si>
    <t>88 MARKET STREET, SINGAPORE 048948</t>
  </si>
  <si>
    <t>1 FUSIONOPOLIS PLACE 138522, SINGAPORE 138522</t>
  </si>
  <si>
    <t>CITI CAMPUS BLOCK 1 &amp; 2</t>
  </si>
  <si>
    <t>3 &amp; 5 CHANGI BUSINESS PARK CRESENT, SINGAPORE 486026</t>
  </si>
  <si>
    <t>1CBP</t>
  </si>
  <si>
    <t>CINTECH III</t>
  </si>
  <si>
    <t>77 SCIENCE PARK DRIVE, SINGAPORE SCIENCE PARK 1, SINGAPORE 118256</t>
  </si>
  <si>
    <t>CINTECH I</t>
  </si>
  <si>
    <t>73 SCIENCE PARK DRIVE, 118254, SINGAPORE 118254</t>
  </si>
  <si>
    <t>CINTECH II</t>
  </si>
  <si>
    <t>ONE@CHANGI CITY</t>
  </si>
  <si>
    <t>NO. 1 CHANGI BUSINESS PARK CENTRAL 1, SINGAPORE 486036</t>
  </si>
  <si>
    <t>87 SCIENCE PARK DRIVE, SINGAPRE SCIENCE PARK 1, SINGAPORE 118260</t>
  </si>
  <si>
    <t>ICON</t>
  </si>
  <si>
    <t>HANSAPOINT</t>
  </si>
  <si>
    <t>8A BIOMEDICAL GROVE, SINGAPORE 138648, SINGAPORE 138648</t>
  </si>
  <si>
    <t>8 BIOMEDICAL GROVE, SINGAPORE 138665, SINGAPORE 138665</t>
  </si>
  <si>
    <t>17CBP</t>
  </si>
  <si>
    <t>2 CHANGI BUSINESS PARK CRESCENT, SINGAPORE 486029, SINGAPORE 486029</t>
  </si>
  <si>
    <t>AKZONOBLE HOUSE</t>
  </si>
  <si>
    <t>TECHQUEST BUILDING</t>
  </si>
  <si>
    <t>SREE NARAYANA MISSION (SINGAPORE)</t>
  </si>
  <si>
    <t>12 YISHUN AVE 5, SINGAPORE 768992, SINGAPORE 768992</t>
  </si>
  <si>
    <t>YST CONSERVATORY OF MUSIC</t>
  </si>
  <si>
    <t>3 CONSERVATORY ROAD, SINGAPORE 117376</t>
  </si>
  <si>
    <t>LEE KONG CHIAN NATURAL HISTORY MUSEUM</t>
  </si>
  <si>
    <t>2 CONSERVATORY ROAD, SINGAPORE 117377</t>
  </si>
  <si>
    <t>TEMASEK LAB</t>
  </si>
  <si>
    <t>5A ENGINEERING DRIVE, SINGAPORE 117411</t>
  </si>
  <si>
    <t>COMPUTING BLOCK 1</t>
  </si>
  <si>
    <t>CENTRE FOR LIFE SCIENCES (CELS)</t>
  </si>
  <si>
    <t>MARINA COUNTRY CLUB</t>
  </si>
  <si>
    <t>190 MIDDLE RD, #06-00 FORTUNE CENTRE, SINGAPORE 188979</t>
  </si>
  <si>
    <t>PUBLIC MANSION</t>
  </si>
  <si>
    <t>DEVAN NAIR INSTITITE FOR EMPLOYMENT AND EMPLOYABILITY</t>
  </si>
  <si>
    <t>80 JURONG EAST ST 21 #07-03, SINGAPORE 609607</t>
  </si>
  <si>
    <t>SHELTON COLLEGE INTERNATIONAL</t>
  </si>
  <si>
    <t>3 FRASER STREET DUO TOWER, SINGAPORE 189352</t>
  </si>
  <si>
    <t>GREAT EASTERN CHANGI</t>
  </si>
  <si>
    <t>AETOS SECURITY</t>
  </si>
  <si>
    <t>STUDIO M HOTEL REPUBLIC ICONIC HOTEL PTE LTD</t>
  </si>
  <si>
    <t>SUB MC 1 OF MCST NO. 4622</t>
  </si>
  <si>
    <t>SINGAPORE UNIVERSITY OF TECHNOLOGY &amp; DESIGN (SUTD)</t>
  </si>
  <si>
    <t>SUTD</t>
  </si>
  <si>
    <t>61 CHANGI SOUTH AVE 1, SINGAPORE 486000</t>
  </si>
  <si>
    <t>WARREN GOLF &amp; COUNTRY CLUB</t>
  </si>
  <si>
    <t>81 CHOA CHU KANG WAY, SINGAPORE 688263, SINGAPORE 688263</t>
  </si>
  <si>
    <t>THE GATEWAY</t>
  </si>
  <si>
    <t>SUNLOVE ABODE FOR INTELLECTUALLY INFIRMED LTD</t>
  </si>
  <si>
    <t>271 BUKIT TIMAH, SINGAPORE 259708</t>
  </si>
  <si>
    <t>VOCO ORCHARD SINGAPORE</t>
  </si>
  <si>
    <t>SIA GROUP SPORTS CLUB</t>
  </si>
  <si>
    <t>726, UPPER CHANGI ROAD EAST, SINGAPORE 486046</t>
  </si>
  <si>
    <t>UOB KAY HIAN</t>
  </si>
  <si>
    <t>SOUTH BEACH COMPLEX (MCST NO. 4622)</t>
  </si>
  <si>
    <t>PLQ MALL</t>
  </si>
  <si>
    <t>10 PAYA LEBAR ROAD PLQ MALL
 PAYA LEBAR QUARTER
 SINGAPORE 409057, SINGAPORE 409057</t>
  </si>
  <si>
    <t>CONRAD SINGAPORE ORCHARD (FORMERLY REGENT SINGAPORE)</t>
  </si>
  <si>
    <t>UE BIZHUB TOWER</t>
  </si>
  <si>
    <t>NTUC HEALTH (PASIR RIS) - NURSING HOME</t>
  </si>
  <si>
    <t>12 PASIR RIS WALK, SINGAPORE 518063</t>
  </si>
  <si>
    <t>PEC LTD.</t>
  </si>
  <si>
    <t>1 NORTH BRIDGE ROAD #B1-05A, SINGAPORE 179094</t>
  </si>
  <si>
    <t>THE FLOW</t>
  </si>
  <si>
    <t>80 MARINE PARADE ROAD, #08-02 PARKWAY PARADE, SINGAPORE 449269, SINGAPORE 449269</t>
  </si>
  <si>
    <t>CENTRIUM SQUARE</t>
  </si>
  <si>
    <t>320 SERANGOON ROAD, SINGAPORE 218108</t>
  </si>
  <si>
    <t>165, TANJONG PAGAR, SINGAPORE 088539</t>
  </si>
  <si>
    <t>IBIS SINGAPORE ON BENCOOLEN</t>
  </si>
  <si>
    <t>1 WOODLANDS RD, SINGAPORE 677899</t>
  </si>
  <si>
    <t>THE MANAGEMENT CORPORATION- STRATA TITLE PLAN NO. 4728</t>
  </si>
  <si>
    <t>PARADOX SINGAPORE MERCHANT COURT AT CLARKE QUAY</t>
  </si>
  <si>
    <t>HEARTLAND MALL KOVAN</t>
  </si>
  <si>
    <t>ANG MO KIO-THYE HUA KWAN HOSPITAL</t>
  </si>
  <si>
    <t>17 ANG MO KIO AVE 9, SINGAPORE 569766</t>
  </si>
  <si>
    <t>FURAMA SINGAPORE HOTEL &amp; SHOPPING CENTRE</t>
  </si>
  <si>
    <t>CHUI HUAY LIM CLUB</t>
  </si>
  <si>
    <t>PAN PACIFIC SERVICED SUITES ORCHARD</t>
  </si>
  <si>
    <t>10 COLLYER QUAY SINGAPORE 049315, SINGAPORE 049315</t>
  </si>
  <si>
    <t>500, DOVER ROAD, SINGAPORE 139651</t>
  </si>
  <si>
    <t>55 MARKET STREET</t>
  </si>
  <si>
    <t>55 MARKET STREET, SINGAPORE 048941</t>
  </si>
  <si>
    <t>103 IRRAWADDY ROAD, SINGAPORE 329566</t>
  </si>
  <si>
    <t>BRIGHT VISION COMMUNITY HOSPITAL</t>
  </si>
  <si>
    <t>5 LORING NAPIRI, SINGAPORE 547530</t>
  </si>
  <si>
    <t>AIA TAMPINES</t>
  </si>
  <si>
    <t>3 TAMPINES GRANDE, SINGAPORE 048542</t>
  </si>
  <si>
    <t>11 CANNING  WALK, SINGAPORE 178881</t>
  </si>
  <si>
    <t>ALOFT SINGAPORE NOVENA ( EAST WING )</t>
  </si>
  <si>
    <t>EAST WING 1 JALAN RAJAH, SINGAPORE 329133</t>
  </si>
  <si>
    <t>ALOFT SINGAPORE NOVENA ( WEST WING)</t>
  </si>
  <si>
    <t>WEST WING 16 AH HOOD ROAD, SINGAPORE 329982</t>
  </si>
  <si>
    <t>22 CHANGI BUSINESS PARK 2, SINGAPORE 486032</t>
  </si>
  <si>
    <t>GRAND COPTHORNE WATERFRONT HOTEL SINGAPORE</t>
  </si>
  <si>
    <t>M HOTEL SINGAPORE</t>
  </si>
  <si>
    <t>QUINCY HOTEL SINGAPORE</t>
  </si>
  <si>
    <t>CANBERRA PLAZA</t>
  </si>
  <si>
    <t>133 CANBERRA VIEW, SINGAPORE 750133</t>
  </si>
  <si>
    <t>NORTHPOINT CITY</t>
  </si>
  <si>
    <t>930 YISHUN AVENUE 2 SINGAPORE 769098, SINGAPORE 769098</t>
  </si>
  <si>
    <t>MWS BETHANY NURSING HOME</t>
  </si>
  <si>
    <t>9 CHOA CHU KANG AVE 4, SINGAPORE 689815</t>
  </si>
  <si>
    <t>HILTON SINGAPORE ORCHARD</t>
  </si>
  <si>
    <t>333 ORCHARD ROAD SINGAPORE 238867, SINGAPORE 238867</t>
  </si>
  <si>
    <t>THE SUBSIDIARY MANAGEMENT CORPORATION NO. 1 STRATA TITLE PLAN NO. 4440</t>
  </si>
  <si>
    <t>1187 UPPER SERANGOOON ROAD #01-72, SINGAPORE 533971</t>
  </si>
  <si>
    <t>THE MCST PLAN NO 4484</t>
  </si>
  <si>
    <t>COPTHORNE KINGS HOTEL SINGAPORE</t>
  </si>
  <si>
    <t>VIIO@BALESTIER</t>
  </si>
  <si>
    <t>520 BALESTIER ROAD, SINGAPORE 329853</t>
  </si>
  <si>
    <t>SINGAPORE TURF CLUB</t>
  </si>
  <si>
    <t>1 TURF CLUB AVE 738078, SINGAPORE 738078</t>
  </si>
  <si>
    <t>KING ALBERT PARK, SINGAPORE 598332</t>
  </si>
  <si>
    <t>9 PENANG ROAD</t>
  </si>
  <si>
    <t>9 PENANG ROAD, SINGAPORE 238459</t>
  </si>
  <si>
    <t>GRASSROOTS CLUB</t>
  </si>
  <si>
    <t>NSRCC KRANJI SANCTUARY GOLF COURSE</t>
  </si>
  <si>
    <t>NORTHPOINT CITY (SOUTH WING)</t>
  </si>
  <si>
    <t>1 NORTHPOINT DRIVE, SINGAPORE 768019</t>
  </si>
  <si>
    <t>11 THIRD HOSPITAL, SINGAPORE 168751</t>
  </si>
  <si>
    <t>7, SHENTON WAY, SINGAPORE 068810</t>
  </si>
  <si>
    <t>21 HOUGANG GREEN MCST2463, SINGAPORE 538719</t>
  </si>
  <si>
    <t>EQUINIX SG3 DATA CENTRE</t>
  </si>
  <si>
    <t>THE GRANDSTAND SHOPPING MALL</t>
  </si>
  <si>
    <t>AMARA SANCTUARY RESORT SENTOSA</t>
  </si>
  <si>
    <t>1LARKHILL ROAD, SINGAPORE 099394</t>
  </si>
  <si>
    <t>THE MANAGEMENT CORPORATION STRATA TITLE PLAN NO. 3837</t>
  </si>
  <si>
    <t>321 CLEMENTI AVE 3, SINGAPORE 129905</t>
  </si>
  <si>
    <t>JUBILEE SQUARE</t>
  </si>
  <si>
    <t>61 ANG MO KIO AVE 8, SINGAPORE 569814</t>
  </si>
  <si>
    <t>WHITE SANDS</t>
  </si>
  <si>
    <t>PARKROYAL ON BEACH ROAD</t>
  </si>
  <si>
    <t>7500C BEACH ROAD, SINGAPORE 199591</t>
  </si>
  <si>
    <t>6A NAPIER ROAD, SINGAPORE 258500, SINGAPORE 258500</t>
  </si>
  <si>
    <t>PARLIAMENT HOUSE</t>
  </si>
  <si>
    <t>PEOPLE'S ASSOCIATION HEADQUARTERS</t>
  </si>
  <si>
    <t>9 KING GEORGE AVENUE SINGAPORE 208581, SINGAPORE 208581</t>
  </si>
  <si>
    <t>LEE KONG CHIAN SCHOOL OF MEDICINE (CLINICAL SCIENCES BUILDING)</t>
  </si>
  <si>
    <t>251 NORTH BRIDGE ROAD</t>
  </si>
  <si>
    <t>90 GOODMAN ROAD BLOCK L #01-47, SINGAPORE 439053</t>
  </si>
  <si>
    <t>LAZADA ONE</t>
  </si>
  <si>
    <t>51 BRAS BASAH ROAD, #02-06, SINGAPORE 189554</t>
  </si>
  <si>
    <t>SCIENCE BLOCK 15</t>
  </si>
  <si>
    <t>SCIENCE BLOCK 14</t>
  </si>
  <si>
    <t>1 SCIENCE DRIVE 2, SINGAPORE 117542</t>
  </si>
  <si>
    <t>SCIENCE BLOCK 16</t>
  </si>
  <si>
    <t>MEDICINE BLOCK 4</t>
  </si>
  <si>
    <t>FRONTIER</t>
  </si>
  <si>
    <t>SCIENCE BLOCK 5</t>
  </si>
  <si>
    <t>SCIENCE BLOCK 6</t>
  </si>
  <si>
    <t>MD BLK 1 (TAHIR FOUNDATION BLDG)</t>
  </si>
  <si>
    <t>THE BRITISH CLUB</t>
  </si>
  <si>
    <t>ST LUKE'S HOSPITAL</t>
  </si>
  <si>
    <t>2 BUKIT BATOK STREET 11, SINGAPORE 659674, SINGAPORE 659674</t>
  </si>
  <si>
    <t>QUEENSTOWN SPORT CENTRE</t>
  </si>
  <si>
    <t>473 STIRLING ROAD S(148948), SINGAPORE 148948</t>
  </si>
  <si>
    <t>36 ROBINSON ROAD B1-01 CITY HOUSE S068877, SINGAPORE 068877</t>
  </si>
  <si>
    <t>MACPHERSON ROAD, SINGAPORE 368125</t>
  </si>
  <si>
    <t>NANYANG TECHNOLOGICAL UNIVERSITY – ACADEMIC BUILDINGS</t>
  </si>
  <si>
    <t>50 NANYANG AVE, SINGAPORE 639798</t>
  </si>
  <si>
    <t>TAHIR BUILDING</t>
  </si>
  <si>
    <t>HOUGANG SPORTS CENTRE</t>
  </si>
  <si>
    <t>95 HOUGANG AVE 4, SINGAPORE 538830</t>
  </si>
  <si>
    <t>SINGAPORE EXAMINATIONS AND ASSESSMENT BOARD</t>
  </si>
  <si>
    <t>NATIONAL LIBRARY BUI</t>
  </si>
  <si>
    <t>NATIONAL ARCHIVES SINGAPORE</t>
  </si>
  <si>
    <t>18 YISHUN AVENUE 9 SINGAPORE 768897, SINGAPORE 768897</t>
  </si>
  <si>
    <t>20 KRAMAT LAME, SINGAPORE 228773</t>
  </si>
  <si>
    <t>2 CHANGI BUSINESS PARK AVE 1, SINGAPORE 486015, SINGAPORE 486015</t>
  </si>
  <si>
    <t>TRAVELODGE HARBOURFRONT SINGAPORE</t>
  </si>
  <si>
    <t>50 TELOK BLANGAH ROAD, SINGAPORE 098828</t>
  </si>
  <si>
    <t>TANGLIN POLICE DIVISIONAL HEADQUARTERS</t>
  </si>
  <si>
    <t>UNILEVER ASIA PTE LTD</t>
  </si>
  <si>
    <t>18 NEPAL PARK, SINGAPORE 139407</t>
  </si>
  <si>
    <t>SENTOSA DEVELOPMENT CORPORATION</t>
  </si>
  <si>
    <t>33 ARTILLERY AVENUE SENTOSA, SINGAPORE 099958</t>
  </si>
  <si>
    <t>JURONG REGIONAL LIBRARY</t>
  </si>
  <si>
    <t>21 JURONG EAST CENTAL 1, SINGAPORE 609732</t>
  </si>
  <si>
    <t>C.K. TANG LIMITED</t>
  </si>
  <si>
    <t>12 EU TONG SEN STREET, SINGAPORE 059819, SINGAPORE 059819</t>
  </si>
  <si>
    <t>111 SOMERSET ROAD #B1-01, SINGAPORE 238164</t>
  </si>
  <si>
    <t>CECIL BUILDING</t>
  </si>
  <si>
    <t>137 CECIL STREET, SINGAPORE 069537</t>
  </si>
  <si>
    <t>HOTEL TELEGRAPH SINGAPORE</t>
  </si>
  <si>
    <t>NOVOTEL &amp; MERCURE</t>
  </si>
  <si>
    <t>28 STEVENS ROAD, SINGAPORE 257878, SINGAPORE 257878</t>
  </si>
  <si>
    <t>NTU ONE NORTH</t>
  </si>
  <si>
    <t>TRIO MALL</t>
  </si>
  <si>
    <t>11 SAM LEONG ROAD, SINGAPORE 207903</t>
  </si>
  <si>
    <t>ZHENGHUA COMMUNITY CLUB</t>
  </si>
  <si>
    <t>JURONG POLICE DIVISION HEADQUARTERS</t>
  </si>
  <si>
    <t>ALICE @ MEDIAPOLIS</t>
  </si>
  <si>
    <t>29 MEDIA CIRCLE, SINGAPORE 138565</t>
  </si>
  <si>
    <t>POLICE COAST GUARD HQ &amp; POLCOM BUILDING</t>
  </si>
  <si>
    <t>51 HOUGANG AVE 9, SINGAPORE 538776</t>
  </si>
  <si>
    <t>INTERPOL GOBAL COMPLEX SINGAPORE</t>
  </si>
  <si>
    <t>CENTRO PROPERTY HOLDING PTE LTD</t>
  </si>
  <si>
    <t>ULU PANDAN COMMUNITY CLUB</t>
  </si>
  <si>
    <t>170, GHIM MOH ROAD, SINGAPORE 279621</t>
  </si>
  <si>
    <t>1 TAMPINES WALK SINGAPORE 528523, SINGAPORE 528523</t>
  </si>
  <si>
    <t>POLICE LOGISTICS BASE</t>
  </si>
  <si>
    <t>1 ENGKU AMAN TURN, SINGAPORE 408528</t>
  </si>
  <si>
    <t>TRAFFIC POLICE (TP-ACCIDENT POUND)</t>
  </si>
  <si>
    <t>SCIENCE BLOCK 12</t>
  </si>
  <si>
    <t>SCIENCE BLOCK 8</t>
  </si>
  <si>
    <t>SCIENCE BLOCK 11</t>
  </si>
  <si>
    <t>SCIENCE BLOCK 7</t>
  </si>
  <si>
    <t>SCIENCE BLOCK 1A</t>
  </si>
  <si>
    <t>10 SCIENCE PARK DRIVE 4, SINGAPORE 117555</t>
  </si>
  <si>
    <t>CTR FOR ENGLISH LANGUAGE COMMUNICATION</t>
  </si>
  <si>
    <t>SCIENCE BLOCK 1</t>
  </si>
  <si>
    <t>SCIENCE BLOCK 2</t>
  </si>
  <si>
    <t>SCIENCE BLOCK 3</t>
  </si>
  <si>
    <t>SCIENCE BLOCK 4</t>
  </si>
  <si>
    <t>SCIENCE BLOCK 4A</t>
  </si>
  <si>
    <t>MEDICINE BLOCK 9</t>
  </si>
  <si>
    <t>MEDICINE BLOCK 10</t>
  </si>
  <si>
    <t>HOTEL JEN BY SHANGRI-LA</t>
  </si>
  <si>
    <t>MEDICINE BLOCK 7</t>
  </si>
  <si>
    <t>MEDICINE BLOCK 11</t>
  </si>
  <si>
    <t>MD BLK 6 (CTR FOR TRANS MED)</t>
  </si>
  <si>
    <t>MEDICINE BLOCK 3</t>
  </si>
  <si>
    <t>MEDICINE BLOCK 2</t>
  </si>
  <si>
    <t>SCIENCE BLOCK 17</t>
  </si>
  <si>
    <t>DESIGN &amp; ENVIRONMENT BLOCK 1</t>
  </si>
  <si>
    <t>DESIGN &amp; ENVIRONMENT BLOCK 2</t>
  </si>
  <si>
    <t>ENGINEERING BLOCK 3A</t>
  </si>
  <si>
    <t>ENGINEERING BLOCK A (EA)</t>
  </si>
  <si>
    <t>ENGINEERING BLOCK 1A</t>
  </si>
  <si>
    <t>ENGINEERING WORKSHOP 1</t>
  </si>
  <si>
    <t>ENGINEERING BLOCK 1</t>
  </si>
  <si>
    <t>ENGINEERING BLOCK 2</t>
  </si>
  <si>
    <t>ENGINEERING BLOCK 8</t>
  </si>
  <si>
    <t>ENGINEERING BLOCK 3</t>
  </si>
  <si>
    <t>ENGINEERING BLOCK 4A</t>
  </si>
  <si>
    <t>ENGINEERING BLOCK 4</t>
  </si>
  <si>
    <t>ENGINEERING BLOCK 5</t>
  </si>
  <si>
    <t>ENGINEERING BLOCK 6</t>
  </si>
  <si>
    <t>ARTS &amp; SOCIAL SCIENCES BLOCK 2</t>
  </si>
  <si>
    <t>ARTS &amp; SOCIAL SCIENCES BLOCK 2, SINGAPORE 117568</t>
  </si>
  <si>
    <t>FASS BLK7 (SHAW FDN BLDG)</t>
  </si>
  <si>
    <t>ARTS &amp; SOCIAL SCIENCES BLOCK 5</t>
  </si>
  <si>
    <t>ARTS &amp; SOCIAL SCIENCES BLOCK 4</t>
  </si>
  <si>
    <t>ARTS &amp; SOCIAL SCIENCES BLOCK 1</t>
  </si>
  <si>
    <t>INNOVATION 4.0</t>
  </si>
  <si>
    <t>SHAW FOUNDATION ALUMNI HOUSE (SFAH)</t>
  </si>
  <si>
    <t>ARTS &amp; SOCIAL SCIENCES BLOCK 8 (AS8)</t>
  </si>
  <si>
    <t>VENTUS (UNI CAMPUS INFRA)</t>
  </si>
  <si>
    <t>BUSINESS BLOCK 1-MOCHTAR RIADY</t>
  </si>
  <si>
    <t>ICUBE, I3</t>
  </si>
  <si>
    <t>PHILIPPINES AIRLINES BUILDING</t>
  </si>
  <si>
    <t>RAZER SEA HQ</t>
  </si>
  <si>
    <t>1 ONE-NORTH CRESCENT, SINGAPORE 138538</t>
  </si>
  <si>
    <t>EXYTE</t>
  </si>
  <si>
    <t>SAINT THERESA'S HOME</t>
  </si>
  <si>
    <t>49 UPPER THOMSON ROAD
SINGAPORE 574325, SINGAPORE 574325</t>
  </si>
  <si>
    <t>TIONG BAHRU CC</t>
  </si>
  <si>
    <t>67A EU CHIN STREET, SINGAPORE 169715</t>
  </si>
  <si>
    <t>5 STEVEN ROAD, SINGAPORE 257814</t>
  </si>
  <si>
    <t>TECH CTR FOR OFFSHORE &amp; MARINE (TCOMS)</t>
  </si>
  <si>
    <t>12 PRINCE GEORGE'S PARK, SINGAPORE 118411</t>
  </si>
  <si>
    <t>UNIVERSITY HALL</t>
  </si>
  <si>
    <t>CG @ CLARKE QUAY</t>
  </si>
  <si>
    <t>CENTROPOD</t>
  </si>
  <si>
    <t>80 CHANGI ROAD, #01-44, SINGAPORE 419715</t>
  </si>
  <si>
    <t>ONE PUNGGOL</t>
  </si>
  <si>
    <t>1 PUNGGOL DR., SINGAPORE 828629</t>
  </si>
  <si>
    <t>JURONG WEST SPORTS AND RECREATION CENTRE</t>
  </si>
  <si>
    <t>20 JURONG WEST STREET 93, SINGAPORE 648965, SINGAPORE 648965</t>
  </si>
  <si>
    <t>UNIVERSITY CULTURAL CENTRE (UCC)</t>
  </si>
  <si>
    <t>CENTRAL STORAGE LIBRARY ANNEX</t>
  </si>
  <si>
    <t>CTR FOR THE ARTS (CFA)</t>
  </si>
  <si>
    <t>UNIVERSITY HEALTH CENTRE</t>
  </si>
  <si>
    <t>S'PORE SYNCHROTRON LIGHTSOURCE</t>
  </si>
  <si>
    <t>S2S (CRISP)</t>
  </si>
  <si>
    <t>INSTITUTE OF MATHEMATICAL SCIENCE</t>
  </si>
  <si>
    <t>3 &amp; 4  PRINCE GEORGES PARK, SINGAPORE 118402</t>
  </si>
  <si>
    <t>17 &amp; 18 - OFFICE OF CAMPUS SECURITY HQ</t>
  </si>
  <si>
    <t>17 &amp; 18 PRINCE GEORGE'S PARK, SINGAPORE 118416</t>
  </si>
  <si>
    <t>12A KR BUNGALOW - TROPICAL MARINE SCIENCE INSTITUTE</t>
  </si>
  <si>
    <t>BUKIT GOMBAK STADIUM</t>
  </si>
  <si>
    <t>800 BUKIT BATOK WEST AVENUE 5, SINGAPORE 659081</t>
  </si>
  <si>
    <t>MOEHQ (BALESTIER)</t>
  </si>
  <si>
    <t>565 BALESTIER ROAD, SINGAPORE 329927</t>
  </si>
  <si>
    <t>WOODLANDS GALAXY CC</t>
  </si>
  <si>
    <t>31 WOODLANDS AVE 6, SINGAPORE 738991</t>
  </si>
  <si>
    <t>JTC SUMMIT</t>
  </si>
  <si>
    <t>JURONG TOWN HALL (JTH)</t>
  </si>
  <si>
    <t>ACTIVESG PASIR RIS SPORTS CENTRE</t>
  </si>
  <si>
    <t>ICON @ CHANGI</t>
  </si>
  <si>
    <t>HILLVIEW COMMUNITY CLUB</t>
  </si>
  <si>
    <t>40A ORCHARD ROAD, SINGAPORE 238838, SINGAPORE 238838</t>
  </si>
  <si>
    <t>239 SIME ROAD, SINGAPORE 289685</t>
  </si>
  <si>
    <t>PALAWAN KIDZ CITY SENTOSA
SENTOSA DEVELOPMENT CORPORATION</t>
  </si>
  <si>
    <t>SENTOSA GOLF CLUB CLUBHOUSE</t>
  </si>
  <si>
    <t>TRUSTEES OF THE RAMAKRISHNA MISSION</t>
  </si>
  <si>
    <t>W2 - 9 WOODLANDS AVE 9, SINGAPORE 738964</t>
  </si>
  <si>
    <t>20 SCIENCE PARK DRIVE, SINGAPORE 118230</t>
  </si>
  <si>
    <t>PUNGGOL 21 COMMUNITY CLUB</t>
  </si>
  <si>
    <t>80 PUNGGOL FIELD, SINGAPORE 828815, SINGAPORE 828815</t>
  </si>
  <si>
    <t>141 CECIL ST, SINGAPORE 069541</t>
  </si>
  <si>
    <t>TANAH MERAH COUNTRY CLUB</t>
  </si>
  <si>
    <t>1 TANAH MERAH COAST ROAD, SINGAPORE 498722</t>
  </si>
  <si>
    <t>223 @MOUNTBATTEN</t>
  </si>
  <si>
    <t>223 MOUNTBATTEN RD, #01-05, SINGAPORE 398008, SINGAPORE 398008</t>
  </si>
  <si>
    <t>GRID</t>
  </si>
  <si>
    <t>1 SELEGIE ROAD
#05-03, SINGAPORE 188306</t>
  </si>
  <si>
    <t>11 RIVERVALE CRESCENT
02-21, SINGAPORE 545082</t>
  </si>
  <si>
    <t>VANGUARD HEALTHCARE PTE LTD
BUKIT BATOK CARE HOME</t>
  </si>
  <si>
    <t>11 BUKIT BATOK WEST AVE 9, SINGAPORE 657995</t>
  </si>
  <si>
    <t>AWWA HOME AND DAY ACITIVITY CENTRE</t>
  </si>
  <si>
    <t>5 PASIR RIS STREET 22, SINGAPORE 518064</t>
  </si>
  <si>
    <t>3 RAFFLES PLACE, SINGAPORE 048817, SINGAPORE 048617</t>
  </si>
  <si>
    <t>THE ROBERTSON HOUSE BY THE CREST COLLECTION</t>
  </si>
  <si>
    <t>17 PETIR ROAD B1-67, SINGAPORE 678278</t>
  </si>
  <si>
    <t>CREATIVE INNOVATIVE DEVELOPMENT CENTRE</t>
  </si>
  <si>
    <t>SCOTTS SQUARE RETAIL</t>
  </si>
  <si>
    <t>M SOCIAL SINGAPORE NOVEL DEVELOPMENT PTE LTD</t>
  </si>
  <si>
    <t>90 ROBERTSON QUAY 238259, SINGAPORE 238259</t>
  </si>
  <si>
    <t>Goldplus</t>
  </si>
  <si>
    <t>Existing Non-Residential Buildings Re-Cert (GM:2021 In Operation)</t>
  </si>
  <si>
    <t>108RR</t>
  </si>
  <si>
    <t>DIMENSIONS INTERNATIONAL COLLEGE</t>
  </si>
  <si>
    <t>371 ALEXANDRA ROAD, AIA ALEXANDRA #01-01. SINGAPORE 159963, SINGAPORE 159963</t>
  </si>
  <si>
    <t>1 ORCHIDCLUB ROAD, SINGAPORE 769162</t>
  </si>
  <si>
    <t>THE ATRIUM@ORCHARD</t>
  </si>
  <si>
    <t>400 BALESTIER ROAD, SINGAPORE 329802, SINGAPORE 329802</t>
  </si>
  <si>
    <t>5 ANG MO KIO CENTRAL 2, SINGAPORE 569663, SINGAPORE 569663</t>
  </si>
  <si>
    <t>137 MARKET STREET, SINGAPORE 048943, SINGAPORE 048943</t>
  </si>
  <si>
    <t>1 PARK ROAD, SINGAPORE 059108, SINGAPORE 059108</t>
  </si>
  <si>
    <t>116 MIDDLE ROAD, SINGAPORE 188972, SINGAPORE 188972</t>
  </si>
  <si>
    <t>15 SCOTTS ROAD, SINGAPORE 228218, SINGAPORE 228218</t>
  </si>
  <si>
    <t>211 HOLLAND AVENUE, SINGAPORE 278967, SINGAPORE 278967</t>
  </si>
  <si>
    <t>470 NORTH BRIDGE ROAD, SINGAPORE 188735, SINGAPORE 188735</t>
  </si>
  <si>
    <t>101 SILOSO ROAD, SINGAPORE 098970, SINGAPORE 098970</t>
  </si>
  <si>
    <t>201 BALESTIER ROAD, SINGAPORE 329926, SINGAPORE 329926</t>
  </si>
  <si>
    <t>511 UPPER JURONG ROAD, SINGAPORE 638366, SINGAPORE 638366</t>
  </si>
  <si>
    <t>111 MIDDLE ROAD, SINGAPORE 188969, SINGAPORE 188969</t>
  </si>
  <si>
    <t>140 HILL STREET, SINGAPORE 179369, SINGAPORE 179369</t>
  </si>
  <si>
    <t>9 RAFFLES PLACE, SINGAPORE 048619, SINGAPORE 048619</t>
  </si>
  <si>
    <t>21 COLLYER QUAY, SINGAPORE 049320, SINGAPORE 049320</t>
  </si>
  <si>
    <t>250 NORTH BRIDGE ROAD, SINGAPORE 179101, SINGAPORE 179101</t>
  </si>
  <si>
    <t>32 BEACH ROAD, SINGAPORE 189764, SINGAPORE 189764</t>
  </si>
  <si>
    <t>34 BEACH ROAD, SINGAPORE 189765, SINGAPORE 189765</t>
  </si>
  <si>
    <t>31 OCEAN WAY, SINGAPORE 098375, SINGAPORE 098375</t>
  </si>
  <si>
    <t>623 CHOA CHU KANG STREET 62, SINGAPORE 680623, SINGAPORE 680623</t>
  </si>
  <si>
    <t>8 RAFFLES AVENUE, SINGAPORE 039802, SINGAPORE 039802</t>
  </si>
  <si>
    <t>1 FUSIONOPOLIS WAY, SINGAPORE 138632, SINGAPORE 138632</t>
  </si>
  <si>
    <t>3 FUSIONOPOLIS WAY, SINGAPORE 138633, SINGAPORE 138633</t>
  </si>
  <si>
    <t>21 GEYLANG EAST CENTRAL, SINGAPORE 389707, SINGAPORE 389707</t>
  </si>
  <si>
    <t>89 HOUGANG AVENUE 4, SINGAPORE 538829, SINGAPORE 538829</t>
  </si>
  <si>
    <t>10 BUANGKOK VIEW, SINGAPORE 539747, SINGAPORE 539747</t>
  </si>
  <si>
    <t>10 WOODLANDS STREET 31, SINGAPORE 738579, SINGAPORE 738579</t>
  </si>
  <si>
    <t>90 YISHUN CENTRAL, SINGAPORE 768828, SINGAPORE 768828</t>
  </si>
  <si>
    <t>21 ANG MO KIO CENTRAL 2, SINGAPORE 569666, SINGAPORE 569666</t>
  </si>
  <si>
    <t>9 EMPRESS PLACE, SINGAPORE 179556, SINGAPORE 179556</t>
  </si>
  <si>
    <t>400 LENGKOK BAHRU, SINGAPORE 159049, SINGAPORE 159049</t>
  </si>
  <si>
    <t>1 CHOA CHU KANG STREET 53, SINGAPORE 689236, SINGAPORE 689236</t>
  </si>
  <si>
    <t>11 SLIM BARRACKS RISE, SINGAPORE 138664, SINGAPORE 138664</t>
  </si>
  <si>
    <t>7, BISHAN STREET 14, SINGAPORE 579784</t>
  </si>
  <si>
    <t>NO. 1 MAGAZINE ROAD, SINGAPORE 059567</t>
  </si>
  <si>
    <t>1 RESEARCH LINK, NUS, SINGAPORE 117604</t>
  </si>
  <si>
    <t>10 ANSON ROAD #36-05 INTERNATIONAL PLAZA, SINGAPORE 079903</t>
  </si>
  <si>
    <t>70 BIOPOLIS STREET , SINGAPORE 138547</t>
  </si>
  <si>
    <t>2 STADIUM WALK SINGAPORE, 397691</t>
  </si>
  <si>
    <t>79 SCIENCE PARK DRIVE, SCIENCE PARK 1, SINGAPORE 118264</t>
  </si>
  <si>
    <t>89 SCIENCE PARK DRIVE, SCIENCE PARK 1, SINGAPORE 118261</t>
  </si>
  <si>
    <t>2022 EUI</t>
  </si>
  <si>
    <t>2022 EUI Quartile/ Energy Ranking</t>
  </si>
  <si>
    <t>&gt;259</t>
  </si>
  <si>
    <t>226 - 259</t>
  </si>
  <si>
    <t>180 - 226</t>
  </si>
  <si>
    <t>≤180</t>
  </si>
  <si>
    <t>All</t>
  </si>
  <si>
    <t>Mixed Developments</t>
  </si>
  <si>
    <t>&gt;480</t>
  </si>
  <si>
    <t>331 - 480</t>
  </si>
  <si>
    <t>243 - 331</t>
  </si>
  <si>
    <t>≤243</t>
  </si>
  <si>
    <t>&gt;472</t>
  </si>
  <si>
    <t>367 - 472</t>
  </si>
  <si>
    <t>189 - 367</t>
  </si>
  <si>
    <t>≤189</t>
  </si>
  <si>
    <t>Retail Buildings</t>
  </si>
  <si>
    <t>&gt;284</t>
  </si>
  <si>
    <t>232 - 284</t>
  </si>
  <si>
    <t>199 - 232</t>
  </si>
  <si>
    <t>≤199</t>
  </si>
  <si>
    <t>Hotels</t>
  </si>
  <si>
    <t>&gt;215</t>
  </si>
  <si>
    <t>155 - 215</t>
  </si>
  <si>
    <t>109 - 155</t>
  </si>
  <si>
    <t>≤109</t>
  </si>
  <si>
    <t>&gt;206</t>
  </si>
  <si>
    <t>160 - 206</t>
  </si>
  <si>
    <t>122 - 160</t>
  </si>
  <si>
    <t>≤122</t>
  </si>
  <si>
    <t>Office Buildings</t>
  </si>
  <si>
    <t>(76% - 100%)</t>
  </si>
  <si>
    <t>(51% - 75%)</t>
  </si>
  <si>
    <t>(26% - 50%)</t>
  </si>
  <si>
    <t>(1% - 25%)</t>
  </si>
  <si>
    <t>Bottom Quartile</t>
  </si>
  <si>
    <t>3rd Quartile</t>
  </si>
  <si>
    <t>2nd Quartile</t>
  </si>
  <si>
    <t>Top Quartile</t>
  </si>
  <si>
    <t>EUI Ranges (kWh/m².yr)</t>
  </si>
  <si>
    <t>Size*</t>
  </si>
  <si>
    <t>note: includes buildings without completed submissions in 2022, buildings without EUI or EUI Quartile/Ranking are buildings that were not benchmarked, or EUI which was combined under the main building</t>
  </si>
  <si>
    <t>Industrial</t>
  </si>
  <si>
    <t>Omit</t>
  </si>
  <si>
    <t>Legislated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</si>
</sst>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rgb="FFFFFFFF"/>
      <name val="Arial"/>
      <family val="2"/>
    </font>
    <font>
      <b/>
      <sz val="7.5"/>
      <color rgb="FF000000"/>
      <name val="Arial"/>
      <family val="2"/>
    </font>
    <font>
      <b/>
      <sz val="9"/>
      <color rgb="FFFF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9EDF4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D0D8E8"/>
        <bgColor indexed="64"/>
      </patternFill>
    </fill>
    <fill>
      <patternFill patternType="solid">
        <fgColor rgb="FF92D05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/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/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/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top"/>
    </xf>
    <xf numFmtId="14" fontId="0" fillId="0" borderId="0" xfId="0" applyNumberForma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14" fontId="2" fillId="0" borderId="0" xfId="0" applyNumberFormat="1" applyFont="1" applyAlignment="1">
      <alignment vertical="top" wrapText="1"/>
    </xf>
    <xf numFmtId="3" fontId="0" fillId="0" borderId="0" xfId="0" applyNumberFormat="1" applyAlignment="1">
      <alignment vertical="top"/>
    </xf>
    <xf numFmtId="9" fontId="0" fillId="0" borderId="0" xfId="1" applyFont="1" applyFill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vertical="center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3" fontId="0" fillId="0" borderId="5" xfId="0" applyNumberFormat="1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4" fillId="0" borderId="8" xfId="0" applyFont="1" applyBorder="1" applyAlignment="1">
      <alignment vertical="top" wrapText="1"/>
    </xf>
    <xf numFmtId="0" fontId="6" fillId="2" borderId="1" xfId="0" applyFont="1" applyFill="1" applyBorder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9" fontId="0" fillId="0" borderId="0" xfId="1" applyFont="1" applyAlignment="1">
      <alignment vertical="top"/>
    </xf>
    <xf numFmtId="164" fontId="0" fillId="0" borderId="0" xfId="0" applyNumberFormat="1" applyAlignment="1">
      <alignment vertical="top"/>
    </xf>
    <xf numFmtId="0" fontId="8" fillId="3" borderId="9" xfId="0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9" fillId="4" borderId="11" xfId="0" applyFont="1" applyFill="1" applyBorder="1" applyAlignment="1">
      <alignment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5" borderId="13" xfId="0" applyFont="1" applyFill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0" fontId="5" fillId="0" borderId="2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9" fillId="4" borderId="11" xfId="0" applyFont="1" applyFill="1" applyBorder="1" applyAlignment="1">
      <alignment vertical="center" wrapText="1"/>
    </xf>
    <xf numFmtId="0" fontId="9" fillId="4" borderId="10" xfId="0" applyFont="1" applyFill="1" applyBorder="1" applyAlignment="1">
      <alignment vertical="center" wrapText="1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9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9" fillId="4" borderId="12" xfId="0" applyFont="1" applyFill="1" applyBorder="1" applyAlignment="1">
      <alignment vertical="center" wrapText="1"/>
    </xf>
    <xf numFmtId="0" fontId="2" fillId="6" borderId="0" xfId="0" applyFont="1" applyFill="1" applyAlignment="1">
      <alignment horizontal="center" vertical="center" wrapText="1"/>
    </xf>
    <xf numFmtId="3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3" fontId="0" fillId="6" borderId="0" xfId="0" applyNumberFormat="1" applyFill="1" applyAlignment="1">
      <alignment vertical="top"/>
    </xf>
    <xf numFmtId="0" fontId="0" fillId="6" borderId="0" xfId="0" applyFill="1" applyAlignment="1">
      <alignment vertical="top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600"/>
              <a:t>Historical EUI of Building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('Building Search'!$G$7,'Building Search'!$G$9,'Building Search'!$G$11)</c:f>
              <c:strCache>
                <c:ptCount val="3"/>
                <c:pt idx="0">
                  <c:v>2020 EUI</c:v>
                </c:pt>
                <c:pt idx="1">
                  <c:v>2021 EUI</c:v>
                </c:pt>
                <c:pt idx="2">
                  <c:v>2022 EUI</c:v>
                </c:pt>
              </c:strCache>
            </c:strRef>
          </c:cat>
          <c:val>
            <c:numRef>
              <c:f>('Building Search'!$H$7,'Building Search'!$H$9,'Building Search'!$H$11)</c:f>
              <c:numCache>
                <c:formatCode>#,##0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82D-40F6-B029-DD3C4E3BB1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013628704"/>
        <c:axId val="-781372288"/>
      </c:barChart>
      <c:catAx>
        <c:axId val="-101362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81372288"/>
        <c:crosses val="autoZero"/>
        <c:auto val="1"/>
        <c:lblAlgn val="ctr"/>
        <c:lblOffset val="100"/>
        <c:noMultiLvlLbl val="0"/>
      </c:catAx>
      <c:valAx>
        <c:axId val="-78137228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EUI (kWh/m2.yr)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362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12373</xdr:colOff>
      <xdr:row>3</xdr:row>
      <xdr:rowOff>198233</xdr:rowOff>
    </xdr:from>
    <xdr:to>
      <xdr:col>5</xdr:col>
      <xdr:colOff>5617</xdr:colOff>
      <xdr:row>13</xdr:row>
      <xdr:rowOff>322385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27304067-244A-50F8-6A53-E176312BB5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Z1160"/>
  <sheetViews>
    <sheetView showGridLines="0" topLeftCell="D1" zoomScaleNormal="100" workbookViewId="0">
      <selection activeCell="E3" sqref="E3"/>
    </sheetView>
  </sheetViews>
  <sheetFormatPr defaultColWidth="27.77734375" defaultRowHeight="14.4" x14ac:dyDescent="0.3"/>
  <cols>
    <col min="1" max="1" width="48.5546875" style="1" hidden="1" customWidth="1"/>
    <col min="2" max="2" width="51.33203125" style="1" hidden="1" customWidth="1"/>
    <col min="3" max="3" width="33.33203125" style="1" hidden="1" customWidth="1"/>
    <col min="4" max="4" width="12.5546875" style="1" customWidth="1"/>
    <col min="5" max="5" width="80.5546875" style="1" customWidth="1"/>
    <col min="6" max="6" width="15.5546875" style="1" customWidth="1"/>
    <col min="7" max="7" width="33.21875" style="1" customWidth="1"/>
    <col min="8" max="8" width="31.109375" style="1" customWidth="1"/>
    <col min="9" max="10" width="12.21875" style="1" customWidth="1"/>
    <col min="11" max="11" width="22.33203125" style="1" customWidth="1"/>
    <col min="12" max="12" width="17.77734375" style="1" customWidth="1"/>
    <col min="13" max="13" width="27.77734375" style="1" customWidth="1"/>
    <col min="14" max="14" width="27.109375" style="1" customWidth="1"/>
    <col min="15" max="15" width="15" style="1" customWidth="1"/>
    <col min="16" max="16" width="12.21875" style="1" customWidth="1"/>
    <col min="17" max="17" width="21.5546875" style="1" customWidth="1"/>
    <col min="18" max="18" width="27.5546875" style="2" customWidth="1"/>
    <col min="19" max="19" width="19.109375" style="1" customWidth="1"/>
    <col min="20" max="20" width="19.5546875" style="1" customWidth="1"/>
    <col min="21" max="21" width="21.77734375" style="1" customWidth="1"/>
    <col min="22" max="22" width="36.77734375" style="1" customWidth="1"/>
    <col min="23" max="23" width="23.77734375" style="1" customWidth="1"/>
    <col min="24" max="24" width="36.77734375" style="1" customWidth="1"/>
    <col min="25" max="25" width="21.77734375" style="1" bestFit="1" customWidth="1"/>
    <col min="26" max="26" width="33.33203125" style="1" customWidth="1"/>
  </cols>
  <sheetData>
    <row r="1" spans="1:26" ht="15" thickBot="1" x14ac:dyDescent="0.35"/>
    <row r="2" spans="1:26" s="3" customFormat="1" ht="30" customHeight="1" thickBot="1" x14ac:dyDescent="0.35">
      <c r="A2" s="4" t="s">
        <v>0</v>
      </c>
      <c r="B2" s="4" t="s">
        <v>0</v>
      </c>
      <c r="C2" s="4"/>
      <c r="D2" s="4"/>
      <c r="E2" s="11" t="s">
        <v>1769</v>
      </c>
      <c r="F2" s="4"/>
      <c r="G2" s="41" t="s">
        <v>1770</v>
      </c>
      <c r="H2" s="42"/>
      <c r="I2" s="4"/>
      <c r="J2" s="4"/>
      <c r="K2" s="4"/>
      <c r="L2" s="4"/>
      <c r="M2" s="4"/>
      <c r="N2" s="4"/>
      <c r="O2" s="4"/>
      <c r="P2" s="4"/>
      <c r="Q2" s="4"/>
      <c r="R2" s="5"/>
      <c r="S2" s="4"/>
      <c r="T2" s="4"/>
      <c r="U2" s="4"/>
      <c r="V2" s="4"/>
      <c r="W2" s="4"/>
      <c r="X2" s="4"/>
      <c r="Y2" s="4"/>
      <c r="Z2" s="4"/>
    </row>
    <row r="3" spans="1:26" ht="26.25" customHeight="1" thickBot="1" x14ac:dyDescent="0.35">
      <c r="A3" s="1" t="s">
        <v>964</v>
      </c>
      <c r="B3" s="1" t="str" cm="1">
        <f t="array" ref="B3:B859">_xlfn._xlws.FILTER(A3:A1158,ISNUMBER(SEARCH(E3,A3:A1158,1)),"not found")</f>
        <v>ERA APAC CENTRE</v>
      </c>
      <c r="E3" s="19"/>
      <c r="F3" s="20"/>
      <c r="G3" s="12" t="s">
        <v>0</v>
      </c>
      <c r="H3" s="13" t="e">
        <f>VLOOKUP($E$3,'All Buildings'!$A:$X,MATCH('Building Search'!G3,'All Buildings'!$A$1:$X$1,0),FALSE)</f>
        <v>#N/A</v>
      </c>
      <c r="K3" s="6"/>
      <c r="L3" s="6"/>
      <c r="M3" s="7"/>
      <c r="U3" s="8"/>
      <c r="V3" s="8"/>
      <c r="W3" s="8"/>
      <c r="X3" s="9"/>
      <c r="Y3" s="8"/>
      <c r="Z3" s="8"/>
    </row>
    <row r="4" spans="1:26" ht="18" customHeight="1" x14ac:dyDescent="0.3">
      <c r="A4" s="1" t="s">
        <v>1383</v>
      </c>
      <c r="B4" s="1" t="str">
        <v>NEXUS @ONE-NORTH</v>
      </c>
      <c r="E4" s="20"/>
      <c r="F4" s="20"/>
      <c r="G4" s="12" t="s">
        <v>1</v>
      </c>
      <c r="H4" s="13" t="e">
        <f>VLOOKUP($E$3,'All Buildings'!$A:$X,MATCH('Building Search'!G4,'All Buildings'!$A$1:$X$1,0),FALSE)</f>
        <v>#N/A</v>
      </c>
      <c r="K4" s="6"/>
      <c r="L4" s="6"/>
      <c r="M4" s="7"/>
      <c r="U4" s="8"/>
      <c r="V4" s="8"/>
      <c r="W4" s="9"/>
      <c r="X4" s="9"/>
      <c r="Y4" s="8"/>
      <c r="Z4" s="8"/>
    </row>
    <row r="5" spans="1:26" ht="18" customHeight="1" x14ac:dyDescent="0.3">
      <c r="A5" s="1" t="s">
        <v>1612</v>
      </c>
      <c r="B5" s="1" t="str">
        <v>21 JURONG EAST STREET 31</v>
      </c>
      <c r="G5" s="12" t="s">
        <v>7</v>
      </c>
      <c r="H5" s="13" t="e">
        <f>VLOOKUP($E$3,'All Buildings'!$A:$X,MATCH('Building Search'!G5,'All Buildings'!$A$1:$X$1,0),FALSE)</f>
        <v>#N/A</v>
      </c>
      <c r="K5" s="6"/>
      <c r="L5" s="6"/>
      <c r="M5" s="7"/>
      <c r="U5" s="8"/>
      <c r="V5" s="8"/>
      <c r="W5" s="8"/>
      <c r="X5" s="9"/>
      <c r="Y5" s="8"/>
      <c r="Z5" s="8"/>
    </row>
    <row r="6" spans="1:26" ht="18" customHeight="1" x14ac:dyDescent="0.3">
      <c r="A6" s="1" t="s">
        <v>786</v>
      </c>
      <c r="B6" s="1" t="str">
        <v>BISHAN SPORTS HALL</v>
      </c>
      <c r="G6" s="12" t="s">
        <v>1760</v>
      </c>
      <c r="H6" s="13" t="e">
        <f>VLOOKUP($E$3,'All Buildings'!$A:$X,MATCH('Building Search'!G6,'All Buildings'!$A$1:$X$1,0),FALSE)</f>
        <v>#N/A</v>
      </c>
      <c r="K6" s="6"/>
      <c r="L6" s="6"/>
      <c r="M6" s="7"/>
      <c r="U6" s="8"/>
      <c r="V6" s="8"/>
      <c r="W6" s="8"/>
      <c r="X6" s="9"/>
      <c r="Y6" s="8"/>
      <c r="Z6" s="8"/>
    </row>
    <row r="7" spans="1:26" ht="18" customHeight="1" x14ac:dyDescent="0.3">
      <c r="A7" s="1" t="s">
        <v>1437</v>
      </c>
      <c r="B7" s="1" t="str">
        <v>TUV SUD PSB BUILDING</v>
      </c>
      <c r="G7" s="12" t="s">
        <v>1765</v>
      </c>
      <c r="H7" s="15" t="e">
        <f>VLOOKUP($E$3,'All Buildings'!$A:$X,MATCH('Building Search'!G7,'All Buildings'!$A$1:$X$1,0),FALSE)</f>
        <v>#N/A</v>
      </c>
      <c r="K7" s="6"/>
      <c r="L7" s="6"/>
      <c r="M7" s="7"/>
      <c r="U7" s="8"/>
      <c r="V7" s="8"/>
      <c r="W7" s="8"/>
      <c r="X7" s="9"/>
      <c r="Y7" s="6"/>
      <c r="Z7" s="8"/>
    </row>
    <row r="8" spans="1:26" ht="31.2" x14ac:dyDescent="0.3">
      <c r="A8" s="1" t="s">
        <v>1010</v>
      </c>
      <c r="B8" s="1" t="str">
        <v>HDB CENTRE OF BUILDING RESEARCH</v>
      </c>
      <c r="G8" s="12" t="s">
        <v>1766</v>
      </c>
      <c r="H8" s="16" t="e">
        <f>VLOOKUP($E$3,'All Buildings'!$A:$X,MATCH('Building Search'!G8,'All Buildings'!$A$1:$X$1,0),FALSE)</f>
        <v>#N/A</v>
      </c>
      <c r="K8" s="6"/>
      <c r="L8" s="6"/>
      <c r="M8" s="7"/>
      <c r="U8" s="8"/>
      <c r="V8" s="8"/>
      <c r="W8" s="8"/>
      <c r="X8" s="9"/>
      <c r="Y8" s="6"/>
      <c r="Z8" s="8"/>
    </row>
    <row r="9" spans="1:26" ht="15.6" x14ac:dyDescent="0.3">
      <c r="A9" s="1" t="s">
        <v>167</v>
      </c>
      <c r="B9" s="1" t="str">
        <v>BCA BRADDELL CAMPUS</v>
      </c>
      <c r="G9" s="12" t="s">
        <v>1768</v>
      </c>
      <c r="H9" s="15" t="e">
        <f>VLOOKUP($E$3,'All Buildings'!$A:$X,MATCH('Building Search'!G9,'All Buildings'!$A$1:$X$1,0),FALSE)</f>
        <v>#N/A</v>
      </c>
      <c r="K9" s="6"/>
      <c r="L9" s="6"/>
      <c r="M9" s="7"/>
      <c r="U9" s="8"/>
      <c r="V9" s="8"/>
      <c r="W9" s="8"/>
      <c r="X9" s="9"/>
      <c r="Y9" s="6"/>
      <c r="Z9" s="8"/>
    </row>
    <row r="10" spans="1:26" ht="31.2" x14ac:dyDescent="0.3">
      <c r="A10" s="1" t="s">
        <v>795</v>
      </c>
      <c r="B10" s="1" t="str">
        <v>MAJLIS UGAMA ISLAM SINGAPURA</v>
      </c>
      <c r="G10" s="18" t="s">
        <v>1767</v>
      </c>
      <c r="H10" s="16" t="e">
        <f>VLOOKUP($E$3,'All Buildings'!$A:$X,MATCH('Building Search'!G10,'All Buildings'!$A$1:$X$1,0),FALSE)</f>
        <v>#N/A</v>
      </c>
      <c r="K10" s="6"/>
      <c r="L10" s="6"/>
      <c r="M10" s="7"/>
      <c r="U10" s="8"/>
      <c r="V10" s="8"/>
      <c r="W10" s="8"/>
      <c r="X10" s="9"/>
      <c r="Y10" s="6"/>
      <c r="Z10" s="8"/>
    </row>
    <row r="11" spans="1:26" ht="15.6" x14ac:dyDescent="0.3">
      <c r="A11" s="1" t="s">
        <v>908</v>
      </c>
      <c r="B11" s="1" t="str">
        <v>HSBC BUILDING</v>
      </c>
      <c r="G11" s="12" t="s">
        <v>2619</v>
      </c>
      <c r="H11" s="15" t="e">
        <f>VLOOKUP($E$3,'All Buildings'!$A:$X,MATCH('Building Search'!G11,'All Buildings'!$A$1:$X$1,0),FALSE)</f>
        <v>#N/A</v>
      </c>
      <c r="K11" s="6"/>
      <c r="L11" s="6"/>
      <c r="M11" s="7"/>
      <c r="U11" s="8"/>
      <c r="V11" s="8"/>
      <c r="W11" s="8"/>
      <c r="X11" s="9"/>
      <c r="Y11" s="6"/>
      <c r="Z11" s="8"/>
    </row>
    <row r="12" spans="1:26" ht="31.2" x14ac:dyDescent="0.3">
      <c r="A12" s="1" t="s">
        <v>1613</v>
      </c>
      <c r="B12" s="1" t="str">
        <v>51 GRANGE ROAD</v>
      </c>
      <c r="G12" s="18" t="s">
        <v>2620</v>
      </c>
      <c r="H12" s="15" t="e">
        <f>VLOOKUP($E$3,'All Buildings'!$A:$X,MATCH('Building Search'!G12,'All Buildings'!$A$1:$X$1,0),FALSE)</f>
        <v>#N/A</v>
      </c>
      <c r="K12" s="6"/>
      <c r="L12" s="6"/>
      <c r="M12" s="7"/>
      <c r="U12" s="8"/>
      <c r="V12" s="8"/>
      <c r="W12" s="8"/>
      <c r="X12" s="9"/>
      <c r="Y12" s="6"/>
      <c r="Z12" s="8"/>
    </row>
    <row r="13" spans="1:26" ht="16.2" thickBot="1" x14ac:dyDescent="0.35">
      <c r="A13" s="1" t="s">
        <v>1255</v>
      </c>
      <c r="B13" s="1" t="str">
        <v>FUJI XEROX TOWERS</v>
      </c>
      <c r="G13" s="14" t="s">
        <v>1771</v>
      </c>
      <c r="H13" s="17" t="e">
        <f>IF(VLOOKUP($E$3,'All Buildings'!$A:$X,MATCH('Building Search'!G13,'All Buildings'!$A$1:$X$1,0),FALSE)="","",VLOOKUP($E$3,'All Buildings'!$A:$X,MATCH('Building Search'!G13,'All Buildings'!$A$1:$X$1,0),FALSE))</f>
        <v>#N/A</v>
      </c>
      <c r="K13" s="6"/>
      <c r="L13" s="6"/>
      <c r="M13" s="7"/>
      <c r="U13" s="8"/>
      <c r="V13" s="8"/>
      <c r="W13" s="8"/>
      <c r="X13" s="9"/>
      <c r="Y13" s="6"/>
      <c r="Z13" s="8"/>
    </row>
    <row r="14" spans="1:26" ht="38.25" customHeight="1" x14ac:dyDescent="0.3">
      <c r="A14" s="1" t="s">
        <v>1313</v>
      </c>
      <c r="B14" s="1" t="str">
        <v>CONNECTION ONE</v>
      </c>
      <c r="K14" s="6"/>
      <c r="L14" s="6"/>
      <c r="M14" s="7"/>
      <c r="U14" s="8"/>
      <c r="V14" s="8"/>
      <c r="W14" s="8"/>
      <c r="X14" s="9"/>
      <c r="Y14" s="6"/>
      <c r="Z14" s="8"/>
    </row>
    <row r="15" spans="1:26" x14ac:dyDescent="0.3">
      <c r="A15" s="1" t="s">
        <v>1270</v>
      </c>
      <c r="B15" s="1" t="str">
        <v>JURONG TOWN HALL</v>
      </c>
      <c r="K15" s="6"/>
      <c r="L15" s="6"/>
      <c r="M15" s="7"/>
      <c r="U15" s="8"/>
      <c r="V15" s="8"/>
      <c r="W15" s="8"/>
      <c r="X15" s="9"/>
      <c r="Y15" s="6"/>
      <c r="Z15" s="8"/>
    </row>
    <row r="16" spans="1:26" x14ac:dyDescent="0.3">
      <c r="A16" s="1" t="s">
        <v>1614</v>
      </c>
      <c r="B16" s="1" t="str">
        <v>298 JALAN BUKIT HO SWEE</v>
      </c>
      <c r="K16" s="6"/>
      <c r="L16" s="6"/>
      <c r="M16" s="7"/>
      <c r="U16" s="8"/>
      <c r="V16" s="8"/>
      <c r="W16" s="8"/>
      <c r="X16" s="9"/>
      <c r="Y16" s="6"/>
      <c r="Z16" s="8"/>
    </row>
    <row r="17" spans="1:26" x14ac:dyDescent="0.3">
      <c r="A17" s="1" t="s">
        <v>1565</v>
      </c>
      <c r="B17" s="1" t="str">
        <v>ACER BUILDING</v>
      </c>
      <c r="K17" s="6"/>
      <c r="L17" s="6"/>
      <c r="M17" s="7"/>
      <c r="U17" s="8"/>
      <c r="V17" s="8"/>
      <c r="W17" s="8"/>
      <c r="X17" s="9"/>
      <c r="Y17" s="6"/>
      <c r="Z17" s="8"/>
    </row>
    <row r="18" spans="1:26" x14ac:dyDescent="0.3">
      <c r="A18" s="1" t="s">
        <v>156</v>
      </c>
      <c r="B18" s="1" t="str">
        <v>MITSUBISHI ELECTRIC BUILDING</v>
      </c>
      <c r="K18" s="6"/>
      <c r="L18" s="6"/>
      <c r="M18" s="7"/>
      <c r="U18" s="8"/>
      <c r="V18" s="8"/>
      <c r="W18" s="8"/>
      <c r="X18" s="9"/>
      <c r="Y18" s="6"/>
      <c r="Z18" s="8"/>
    </row>
    <row r="19" spans="1:26" x14ac:dyDescent="0.3">
      <c r="A19" s="1" t="s">
        <v>1615</v>
      </c>
      <c r="B19" s="1" t="str">
        <v>501 OLD CHOA CHU KANG ROAD</v>
      </c>
      <c r="K19" s="6"/>
      <c r="L19" s="6"/>
      <c r="M19" s="7"/>
      <c r="U19" s="8"/>
      <c r="V19" s="8"/>
      <c r="W19" s="8"/>
      <c r="X19" s="9"/>
      <c r="Y19" s="6"/>
      <c r="Z19" s="8"/>
    </row>
    <row r="20" spans="1:26" x14ac:dyDescent="0.3">
      <c r="A20" s="1" t="s">
        <v>1616</v>
      </c>
      <c r="B20" s="1" t="str">
        <v>1 KAY SIANG ROAD</v>
      </c>
      <c r="K20" s="6"/>
      <c r="L20" s="6"/>
      <c r="M20" s="7"/>
      <c r="U20" s="8"/>
      <c r="V20" s="8"/>
      <c r="W20" s="8"/>
      <c r="X20" s="9"/>
      <c r="Y20" s="6"/>
      <c r="Z20" s="8"/>
    </row>
    <row r="21" spans="1:26" x14ac:dyDescent="0.3">
      <c r="A21" s="1" t="s">
        <v>1617</v>
      </c>
      <c r="B21" s="1" t="str">
        <v>1 DEFU AVENUE 1</v>
      </c>
      <c r="K21" s="6"/>
      <c r="L21" s="6"/>
      <c r="M21" s="7"/>
      <c r="U21" s="8"/>
      <c r="V21" s="8"/>
      <c r="W21" s="8"/>
      <c r="X21" s="9"/>
      <c r="Y21" s="6"/>
      <c r="Z21" s="8"/>
    </row>
    <row r="22" spans="1:26" x14ac:dyDescent="0.3">
      <c r="A22" s="1" t="s">
        <v>1618</v>
      </c>
      <c r="B22" s="1" t="str">
        <v>18 NAPIER ROAD</v>
      </c>
      <c r="K22" s="6"/>
      <c r="L22" s="6"/>
      <c r="M22" s="7"/>
      <c r="U22" s="8"/>
      <c r="V22" s="8"/>
      <c r="W22" s="8"/>
      <c r="X22" s="9"/>
      <c r="Y22" s="6"/>
      <c r="Z22" s="8"/>
    </row>
    <row r="23" spans="1:26" x14ac:dyDescent="0.3">
      <c r="A23" s="1" t="s">
        <v>1619</v>
      </c>
      <c r="B23" s="1" t="str">
        <v>3 BULIM DRIVE</v>
      </c>
      <c r="K23" s="6"/>
      <c r="L23" s="6"/>
      <c r="M23" s="7"/>
      <c r="U23" s="8"/>
      <c r="V23" s="8"/>
      <c r="W23" s="8"/>
      <c r="X23" s="9"/>
      <c r="Y23" s="6"/>
      <c r="Z23" s="8"/>
    </row>
    <row r="24" spans="1:26" x14ac:dyDescent="0.3">
      <c r="A24" s="1" t="s">
        <v>946</v>
      </c>
      <c r="B24" s="1" t="str">
        <v>PLUS</v>
      </c>
      <c r="K24" s="6"/>
      <c r="L24" s="6"/>
      <c r="M24" s="7"/>
      <c r="U24" s="8"/>
      <c r="V24" s="8"/>
      <c r="W24" s="8"/>
      <c r="X24" s="9"/>
      <c r="Y24" s="6"/>
      <c r="Z24" s="8"/>
    </row>
    <row r="25" spans="1:26" x14ac:dyDescent="0.3">
      <c r="A25" s="1" t="s">
        <v>1307</v>
      </c>
      <c r="B25" s="1" t="str">
        <v>ICON@IBP</v>
      </c>
      <c r="K25" s="6"/>
      <c r="L25" s="6"/>
      <c r="M25" s="7"/>
      <c r="U25" s="8"/>
      <c r="V25" s="8"/>
      <c r="W25" s="8"/>
      <c r="X25" s="9"/>
      <c r="Y25" s="6"/>
      <c r="Z25" s="8"/>
    </row>
    <row r="26" spans="1:26" x14ac:dyDescent="0.3">
      <c r="A26" s="1" t="s">
        <v>875</v>
      </c>
      <c r="B26" s="1" t="str">
        <v>SCDF JALAN BAHAR CAMP</v>
      </c>
      <c r="K26" s="6"/>
      <c r="L26" s="6"/>
      <c r="M26" s="7"/>
      <c r="U26" s="8"/>
      <c r="V26" s="8"/>
      <c r="W26" s="8"/>
      <c r="X26" s="9"/>
      <c r="Y26" s="6"/>
      <c r="Z26" s="8"/>
    </row>
    <row r="27" spans="1:26" x14ac:dyDescent="0.3">
      <c r="A27" s="1" t="s">
        <v>225</v>
      </c>
      <c r="B27" s="1" t="str">
        <v>MAXWELL HOUSE</v>
      </c>
      <c r="K27" s="6"/>
      <c r="L27" s="6"/>
      <c r="M27" s="7"/>
      <c r="U27" s="8"/>
      <c r="V27" s="8"/>
      <c r="W27" s="8"/>
      <c r="X27" s="9"/>
      <c r="Y27" s="6"/>
      <c r="Z27" s="8"/>
    </row>
    <row r="28" spans="1:26" x14ac:dyDescent="0.3">
      <c r="A28" s="1" t="s">
        <v>1519</v>
      </c>
      <c r="B28" s="1" t="str">
        <v>MANULIFE CENTRE</v>
      </c>
      <c r="K28" s="6"/>
      <c r="L28" s="6"/>
      <c r="M28" s="7"/>
      <c r="U28" s="8"/>
      <c r="V28" s="8"/>
      <c r="W28" s="8"/>
      <c r="X28" s="9"/>
      <c r="Y28" s="6"/>
      <c r="Z28" s="8"/>
    </row>
    <row r="29" spans="1:26" x14ac:dyDescent="0.3">
      <c r="A29" s="1" t="s">
        <v>873</v>
      </c>
      <c r="B29" s="1" t="str">
        <v>CIVIL DEFENCE ACADEMY</v>
      </c>
      <c r="K29" s="6"/>
      <c r="L29" s="6"/>
      <c r="M29" s="7"/>
      <c r="U29" s="8"/>
      <c r="V29" s="8"/>
      <c r="W29" s="8"/>
      <c r="X29" s="9"/>
      <c r="Y29" s="6"/>
      <c r="Z29" s="8"/>
    </row>
    <row r="30" spans="1:26" x14ac:dyDescent="0.3">
      <c r="A30" s="1" t="s">
        <v>1240</v>
      </c>
      <c r="B30" s="1" t="str">
        <v>NORDIC EUROPEAN CENTRE</v>
      </c>
      <c r="K30" s="6"/>
      <c r="L30" s="6"/>
      <c r="M30" s="7"/>
      <c r="U30" s="8"/>
      <c r="V30" s="8"/>
      <c r="W30" s="8"/>
      <c r="X30" s="9"/>
      <c r="Y30" s="6"/>
      <c r="Z30" s="8"/>
    </row>
    <row r="31" spans="1:26" x14ac:dyDescent="0.3">
      <c r="A31" s="1" t="s">
        <v>532</v>
      </c>
      <c r="B31" s="1" t="str">
        <v>TONG ENG BUILDING</v>
      </c>
      <c r="K31" s="6"/>
      <c r="L31" s="6"/>
      <c r="M31" s="7"/>
      <c r="U31" s="8"/>
      <c r="V31" s="8"/>
      <c r="W31" s="8"/>
      <c r="X31" s="9"/>
      <c r="Y31" s="6"/>
      <c r="Z31" s="8"/>
    </row>
    <row r="32" spans="1:26" x14ac:dyDescent="0.3">
      <c r="A32" s="1" t="s">
        <v>1372</v>
      </c>
      <c r="B32" s="1" t="str">
        <v>GOODMAN ARTS CENTRE</v>
      </c>
      <c r="K32" s="6"/>
      <c r="L32" s="6"/>
      <c r="M32" s="7"/>
      <c r="U32" s="8"/>
      <c r="V32" s="8"/>
      <c r="W32" s="8"/>
      <c r="X32" s="9"/>
      <c r="Y32" s="6"/>
      <c r="Z32" s="8"/>
    </row>
    <row r="33" spans="1:26" x14ac:dyDescent="0.3">
      <c r="A33" s="1" t="s">
        <v>151</v>
      </c>
      <c r="B33" s="1" t="str">
        <v>HIGH STREET CENTRE</v>
      </c>
      <c r="K33" s="6"/>
      <c r="L33" s="6"/>
      <c r="M33" s="7"/>
      <c r="U33" s="8"/>
      <c r="V33" s="8"/>
      <c r="W33" s="8"/>
      <c r="X33" s="9"/>
      <c r="Y33" s="6"/>
      <c r="Z33" s="8"/>
    </row>
    <row r="34" spans="1:26" x14ac:dyDescent="0.3">
      <c r="A34" s="1" t="s">
        <v>285</v>
      </c>
      <c r="B34" s="1" t="str">
        <v>CITY HOUSE</v>
      </c>
      <c r="K34" s="6"/>
      <c r="L34" s="6"/>
      <c r="M34" s="7"/>
      <c r="U34" s="8"/>
      <c r="V34" s="8"/>
      <c r="W34" s="8"/>
      <c r="X34" s="9"/>
      <c r="Y34" s="6"/>
      <c r="Z34" s="8"/>
    </row>
    <row r="35" spans="1:26" x14ac:dyDescent="0.3">
      <c r="A35" s="1" t="s">
        <v>1620</v>
      </c>
      <c r="B35" s="1" t="str">
        <v>31 INTERNATIONAL BUSINESS PARK</v>
      </c>
      <c r="K35" s="6"/>
      <c r="L35" s="6"/>
      <c r="M35" s="7"/>
      <c r="U35" s="8"/>
      <c r="V35" s="8"/>
      <c r="W35" s="8"/>
      <c r="X35" s="9"/>
      <c r="Y35" s="6"/>
      <c r="Z35" s="8"/>
    </row>
    <row r="36" spans="1:26" x14ac:dyDescent="0.3">
      <c r="A36" s="1" t="s">
        <v>1029</v>
      </c>
      <c r="B36" s="1" t="str">
        <v>CUSTOMS OPERATIONS COMMAND</v>
      </c>
      <c r="K36" s="6"/>
      <c r="L36" s="6"/>
      <c r="M36" s="7"/>
      <c r="U36" s="8"/>
      <c r="V36" s="8"/>
      <c r="W36" s="8"/>
      <c r="X36" s="9"/>
      <c r="Y36" s="6"/>
      <c r="Z36" s="8"/>
    </row>
    <row r="37" spans="1:26" x14ac:dyDescent="0.3">
      <c r="A37" s="1" t="s">
        <v>1373</v>
      </c>
      <c r="B37" s="1" t="str">
        <v>ENVIRONMENT BUILDING</v>
      </c>
      <c r="K37" s="6"/>
      <c r="L37" s="6"/>
      <c r="M37" s="7"/>
      <c r="U37" s="8"/>
      <c r="V37" s="8"/>
      <c r="W37" s="8"/>
      <c r="X37" s="9"/>
      <c r="Y37" s="6"/>
      <c r="Z37" s="8"/>
    </row>
    <row r="38" spans="1:26" x14ac:dyDescent="0.3">
      <c r="A38" s="1" t="s">
        <v>155</v>
      </c>
      <c r="B38" s="1" t="str">
        <v>GERMAN CENTRE</v>
      </c>
      <c r="K38" s="6"/>
      <c r="L38" s="6"/>
      <c r="M38" s="7"/>
      <c r="U38" s="8"/>
      <c r="V38" s="8"/>
      <c r="W38" s="8"/>
      <c r="X38" s="9"/>
      <c r="Y38" s="6"/>
      <c r="Z38" s="8"/>
    </row>
    <row r="39" spans="1:26" x14ac:dyDescent="0.3">
      <c r="A39" s="1" t="s">
        <v>1621</v>
      </c>
      <c r="B39" s="1" t="str">
        <v>28 BIOPOLIS ROAD</v>
      </c>
      <c r="K39" s="6"/>
      <c r="L39" s="6"/>
      <c r="M39" s="7"/>
      <c r="U39" s="8"/>
      <c r="V39" s="8"/>
      <c r="W39" s="8"/>
      <c r="X39" s="9"/>
      <c r="Y39" s="6"/>
      <c r="Z39" s="8"/>
    </row>
    <row r="40" spans="1:26" x14ac:dyDescent="0.3">
      <c r="A40" s="1" t="s">
        <v>1622</v>
      </c>
      <c r="B40" s="1" t="str">
        <v>1A INTERNATIONAL BUSINESS PARK</v>
      </c>
      <c r="K40" s="6"/>
      <c r="L40" s="6"/>
      <c r="M40" s="7"/>
      <c r="U40" s="8"/>
      <c r="V40" s="8"/>
      <c r="W40" s="8"/>
      <c r="X40" s="9"/>
      <c r="Y40" s="6"/>
      <c r="Z40" s="8"/>
    </row>
    <row r="41" spans="1:26" x14ac:dyDescent="0.3">
      <c r="A41" s="1" t="s">
        <v>672</v>
      </c>
      <c r="B41" s="1" t="str">
        <v>MOUNTBATTEN SQUARE</v>
      </c>
      <c r="K41" s="6"/>
      <c r="L41" s="6"/>
      <c r="M41" s="7"/>
      <c r="U41" s="8"/>
      <c r="V41" s="8"/>
      <c r="W41" s="8"/>
      <c r="X41" s="9"/>
      <c r="Y41" s="6"/>
      <c r="Z41" s="8"/>
    </row>
    <row r="42" spans="1:26" x14ac:dyDescent="0.3">
      <c r="A42" s="1" t="s">
        <v>715</v>
      </c>
      <c r="B42" s="1" t="str">
        <v>JALAN BESAR PLAZA</v>
      </c>
      <c r="K42" s="6"/>
      <c r="L42" s="6"/>
      <c r="M42" s="7"/>
      <c r="U42" s="8"/>
      <c r="V42" s="8"/>
      <c r="W42" s="8"/>
      <c r="X42" s="9"/>
      <c r="Y42" s="6"/>
      <c r="Z42" s="8"/>
    </row>
    <row r="43" spans="1:26" x14ac:dyDescent="0.3">
      <c r="A43" s="1" t="s">
        <v>1623</v>
      </c>
      <c r="B43" s="1" t="str">
        <v>71 CHAI CHEE STREET</v>
      </c>
      <c r="K43" s="6"/>
      <c r="L43" s="6"/>
      <c r="M43" s="7"/>
      <c r="U43" s="8"/>
      <c r="V43" s="8"/>
      <c r="W43" s="8"/>
      <c r="X43" s="9"/>
      <c r="Y43" s="6"/>
      <c r="Z43" s="8"/>
    </row>
    <row r="44" spans="1:26" x14ac:dyDescent="0.3">
      <c r="A44" s="1" t="s">
        <v>1035</v>
      </c>
      <c r="B44" s="1" t="str">
        <v>ALEXANDRA POINT</v>
      </c>
      <c r="K44" s="6"/>
      <c r="L44" s="6"/>
      <c r="M44" s="7"/>
      <c r="U44" s="8"/>
      <c r="V44" s="8"/>
      <c r="W44" s="8"/>
      <c r="X44" s="9"/>
      <c r="Y44" s="6"/>
      <c r="Z44" s="8"/>
    </row>
    <row r="45" spans="1:26" x14ac:dyDescent="0.3">
      <c r="A45" s="1" t="s">
        <v>977</v>
      </c>
      <c r="B45" s="1" t="str">
        <v>BANGKOK BANK BUILDING</v>
      </c>
      <c r="K45" s="6"/>
      <c r="L45" s="6"/>
      <c r="M45" s="7"/>
      <c r="U45" s="8"/>
      <c r="V45" s="8"/>
      <c r="W45" s="8"/>
      <c r="X45" s="9"/>
      <c r="Y45" s="6"/>
      <c r="Z45" s="8"/>
    </row>
    <row r="46" spans="1:26" x14ac:dyDescent="0.3">
      <c r="A46" s="1" t="s">
        <v>522</v>
      </c>
      <c r="B46" s="1" t="str">
        <v>OXLEY @ RAFFLES</v>
      </c>
      <c r="K46" s="6"/>
      <c r="L46" s="6"/>
      <c r="M46" s="7"/>
      <c r="U46" s="8"/>
      <c r="V46" s="8"/>
      <c r="W46" s="8"/>
      <c r="X46" s="9"/>
      <c r="Y46" s="6"/>
      <c r="Z46" s="8"/>
    </row>
    <row r="47" spans="1:26" x14ac:dyDescent="0.3">
      <c r="A47" s="1" t="s">
        <v>343</v>
      </c>
      <c r="B47" s="1" t="str">
        <v>MAS BUILDING</v>
      </c>
      <c r="K47" s="6"/>
      <c r="L47" s="6"/>
      <c r="M47" s="7"/>
      <c r="U47" s="8"/>
      <c r="V47" s="8"/>
      <c r="W47" s="8"/>
      <c r="X47" s="9"/>
      <c r="Y47" s="6"/>
      <c r="Z47" s="8"/>
    </row>
    <row r="48" spans="1:26" x14ac:dyDescent="0.3">
      <c r="A48" s="1" t="s">
        <v>237</v>
      </c>
      <c r="B48" s="1" t="str">
        <v>COLLEGE OF MEDICINE BUILDING</v>
      </c>
      <c r="K48" s="6"/>
      <c r="L48" s="6"/>
      <c r="M48" s="7"/>
      <c r="U48" s="8"/>
      <c r="V48" s="8"/>
      <c r="W48" s="8"/>
      <c r="X48" s="9"/>
      <c r="Y48" s="6"/>
      <c r="Z48" s="8"/>
    </row>
    <row r="49" spans="1:26" x14ac:dyDescent="0.3">
      <c r="A49" s="1" t="s">
        <v>440</v>
      </c>
      <c r="B49" s="1" t="str">
        <v>STATE COURTS</v>
      </c>
      <c r="K49" s="6"/>
      <c r="L49" s="6"/>
      <c r="M49" s="7"/>
      <c r="U49" s="8"/>
      <c r="V49" s="8"/>
      <c r="W49" s="8"/>
      <c r="X49" s="9"/>
      <c r="Y49" s="6"/>
      <c r="Z49" s="8"/>
    </row>
    <row r="50" spans="1:26" x14ac:dyDescent="0.3">
      <c r="A50" s="1" t="s">
        <v>1289</v>
      </c>
      <c r="B50" s="1" t="str">
        <v>REVENUE HOUSE</v>
      </c>
      <c r="K50" s="6"/>
      <c r="L50" s="6"/>
      <c r="M50" s="7"/>
      <c r="U50" s="8"/>
      <c r="V50" s="8"/>
      <c r="W50" s="8"/>
      <c r="X50" s="9"/>
      <c r="Y50" s="6"/>
      <c r="Z50" s="8"/>
    </row>
    <row r="51" spans="1:26" x14ac:dyDescent="0.3">
      <c r="A51" s="1" t="s">
        <v>841</v>
      </c>
      <c r="B51" s="1" t="str">
        <v>AXA TOWER</v>
      </c>
      <c r="K51" s="6"/>
      <c r="L51" s="6"/>
      <c r="M51" s="7"/>
      <c r="U51" s="8"/>
      <c r="V51" s="8"/>
      <c r="W51" s="8"/>
      <c r="X51" s="9"/>
      <c r="Y51" s="6"/>
      <c r="Z51" s="8"/>
    </row>
    <row r="52" spans="1:26" x14ac:dyDescent="0.3">
      <c r="A52" s="1" t="s">
        <v>45</v>
      </c>
      <c r="B52" s="1" t="str">
        <v>KECK SENG TOWER</v>
      </c>
      <c r="K52" s="6"/>
      <c r="L52" s="6"/>
      <c r="M52" s="7"/>
      <c r="U52" s="8"/>
      <c r="V52" s="8"/>
      <c r="W52" s="8"/>
      <c r="X52" s="9"/>
      <c r="Y52" s="6"/>
      <c r="Z52" s="8"/>
    </row>
    <row r="53" spans="1:26" x14ac:dyDescent="0.3">
      <c r="A53" s="1" t="s">
        <v>159</v>
      </c>
      <c r="B53" s="1" t="str">
        <v>SOUTHPOINT</v>
      </c>
      <c r="K53" s="6"/>
      <c r="L53" s="6"/>
      <c r="M53" s="7"/>
      <c r="U53" s="8"/>
      <c r="V53" s="8"/>
      <c r="W53" s="8"/>
      <c r="X53" s="9"/>
      <c r="Y53" s="6"/>
      <c r="Z53" s="8"/>
    </row>
    <row r="54" spans="1:26" x14ac:dyDescent="0.3">
      <c r="A54" s="1" t="s">
        <v>216</v>
      </c>
      <c r="B54" s="1" t="str">
        <v>WINSLAND HOUSE I</v>
      </c>
      <c r="K54" s="6"/>
      <c r="L54" s="6"/>
      <c r="M54" s="7"/>
      <c r="U54" s="8"/>
      <c r="V54" s="8"/>
      <c r="W54" s="8"/>
      <c r="X54" s="9"/>
      <c r="Y54" s="6"/>
      <c r="Z54" s="8"/>
    </row>
    <row r="55" spans="1:26" x14ac:dyDescent="0.3">
      <c r="A55" s="1" t="s">
        <v>1499</v>
      </c>
      <c r="B55" s="1" t="str">
        <v>THE OCTAGON</v>
      </c>
      <c r="K55" s="6"/>
      <c r="L55" s="6"/>
      <c r="M55" s="7"/>
      <c r="U55" s="8"/>
      <c r="V55" s="8"/>
      <c r="W55" s="8"/>
      <c r="X55" s="9"/>
      <c r="Y55" s="6"/>
      <c r="Z55" s="8"/>
    </row>
    <row r="56" spans="1:26" x14ac:dyDescent="0.3">
      <c r="A56" s="1" t="s">
        <v>98</v>
      </c>
      <c r="B56" s="1" t="str">
        <v>THE TREASURY</v>
      </c>
      <c r="K56" s="6"/>
      <c r="L56" s="6"/>
      <c r="M56" s="7"/>
      <c r="U56" s="8"/>
      <c r="V56" s="8"/>
      <c r="W56" s="8"/>
      <c r="X56" s="9"/>
      <c r="Y56" s="6"/>
      <c r="Z56" s="8"/>
    </row>
    <row r="57" spans="1:26" x14ac:dyDescent="0.3">
      <c r="A57" s="1" t="s">
        <v>1572</v>
      </c>
      <c r="B57" s="1" t="str">
        <v>ONE MARINA BOULEVARD</v>
      </c>
      <c r="K57" s="6"/>
      <c r="L57" s="6"/>
      <c r="M57" s="7"/>
      <c r="U57" s="8"/>
      <c r="V57" s="8"/>
      <c r="W57" s="8"/>
      <c r="X57" s="9"/>
      <c r="Y57" s="6"/>
      <c r="Z57" s="8"/>
    </row>
    <row r="58" spans="1:26" x14ac:dyDescent="0.3">
      <c r="A58" s="1" t="s">
        <v>1624</v>
      </c>
      <c r="B58" s="1" t="str">
        <v>20 HARBOUR DRIVE</v>
      </c>
      <c r="K58" s="6"/>
      <c r="L58" s="6"/>
      <c r="M58" s="7"/>
      <c r="U58" s="8"/>
      <c r="V58" s="8"/>
      <c r="W58" s="8"/>
      <c r="X58" s="9"/>
      <c r="Y58" s="6"/>
      <c r="Z58" s="8"/>
    </row>
    <row r="59" spans="1:26" x14ac:dyDescent="0.3">
      <c r="A59" s="1" t="s">
        <v>1458</v>
      </c>
      <c r="B59" s="1" t="str">
        <v>MND BUILDING</v>
      </c>
      <c r="K59" s="6"/>
      <c r="L59" s="6"/>
      <c r="M59" s="7"/>
      <c r="U59" s="8"/>
      <c r="V59" s="8"/>
      <c r="W59" s="8"/>
      <c r="X59" s="9"/>
      <c r="Y59" s="6"/>
      <c r="Z59" s="8"/>
    </row>
    <row r="60" spans="1:26" x14ac:dyDescent="0.3">
      <c r="A60" s="1" t="s">
        <v>1625</v>
      </c>
      <c r="B60" s="1" t="str">
        <v>79 ANSON ROAD</v>
      </c>
      <c r="K60" s="6"/>
      <c r="L60" s="6"/>
      <c r="M60" s="7"/>
      <c r="U60" s="8"/>
      <c r="V60" s="8"/>
      <c r="W60" s="8"/>
      <c r="X60" s="9"/>
      <c r="Y60" s="6"/>
      <c r="Z60" s="8"/>
    </row>
    <row r="61" spans="1:26" x14ac:dyDescent="0.3">
      <c r="A61" s="1" t="s">
        <v>50</v>
      </c>
      <c r="B61" s="1" t="str">
        <v>THE CONCOURSE</v>
      </c>
      <c r="K61" s="6"/>
      <c r="L61" s="6"/>
      <c r="M61" s="7"/>
      <c r="U61" s="8"/>
      <c r="V61" s="8"/>
      <c r="W61" s="8"/>
      <c r="X61" s="9"/>
      <c r="Y61" s="6"/>
      <c r="Z61" s="8"/>
    </row>
    <row r="62" spans="1:26" x14ac:dyDescent="0.3">
      <c r="A62" s="1" t="s">
        <v>982</v>
      </c>
      <c r="B62" s="1" t="str">
        <v>KEPPEL BAY TOWER</v>
      </c>
      <c r="K62" s="6"/>
      <c r="L62" s="6"/>
      <c r="M62" s="7"/>
      <c r="U62" s="8"/>
      <c r="V62" s="8"/>
      <c r="W62" s="8"/>
      <c r="X62" s="9"/>
      <c r="Y62" s="6"/>
      <c r="Z62" s="8"/>
    </row>
    <row r="63" spans="1:26" x14ac:dyDescent="0.3">
      <c r="A63" s="1" t="s">
        <v>1626</v>
      </c>
      <c r="B63" s="1" t="str">
        <v>1 AVIATION DRIVE</v>
      </c>
      <c r="K63" s="6"/>
      <c r="L63" s="6"/>
      <c r="M63" s="7"/>
      <c r="U63" s="8"/>
      <c r="V63" s="8"/>
      <c r="W63" s="8"/>
      <c r="X63" s="9"/>
      <c r="Y63" s="6"/>
      <c r="Z63" s="8"/>
    </row>
    <row r="64" spans="1:26" x14ac:dyDescent="0.3">
      <c r="A64" s="1" t="s">
        <v>1149</v>
      </c>
      <c r="B64" s="1" t="str">
        <v>ROBINSON 77</v>
      </c>
      <c r="K64" s="6"/>
      <c r="L64" s="6"/>
      <c r="M64" s="7"/>
      <c r="U64" s="8"/>
      <c r="V64" s="8"/>
      <c r="W64" s="8"/>
      <c r="X64" s="9"/>
      <c r="Y64" s="6"/>
      <c r="Z64" s="8"/>
    </row>
    <row r="65" spans="1:26" x14ac:dyDescent="0.3">
      <c r="A65" s="1" t="s">
        <v>1096</v>
      </c>
      <c r="B65" s="1" t="str">
        <v>PARLIAMENT HOUSE COMPLEX</v>
      </c>
      <c r="K65" s="6"/>
      <c r="L65" s="6"/>
      <c r="M65" s="7"/>
      <c r="U65" s="8"/>
      <c r="V65" s="8"/>
      <c r="W65" s="8"/>
      <c r="X65" s="9"/>
      <c r="Y65" s="6"/>
      <c r="Z65" s="8"/>
    </row>
    <row r="66" spans="1:26" x14ac:dyDescent="0.3">
      <c r="A66" s="1" t="s">
        <v>437</v>
      </c>
      <c r="B66" s="1" t="str">
        <v>MANULIFE TOWER</v>
      </c>
      <c r="K66" s="6"/>
      <c r="L66" s="6"/>
      <c r="M66" s="7"/>
      <c r="U66" s="8"/>
      <c r="V66" s="8"/>
      <c r="W66" s="8"/>
      <c r="X66" s="9"/>
      <c r="Y66" s="6"/>
      <c r="Z66" s="8"/>
    </row>
    <row r="67" spans="1:26" x14ac:dyDescent="0.3">
      <c r="A67" s="1" t="s">
        <v>1340</v>
      </c>
      <c r="B67" s="1" t="str">
        <v>TELETECH PARK</v>
      </c>
      <c r="K67" s="6"/>
      <c r="L67" s="6"/>
      <c r="M67" s="7"/>
      <c r="U67" s="8"/>
      <c r="V67" s="8"/>
      <c r="W67" s="8"/>
      <c r="X67" s="9"/>
      <c r="Y67" s="6"/>
      <c r="Z67" s="8"/>
    </row>
    <row r="68" spans="1:26" x14ac:dyDescent="0.3">
      <c r="A68" s="1" t="s">
        <v>664</v>
      </c>
      <c r="B68" s="1" t="str">
        <v>GREAT EASTERN CENTRE</v>
      </c>
      <c r="K68" s="6"/>
      <c r="L68" s="6"/>
      <c r="M68" s="7"/>
      <c r="U68" s="8"/>
      <c r="V68" s="8"/>
      <c r="W68" s="8"/>
      <c r="X68" s="9"/>
      <c r="Y68" s="6"/>
      <c r="Z68" s="8"/>
    </row>
    <row r="69" spans="1:26" x14ac:dyDescent="0.3">
      <c r="A69" s="1" t="s">
        <v>1272</v>
      </c>
      <c r="B69" s="1" t="str">
        <v>THE JTC SUMMIT</v>
      </c>
      <c r="K69" s="6"/>
      <c r="L69" s="6"/>
      <c r="M69" s="7"/>
      <c r="U69" s="8"/>
      <c r="V69" s="8"/>
      <c r="W69" s="8"/>
      <c r="X69" s="9"/>
      <c r="Y69" s="6"/>
      <c r="Z69" s="8"/>
    </row>
    <row r="70" spans="1:26" x14ac:dyDescent="0.3">
      <c r="A70" s="1" t="s">
        <v>1627</v>
      </c>
      <c r="B70" s="1" t="str">
        <v>6 BATTERY ROAD</v>
      </c>
      <c r="K70" s="6"/>
      <c r="L70" s="6"/>
      <c r="M70" s="7"/>
      <c r="U70" s="8"/>
      <c r="V70" s="8"/>
      <c r="W70" s="8"/>
      <c r="X70" s="9"/>
      <c r="Y70" s="6"/>
      <c r="Z70" s="8"/>
    </row>
    <row r="71" spans="1:26" x14ac:dyDescent="0.3">
      <c r="A71" s="1" t="s">
        <v>1236</v>
      </c>
      <c r="B71" s="1" t="str">
        <v>MINISTRY OF MANPOWER BUILDING</v>
      </c>
      <c r="K71" s="6"/>
      <c r="L71" s="6"/>
      <c r="M71" s="7"/>
      <c r="U71" s="8"/>
      <c r="V71" s="8"/>
      <c r="W71" s="8"/>
      <c r="X71" s="9"/>
      <c r="Y71" s="6"/>
      <c r="Z71" s="8"/>
    </row>
    <row r="72" spans="1:26" x14ac:dyDescent="0.3">
      <c r="A72" s="1" t="s">
        <v>927</v>
      </c>
      <c r="B72" s="1" t="str">
        <v>THE URA CENTRE</v>
      </c>
      <c r="K72" s="6"/>
      <c r="L72" s="6"/>
      <c r="M72" s="7"/>
      <c r="U72" s="8"/>
      <c r="V72" s="8"/>
      <c r="W72" s="8"/>
      <c r="X72" s="9"/>
      <c r="Y72" s="6"/>
      <c r="Z72" s="8"/>
    </row>
    <row r="73" spans="1:26" x14ac:dyDescent="0.3">
      <c r="A73" s="1" t="s">
        <v>40</v>
      </c>
      <c r="B73" s="1" t="str">
        <v>OLD HILL STREET POLICE STATION</v>
      </c>
      <c r="K73" s="6"/>
      <c r="L73" s="6"/>
      <c r="M73" s="7"/>
      <c r="U73" s="8"/>
      <c r="V73" s="8"/>
      <c r="W73" s="8"/>
      <c r="X73" s="9"/>
      <c r="Y73" s="6"/>
      <c r="Z73" s="8"/>
    </row>
    <row r="74" spans="1:26" x14ac:dyDescent="0.3">
      <c r="A74" s="1" t="s">
        <v>1537</v>
      </c>
      <c r="B74" s="1" t="str">
        <v>VISIONCREST</v>
      </c>
      <c r="K74" s="6"/>
      <c r="L74" s="6"/>
      <c r="M74" s="7"/>
      <c r="U74" s="8"/>
      <c r="V74" s="8"/>
      <c r="W74" s="8"/>
      <c r="X74" s="9"/>
      <c r="Y74" s="6"/>
      <c r="Z74" s="8"/>
    </row>
    <row r="75" spans="1:26" x14ac:dyDescent="0.3">
      <c r="A75" s="1" t="s">
        <v>546</v>
      </c>
      <c r="B75" s="1" t="str">
        <v>51 CUPPAGE ROAD</v>
      </c>
      <c r="K75" s="6"/>
      <c r="L75" s="6"/>
      <c r="M75" s="7"/>
      <c r="U75" s="8"/>
      <c r="V75" s="8"/>
      <c r="W75" s="8"/>
      <c r="X75" s="9"/>
      <c r="Y75" s="6"/>
      <c r="Z75" s="8"/>
    </row>
    <row r="76" spans="1:26" x14ac:dyDescent="0.3">
      <c r="A76" s="1" t="s">
        <v>1327</v>
      </c>
      <c r="B76" s="1" t="str">
        <v>CENTRAL MALL</v>
      </c>
      <c r="K76" s="6"/>
      <c r="L76" s="6"/>
      <c r="M76" s="7"/>
      <c r="U76" s="8"/>
      <c r="V76" s="8"/>
      <c r="W76" s="8"/>
      <c r="X76" s="9"/>
      <c r="Y76" s="6"/>
      <c r="Z76" s="8"/>
    </row>
    <row r="77" spans="1:26" x14ac:dyDescent="0.3">
      <c r="A77" s="1" t="s">
        <v>871</v>
      </c>
      <c r="B77" s="1" t="str">
        <v>HQ SINGAPORE CIVIL DEFENCE FORCE</v>
      </c>
      <c r="K77" s="6"/>
      <c r="L77" s="6"/>
      <c r="M77" s="7"/>
      <c r="U77" s="8"/>
      <c r="V77" s="8"/>
      <c r="W77" s="8"/>
      <c r="X77" s="9"/>
      <c r="Y77" s="6"/>
      <c r="Z77" s="8"/>
    </row>
    <row r="78" spans="1:26" x14ac:dyDescent="0.3">
      <c r="A78" s="1" t="s">
        <v>1413</v>
      </c>
      <c r="B78" s="1" t="str">
        <v>ROBINSON POINT</v>
      </c>
      <c r="K78" s="6"/>
      <c r="L78" s="6"/>
      <c r="M78" s="7"/>
      <c r="U78" s="8"/>
      <c r="V78" s="8"/>
      <c r="W78" s="8"/>
      <c r="X78" s="9"/>
      <c r="Y78" s="6"/>
      <c r="Z78" s="8"/>
    </row>
    <row r="79" spans="1:26" x14ac:dyDescent="0.3">
      <c r="A79" s="1" t="s">
        <v>1260</v>
      </c>
      <c r="B79" s="1" t="str">
        <v>THE ALPHA</v>
      </c>
      <c r="K79" s="6"/>
      <c r="L79" s="6"/>
      <c r="M79" s="7"/>
      <c r="U79" s="8"/>
      <c r="V79" s="8"/>
      <c r="W79" s="8"/>
      <c r="X79" s="9"/>
      <c r="Y79" s="6"/>
      <c r="Z79" s="8"/>
    </row>
    <row r="80" spans="1:26" x14ac:dyDescent="0.3">
      <c r="A80" s="1" t="s">
        <v>914</v>
      </c>
      <c r="B80" s="1" t="str">
        <v>TOURISM COURT</v>
      </c>
      <c r="K80" s="6"/>
      <c r="L80" s="6"/>
      <c r="M80" s="7"/>
      <c r="U80" s="8"/>
      <c r="V80" s="8"/>
      <c r="W80" s="8"/>
      <c r="X80" s="9"/>
      <c r="Y80" s="6"/>
      <c r="Z80" s="8"/>
    </row>
    <row r="81" spans="1:26" x14ac:dyDescent="0.3">
      <c r="A81" s="1" t="s">
        <v>1628</v>
      </c>
      <c r="B81" s="1" t="str">
        <v>78 SHENTON WAY</v>
      </c>
      <c r="K81" s="6"/>
      <c r="L81" s="6"/>
      <c r="M81" s="7"/>
      <c r="U81" s="8"/>
      <c r="V81" s="8"/>
      <c r="W81" s="8"/>
      <c r="X81" s="9"/>
      <c r="Y81" s="6"/>
      <c r="Z81" s="8"/>
    </row>
    <row r="82" spans="1:26" x14ac:dyDescent="0.3">
      <c r="A82" s="1" t="s">
        <v>41</v>
      </c>
      <c r="B82" s="1" t="str">
        <v>MINISTRY OF MANPOWER SERVICES CENTRE</v>
      </c>
      <c r="K82" s="6"/>
      <c r="L82" s="6"/>
      <c r="M82" s="7"/>
      <c r="U82" s="8"/>
      <c r="V82" s="8"/>
      <c r="W82" s="8"/>
      <c r="X82" s="9"/>
      <c r="Y82" s="6"/>
      <c r="Z82" s="8"/>
    </row>
    <row r="83" spans="1:26" x14ac:dyDescent="0.3">
      <c r="A83" s="1" t="s">
        <v>1520</v>
      </c>
      <c r="B83" s="1" t="str">
        <v>GOLDEN MILE TOWER</v>
      </c>
      <c r="K83" s="6"/>
      <c r="L83" s="6"/>
      <c r="M83" s="7"/>
      <c r="U83" s="8"/>
      <c r="V83" s="8"/>
      <c r="W83" s="8"/>
      <c r="X83" s="9"/>
      <c r="Y83" s="6"/>
      <c r="Z83" s="8"/>
    </row>
    <row r="84" spans="1:26" x14ac:dyDescent="0.3">
      <c r="A84" s="1" t="s">
        <v>1115</v>
      </c>
      <c r="B84" s="1" t="str">
        <v>MAPLETREE BUSINESS CITY</v>
      </c>
      <c r="K84" s="6"/>
      <c r="L84" s="6"/>
      <c r="M84" s="7"/>
      <c r="U84" s="8"/>
      <c r="V84" s="8"/>
      <c r="W84" s="8"/>
      <c r="X84" s="9"/>
      <c r="Y84" s="6"/>
      <c r="Z84" s="8"/>
    </row>
    <row r="85" spans="1:26" x14ac:dyDescent="0.3">
      <c r="A85" s="1" t="s">
        <v>529</v>
      </c>
      <c r="B85" s="1" t="str">
        <v>INTERNATIONAL PLAZA</v>
      </c>
      <c r="K85" s="6"/>
      <c r="L85" s="6"/>
      <c r="M85" s="7"/>
      <c r="U85" s="8"/>
      <c r="V85" s="8"/>
      <c r="W85" s="8"/>
      <c r="X85" s="9"/>
      <c r="Y85" s="6"/>
      <c r="Z85" s="8"/>
    </row>
    <row r="86" spans="1:26" x14ac:dyDescent="0.3">
      <c r="A86" s="1" t="s">
        <v>1139</v>
      </c>
      <c r="B86" s="1" t="str">
        <v>THE STRATEGY</v>
      </c>
      <c r="K86" s="6"/>
      <c r="L86" s="6"/>
      <c r="M86" s="7"/>
      <c r="U86" s="8"/>
      <c r="V86" s="8"/>
      <c r="W86" s="8"/>
      <c r="X86" s="9"/>
      <c r="Y86" s="6"/>
      <c r="Z86" s="8"/>
    </row>
    <row r="87" spans="1:26" x14ac:dyDescent="0.3">
      <c r="A87" s="1" t="s">
        <v>1629</v>
      </c>
      <c r="B87" s="1" t="str">
        <v>51 SCOTTS ROAD</v>
      </c>
      <c r="K87" s="6"/>
      <c r="L87" s="6"/>
      <c r="M87" s="7"/>
      <c r="U87" s="8"/>
      <c r="V87" s="8"/>
      <c r="W87" s="8"/>
      <c r="X87" s="9"/>
      <c r="Y87" s="6"/>
      <c r="Z87" s="8"/>
    </row>
    <row r="88" spans="1:26" x14ac:dyDescent="0.3">
      <c r="A88" s="1" t="s">
        <v>1040</v>
      </c>
      <c r="B88" s="1" t="str">
        <v>ISTANA</v>
      </c>
      <c r="K88" s="6"/>
      <c r="L88" s="6"/>
      <c r="M88" s="7"/>
      <c r="U88" s="8"/>
      <c r="V88" s="8"/>
      <c r="W88" s="8"/>
      <c r="X88" s="9"/>
      <c r="Y88" s="6"/>
      <c r="Z88" s="8"/>
    </row>
    <row r="89" spans="1:26" x14ac:dyDescent="0.3">
      <c r="A89" s="1" t="s">
        <v>1351</v>
      </c>
      <c r="B89" s="1" t="str">
        <v>GALAXIS</v>
      </c>
      <c r="K89" s="6"/>
      <c r="L89" s="6"/>
      <c r="M89" s="7"/>
      <c r="U89" s="8"/>
      <c r="V89" s="8"/>
      <c r="W89" s="8"/>
      <c r="X89" s="9"/>
      <c r="Y89" s="6"/>
      <c r="Z89" s="8"/>
    </row>
    <row r="90" spans="1:26" x14ac:dyDescent="0.3">
      <c r="A90" s="1" t="s">
        <v>1433</v>
      </c>
      <c r="B90" s="1" t="str">
        <v>FRAGRANCE EMPIRE BUILDING</v>
      </c>
      <c r="K90" s="6"/>
      <c r="L90" s="6"/>
      <c r="M90" s="7"/>
      <c r="U90" s="8"/>
      <c r="V90" s="8"/>
      <c r="W90" s="8"/>
      <c r="X90" s="9"/>
      <c r="Y90" s="6"/>
      <c r="Z90" s="8"/>
    </row>
    <row r="91" spans="1:26" x14ac:dyDescent="0.3">
      <c r="A91" s="1" t="s">
        <v>936</v>
      </c>
      <c r="B91" s="1" t="str">
        <v>VISION EXCHANGE</v>
      </c>
      <c r="K91" s="6"/>
      <c r="L91" s="6"/>
      <c r="M91" s="7"/>
      <c r="U91" s="8"/>
      <c r="V91" s="8"/>
      <c r="W91" s="8"/>
      <c r="X91" s="9"/>
      <c r="Y91" s="6"/>
      <c r="Z91" s="8"/>
    </row>
    <row r="92" spans="1:26" x14ac:dyDescent="0.3">
      <c r="A92" s="1" t="s">
        <v>233</v>
      </c>
      <c r="B92" s="1" t="str">
        <v>SUPREME COURT BUILDING</v>
      </c>
      <c r="K92" s="6"/>
      <c r="L92" s="6"/>
      <c r="M92" s="7"/>
      <c r="U92" s="8"/>
      <c r="V92" s="8"/>
      <c r="W92" s="8"/>
      <c r="X92" s="9"/>
      <c r="Y92" s="6"/>
      <c r="Z92" s="8"/>
    </row>
    <row r="93" spans="1:26" x14ac:dyDescent="0.3">
      <c r="A93" s="1" t="s">
        <v>1630</v>
      </c>
      <c r="B93" s="1" t="str">
        <v>63 CHULIA STREET</v>
      </c>
      <c r="K93" s="6"/>
      <c r="L93" s="6"/>
      <c r="M93" s="7"/>
      <c r="U93" s="8"/>
      <c r="V93" s="8"/>
      <c r="W93" s="8"/>
      <c r="X93" s="9"/>
      <c r="Y93" s="6"/>
      <c r="Z93" s="8"/>
    </row>
    <row r="94" spans="1:26" x14ac:dyDescent="0.3">
      <c r="A94" s="1" t="s">
        <v>1354</v>
      </c>
      <c r="B94" s="1" t="str">
        <v>PRUDENTIAL TOWER</v>
      </c>
      <c r="K94" s="6"/>
      <c r="L94" s="6"/>
      <c r="M94" s="7"/>
      <c r="U94" s="8"/>
      <c r="V94" s="8"/>
      <c r="W94" s="8"/>
      <c r="X94" s="9"/>
      <c r="Y94" s="6"/>
      <c r="Z94" s="8"/>
    </row>
    <row r="95" spans="1:26" x14ac:dyDescent="0.3">
      <c r="A95" s="1" t="s">
        <v>788</v>
      </c>
      <c r="B95" s="1" t="str">
        <v>SHENTON HOUSE</v>
      </c>
      <c r="K95" s="6"/>
      <c r="L95" s="6"/>
      <c r="M95" s="7"/>
      <c r="U95" s="8"/>
      <c r="V95" s="8"/>
      <c r="W95" s="8"/>
      <c r="X95" s="9"/>
      <c r="Y95" s="6"/>
      <c r="Z95" s="8"/>
    </row>
    <row r="96" spans="1:26" x14ac:dyDescent="0.3">
      <c r="A96" s="1" t="s">
        <v>752</v>
      </c>
      <c r="B96" s="1" t="str">
        <v>TONG BUILDING</v>
      </c>
      <c r="K96" s="6"/>
      <c r="L96" s="6"/>
      <c r="M96" s="7"/>
      <c r="U96" s="8"/>
      <c r="V96" s="8"/>
      <c r="W96" s="8"/>
      <c r="X96" s="9"/>
      <c r="Y96" s="6"/>
      <c r="Z96" s="8"/>
    </row>
    <row r="97" spans="1:26" x14ac:dyDescent="0.3">
      <c r="A97" s="1" t="s">
        <v>904</v>
      </c>
      <c r="B97" s="1" t="str">
        <v>CAPITAGREEN</v>
      </c>
      <c r="K97" s="6"/>
      <c r="L97" s="6"/>
      <c r="M97" s="7"/>
      <c r="U97" s="8"/>
      <c r="V97" s="8"/>
      <c r="W97" s="8"/>
      <c r="X97" s="9"/>
      <c r="Y97" s="6"/>
      <c r="Z97" s="8"/>
    </row>
    <row r="98" spans="1:26" x14ac:dyDescent="0.3">
      <c r="A98" s="1" t="s">
        <v>766</v>
      </c>
      <c r="B98" s="1" t="str">
        <v>SINGAPORE BUSINESS FEDERATION CENTER</v>
      </c>
      <c r="K98" s="6"/>
      <c r="L98" s="6"/>
      <c r="M98" s="7"/>
      <c r="U98" s="8"/>
      <c r="V98" s="8"/>
      <c r="W98" s="8"/>
      <c r="X98" s="9"/>
      <c r="Y98" s="6"/>
      <c r="Z98" s="8"/>
    </row>
    <row r="99" spans="1:26" x14ac:dyDescent="0.3">
      <c r="A99" s="1" t="s">
        <v>682</v>
      </c>
      <c r="B99" s="1" t="str">
        <v>FOOK HAI BUILDING</v>
      </c>
      <c r="K99" s="6"/>
      <c r="L99" s="6"/>
      <c r="M99" s="7"/>
      <c r="U99" s="8"/>
      <c r="V99" s="8"/>
      <c r="W99" s="8"/>
      <c r="X99" s="9"/>
      <c r="Y99" s="6"/>
      <c r="Z99" s="8"/>
    </row>
    <row r="100" spans="1:26" x14ac:dyDescent="0.3">
      <c r="A100" s="1" t="s">
        <v>1044</v>
      </c>
      <c r="B100" s="1" t="str">
        <v>ROBINSON CENTRE</v>
      </c>
      <c r="K100" s="6"/>
      <c r="L100" s="6"/>
      <c r="M100" s="7"/>
      <c r="U100" s="8"/>
      <c r="V100" s="8"/>
      <c r="W100" s="8"/>
      <c r="X100" s="9"/>
      <c r="Y100" s="6"/>
      <c r="Z100" s="8"/>
    </row>
    <row r="101" spans="1:26" x14ac:dyDescent="0.3">
      <c r="A101" s="1" t="s">
        <v>1094</v>
      </c>
      <c r="B101" s="1" t="str">
        <v>MYP CENTRE</v>
      </c>
      <c r="K101" s="6"/>
      <c r="L101" s="6"/>
      <c r="M101" s="7"/>
      <c r="U101" s="8"/>
      <c r="V101" s="8"/>
      <c r="W101" s="8"/>
      <c r="X101" s="9"/>
      <c r="Y101" s="6"/>
      <c r="Z101" s="8"/>
    </row>
    <row r="102" spans="1:26" x14ac:dyDescent="0.3">
      <c r="A102" s="1" t="s">
        <v>1156</v>
      </c>
      <c r="B102" s="1" t="str">
        <v>18 ROBINSON</v>
      </c>
      <c r="K102" s="6"/>
      <c r="L102" s="6"/>
      <c r="M102" s="7"/>
      <c r="U102" s="8"/>
      <c r="V102" s="8"/>
      <c r="W102" s="8"/>
      <c r="X102" s="9"/>
      <c r="Y102" s="6"/>
      <c r="Z102" s="8"/>
    </row>
    <row r="103" spans="1:26" x14ac:dyDescent="0.3">
      <c r="A103" s="1" t="s">
        <v>1080</v>
      </c>
      <c r="B103" s="1" t="str">
        <v>FRASERS TOWER</v>
      </c>
      <c r="K103" s="6"/>
      <c r="L103" s="6"/>
      <c r="M103" s="7"/>
      <c r="U103" s="8"/>
      <c r="V103" s="8"/>
      <c r="W103" s="8"/>
      <c r="X103" s="9"/>
      <c r="Y103" s="6"/>
      <c r="Z103" s="8"/>
    </row>
    <row r="104" spans="1:26" x14ac:dyDescent="0.3">
      <c r="A104" s="1" t="s">
        <v>336</v>
      </c>
      <c r="B104" s="1" t="str">
        <v>THE RUTHERFORD</v>
      </c>
      <c r="K104" s="6"/>
      <c r="L104" s="6"/>
      <c r="M104" s="7"/>
      <c r="U104" s="8"/>
      <c r="V104" s="8"/>
      <c r="W104" s="8"/>
      <c r="X104" s="9"/>
      <c r="Y104" s="6"/>
      <c r="Z104" s="8"/>
    </row>
    <row r="105" spans="1:26" x14ac:dyDescent="0.3">
      <c r="A105" s="1" t="s">
        <v>246</v>
      </c>
      <c r="B105" s="1" t="str">
        <v>20 COLLYER QUAY</v>
      </c>
      <c r="K105" s="6"/>
      <c r="L105" s="6"/>
      <c r="M105" s="7"/>
      <c r="U105" s="8"/>
      <c r="V105" s="8"/>
      <c r="W105" s="8"/>
      <c r="X105" s="9"/>
      <c r="Y105" s="6"/>
      <c r="Z105" s="8"/>
    </row>
    <row r="106" spans="1:26" x14ac:dyDescent="0.3">
      <c r="A106" s="1" t="s">
        <v>775</v>
      </c>
      <c r="B106" s="1" t="str">
        <v>GOLDBELL TOWERS</v>
      </c>
      <c r="K106" s="6"/>
      <c r="L106" s="6"/>
      <c r="M106" s="7"/>
      <c r="U106" s="8"/>
      <c r="V106" s="8"/>
      <c r="W106" s="8"/>
      <c r="X106" s="9"/>
      <c r="Y106" s="6"/>
      <c r="Z106" s="8"/>
    </row>
    <row r="107" spans="1:26" x14ac:dyDescent="0.3">
      <c r="A107" s="1" t="s">
        <v>899</v>
      </c>
      <c r="B107" s="1" t="str">
        <v>OUE DOWNTOWN</v>
      </c>
      <c r="K107" s="6"/>
      <c r="L107" s="6"/>
      <c r="M107" s="7"/>
      <c r="U107" s="8"/>
      <c r="V107" s="8"/>
      <c r="W107" s="8"/>
      <c r="X107" s="9"/>
      <c r="Y107" s="6"/>
      <c r="Z107" s="8"/>
    </row>
    <row r="108" spans="1:26" x14ac:dyDescent="0.3">
      <c r="A108" s="1" t="s">
        <v>1506</v>
      </c>
      <c r="B108" s="1" t="str">
        <v>MANHATTAN HOUSE</v>
      </c>
      <c r="K108" s="6"/>
      <c r="L108" s="6"/>
      <c r="M108" s="7"/>
      <c r="U108" s="8"/>
      <c r="V108" s="8"/>
      <c r="W108" s="8"/>
      <c r="X108" s="9"/>
      <c r="Y108" s="6"/>
      <c r="Z108" s="8"/>
    </row>
    <row r="109" spans="1:26" x14ac:dyDescent="0.3">
      <c r="A109" s="1" t="s">
        <v>274</v>
      </c>
      <c r="B109" s="1" t="str">
        <v>SAMSUNG HUB</v>
      </c>
      <c r="K109" s="6"/>
      <c r="L109" s="6"/>
      <c r="M109" s="7"/>
      <c r="U109" s="8"/>
      <c r="V109" s="8"/>
      <c r="W109" s="8"/>
      <c r="X109" s="9"/>
      <c r="Y109" s="6"/>
      <c r="Z109" s="8"/>
    </row>
    <row r="110" spans="1:26" x14ac:dyDescent="0.3">
      <c r="A110" s="1" t="s">
        <v>1469</v>
      </c>
      <c r="B110" s="1" t="str">
        <v>111 SOMERSET</v>
      </c>
      <c r="K110" s="6"/>
      <c r="L110" s="6"/>
      <c r="M110" s="7"/>
      <c r="U110" s="8"/>
      <c r="V110" s="8"/>
      <c r="W110" s="8"/>
      <c r="X110" s="9"/>
      <c r="Y110" s="6"/>
      <c r="Z110" s="8"/>
    </row>
    <row r="111" spans="1:26" x14ac:dyDescent="0.3">
      <c r="A111" s="1" t="s">
        <v>1278</v>
      </c>
      <c r="B111" s="1" t="str">
        <v>JTC CLEANTECH TWO @CLEANTECH PARK</v>
      </c>
      <c r="K111" s="6"/>
      <c r="L111" s="6"/>
      <c r="M111" s="7"/>
      <c r="U111" s="8"/>
      <c r="V111" s="8"/>
      <c r="W111" s="8"/>
      <c r="X111" s="9"/>
      <c r="Y111" s="6"/>
      <c r="Z111" s="8"/>
    </row>
    <row r="112" spans="1:26" x14ac:dyDescent="0.3">
      <c r="A112" s="1" t="s">
        <v>852</v>
      </c>
      <c r="B112" s="1" t="str">
        <v>MAPLETREE ANSON</v>
      </c>
      <c r="K112" s="6"/>
      <c r="L112" s="6"/>
      <c r="M112" s="7"/>
      <c r="U112" s="8"/>
      <c r="V112" s="8"/>
      <c r="W112" s="8"/>
      <c r="X112" s="9"/>
      <c r="Y112" s="6"/>
      <c r="Z112" s="8"/>
    </row>
    <row r="113" spans="1:26" x14ac:dyDescent="0.3">
      <c r="A113" s="1" t="s">
        <v>1311</v>
      </c>
      <c r="B113" s="1" t="str">
        <v>SPRINGLEAF TOWER</v>
      </c>
      <c r="K113" s="6"/>
      <c r="L113" s="6"/>
      <c r="M113" s="7"/>
      <c r="U113" s="8"/>
      <c r="V113" s="8"/>
      <c r="W113" s="8"/>
      <c r="X113" s="9"/>
      <c r="Y113" s="6"/>
      <c r="Z113" s="8"/>
    </row>
    <row r="114" spans="1:26" x14ac:dyDescent="0.3">
      <c r="A114" s="1" t="s">
        <v>447</v>
      </c>
      <c r="B114" s="1" t="str">
        <v>SLF BUILDING</v>
      </c>
      <c r="K114" s="6"/>
      <c r="L114" s="6"/>
      <c r="M114" s="7"/>
      <c r="U114" s="8"/>
      <c r="V114" s="8"/>
      <c r="W114" s="8"/>
      <c r="X114" s="9"/>
      <c r="Y114" s="6"/>
      <c r="Z114" s="8"/>
    </row>
    <row r="115" spans="1:26" x14ac:dyDescent="0.3">
      <c r="A115" s="1" t="s">
        <v>1348</v>
      </c>
      <c r="B115" s="1" t="str">
        <v>CENTENNIAL TOWER</v>
      </c>
      <c r="K115" s="6"/>
      <c r="L115" s="6"/>
      <c r="M115" s="7"/>
      <c r="U115" s="8"/>
      <c r="V115" s="8"/>
      <c r="W115" s="8"/>
      <c r="X115" s="9"/>
      <c r="Y115" s="6"/>
      <c r="Z115" s="8"/>
    </row>
    <row r="116" spans="1:26" x14ac:dyDescent="0.3">
      <c r="A116" s="1" t="s">
        <v>106</v>
      </c>
      <c r="B116" s="1" t="str">
        <v>GB BUILDING</v>
      </c>
      <c r="K116" s="6"/>
      <c r="L116" s="6"/>
      <c r="M116" s="7"/>
      <c r="U116" s="8"/>
      <c r="V116" s="8"/>
      <c r="W116" s="8"/>
      <c r="X116" s="9"/>
      <c r="Y116" s="6"/>
      <c r="Z116" s="8"/>
    </row>
    <row r="117" spans="1:26" x14ac:dyDescent="0.3">
      <c r="A117" s="1" t="s">
        <v>290</v>
      </c>
      <c r="B117" s="1" t="str">
        <v>OCBC CENTRE</v>
      </c>
      <c r="K117" s="6"/>
      <c r="L117" s="6"/>
      <c r="M117" s="7"/>
      <c r="U117" s="8"/>
      <c r="V117" s="8"/>
      <c r="W117" s="8"/>
      <c r="X117" s="9"/>
      <c r="Y117" s="6"/>
      <c r="Z117" s="8"/>
    </row>
    <row r="118" spans="1:26" x14ac:dyDescent="0.3">
      <c r="A118" s="1" t="s">
        <v>942</v>
      </c>
      <c r="B118" s="1" t="str">
        <v>OXLEY TOWER</v>
      </c>
      <c r="K118" s="6"/>
      <c r="L118" s="6"/>
      <c r="M118" s="7"/>
      <c r="U118" s="8"/>
      <c r="V118" s="8"/>
      <c r="W118" s="8"/>
      <c r="X118" s="9"/>
      <c r="Y118" s="6"/>
      <c r="Z118" s="8"/>
    </row>
    <row r="119" spans="1:26" x14ac:dyDescent="0.3">
      <c r="A119" s="1" t="s">
        <v>868</v>
      </c>
      <c r="B119" s="1" t="str">
        <v>SCDF HQ 2ND CD DIVISION</v>
      </c>
      <c r="K119" s="6"/>
      <c r="L119" s="6"/>
      <c r="M119" s="7"/>
      <c r="U119" s="8"/>
      <c r="V119" s="8"/>
      <c r="W119" s="8"/>
      <c r="X119" s="9"/>
      <c r="Y119" s="6"/>
      <c r="Z119" s="8"/>
    </row>
    <row r="120" spans="1:26" x14ac:dyDescent="0.3">
      <c r="A120" s="1" t="s">
        <v>1631</v>
      </c>
      <c r="B120" s="1" t="str">
        <v>71 ROBINSON ROAD</v>
      </c>
      <c r="K120" s="6"/>
      <c r="L120" s="6"/>
      <c r="M120" s="7"/>
      <c r="U120" s="8"/>
      <c r="V120" s="8"/>
      <c r="W120" s="8"/>
      <c r="X120" s="9"/>
      <c r="Y120" s="6"/>
      <c r="Z120" s="8"/>
    </row>
    <row r="121" spans="1:26" x14ac:dyDescent="0.3">
      <c r="A121" s="1" t="s">
        <v>142</v>
      </c>
      <c r="B121" s="1" t="str">
        <v>SINGAPORE LAND TOWER</v>
      </c>
      <c r="K121" s="6"/>
      <c r="L121" s="6"/>
      <c r="M121" s="7"/>
      <c r="U121" s="8"/>
      <c r="V121" s="8"/>
      <c r="W121" s="8"/>
      <c r="X121" s="9"/>
      <c r="Y121" s="6"/>
      <c r="Z121" s="8"/>
    </row>
    <row r="122" spans="1:26" x14ac:dyDescent="0.3">
      <c r="A122" s="1" t="s">
        <v>15</v>
      </c>
      <c r="B122" s="1" t="str">
        <v>TWENTY ANSON</v>
      </c>
      <c r="K122" s="6"/>
      <c r="L122" s="6"/>
      <c r="M122" s="7"/>
      <c r="U122" s="8"/>
      <c r="V122" s="8"/>
      <c r="W122" s="8"/>
      <c r="X122" s="9"/>
      <c r="Y122" s="6"/>
      <c r="Z122" s="8"/>
    </row>
    <row r="123" spans="1:26" x14ac:dyDescent="0.3">
      <c r="A123" s="1" t="s">
        <v>215</v>
      </c>
      <c r="B123" s="1" t="str">
        <v>WINSLAND HOUSE II</v>
      </c>
      <c r="K123" s="6"/>
      <c r="L123" s="6"/>
      <c r="M123" s="7"/>
      <c r="U123" s="8"/>
      <c r="V123" s="8"/>
      <c r="W123" s="8"/>
      <c r="X123" s="9"/>
      <c r="Y123" s="6"/>
      <c r="Z123" s="8"/>
    </row>
    <row r="124" spans="1:26" x14ac:dyDescent="0.3">
      <c r="A124" s="1" t="s">
        <v>1495</v>
      </c>
      <c r="B124" s="1" t="str">
        <v>INCOME AT RAFFLES</v>
      </c>
      <c r="K124" s="6"/>
      <c r="L124" s="6"/>
      <c r="M124" s="7"/>
      <c r="U124" s="8"/>
      <c r="V124" s="8"/>
      <c r="W124" s="8"/>
      <c r="X124" s="9"/>
      <c r="Y124" s="6"/>
      <c r="Z124" s="8"/>
    </row>
    <row r="125" spans="1:26" x14ac:dyDescent="0.3">
      <c r="A125" s="1" t="s">
        <v>1233</v>
      </c>
      <c r="B125" s="1" t="str">
        <v>THE METROPOLIS</v>
      </c>
      <c r="K125" s="6"/>
      <c r="L125" s="6"/>
      <c r="M125" s="7"/>
      <c r="U125" s="8"/>
      <c r="V125" s="8"/>
      <c r="W125" s="8"/>
      <c r="X125" s="9"/>
      <c r="Y125" s="6"/>
      <c r="Z125" s="8"/>
    </row>
    <row r="126" spans="1:26" x14ac:dyDescent="0.3">
      <c r="A126" s="1" t="s">
        <v>1159</v>
      </c>
      <c r="B126" s="1" t="str">
        <v>ONE RAFFLES PLACE</v>
      </c>
      <c r="K126" s="6"/>
      <c r="L126" s="6"/>
      <c r="M126" s="7"/>
      <c r="U126" s="8"/>
      <c r="V126" s="8"/>
      <c r="W126" s="8"/>
      <c r="X126" s="9"/>
      <c r="Y126" s="6"/>
      <c r="Z126" s="8"/>
    </row>
    <row r="127" spans="1:26" x14ac:dyDescent="0.3">
      <c r="A127" s="1" t="s">
        <v>559</v>
      </c>
      <c r="B127" s="1" t="str">
        <v>INCOME AT TAMPINES JUNCTION</v>
      </c>
      <c r="K127" s="6"/>
      <c r="L127" s="6"/>
      <c r="M127" s="7"/>
      <c r="U127" s="8"/>
      <c r="V127" s="8"/>
      <c r="W127" s="8"/>
      <c r="X127" s="9"/>
      <c r="Y127" s="6"/>
      <c r="Z127" s="8"/>
    </row>
    <row r="128" spans="1:26" x14ac:dyDescent="0.3">
      <c r="A128" s="1" t="s">
        <v>398</v>
      </c>
      <c r="B128" s="1" t="str">
        <v>SINGAPORE SCIENCE CENTRE</v>
      </c>
      <c r="K128" s="6"/>
      <c r="L128" s="6"/>
      <c r="M128" s="7"/>
      <c r="U128" s="8"/>
      <c r="V128" s="8"/>
      <c r="W128" s="8"/>
      <c r="X128" s="9"/>
      <c r="Y128" s="6"/>
      <c r="Z128" s="8"/>
    </row>
    <row r="129" spans="1:26" x14ac:dyDescent="0.3">
      <c r="A129" s="1" t="s">
        <v>1121</v>
      </c>
      <c r="B129" s="1" t="str">
        <v>GATEWAY EAST</v>
      </c>
      <c r="K129" s="6"/>
      <c r="L129" s="6"/>
      <c r="M129" s="7"/>
      <c r="U129" s="8"/>
      <c r="V129" s="8"/>
      <c r="W129" s="8"/>
      <c r="X129" s="9"/>
      <c r="Y129" s="6"/>
      <c r="Z129" s="8"/>
    </row>
    <row r="130" spans="1:26" x14ac:dyDescent="0.3">
      <c r="A130" s="1" t="s">
        <v>1143</v>
      </c>
      <c r="B130" s="1" t="str">
        <v>SULTAN PLAZA</v>
      </c>
      <c r="K130" s="6"/>
      <c r="L130" s="6"/>
      <c r="M130" s="7"/>
      <c r="U130" s="8"/>
      <c r="V130" s="8"/>
      <c r="W130" s="8"/>
      <c r="X130" s="9"/>
      <c r="Y130" s="6"/>
      <c r="Z130" s="8"/>
    </row>
    <row r="131" spans="1:26" x14ac:dyDescent="0.3">
      <c r="A131" s="1" t="s">
        <v>362</v>
      </c>
      <c r="B131" s="1" t="str">
        <v>LAND TRANSPORT AUTHORITY</v>
      </c>
      <c r="K131" s="6"/>
      <c r="L131" s="6"/>
      <c r="M131" s="7"/>
      <c r="U131" s="8"/>
      <c r="V131" s="8"/>
      <c r="W131" s="8"/>
      <c r="X131" s="9"/>
      <c r="Y131" s="6"/>
      <c r="Z131" s="8"/>
    </row>
    <row r="132" spans="1:26" x14ac:dyDescent="0.3">
      <c r="A132" s="1" t="s">
        <v>1632</v>
      </c>
      <c r="B132" s="1" t="str">
        <v>18 SCIENCE PARK DRIVE</v>
      </c>
      <c r="K132" s="6"/>
      <c r="L132" s="6"/>
      <c r="M132" s="7"/>
      <c r="U132" s="8"/>
      <c r="V132" s="8"/>
      <c r="W132" s="8"/>
      <c r="X132" s="9"/>
      <c r="Y132" s="6"/>
      <c r="Z132" s="8"/>
    </row>
    <row r="133" spans="1:26" x14ac:dyDescent="0.3">
      <c r="A133" s="1" t="s">
        <v>910</v>
      </c>
      <c r="B133" s="1" t="str">
        <v>ONE GEORGE STREET</v>
      </c>
      <c r="K133" s="6"/>
      <c r="L133" s="6"/>
      <c r="M133" s="7"/>
      <c r="U133" s="8"/>
      <c r="V133" s="8"/>
      <c r="W133" s="8"/>
      <c r="X133" s="9"/>
      <c r="Y133" s="6"/>
      <c r="Z133" s="8"/>
    </row>
    <row r="134" spans="1:26" x14ac:dyDescent="0.3">
      <c r="A134" s="1" t="s">
        <v>1633</v>
      </c>
      <c r="B134" s="1" t="str">
        <v>80 ROBINSON ROAD</v>
      </c>
      <c r="K134" s="6"/>
      <c r="L134" s="6"/>
      <c r="M134" s="7"/>
      <c r="U134" s="8"/>
      <c r="V134" s="8"/>
      <c r="W134" s="8"/>
      <c r="X134" s="9"/>
      <c r="Y134" s="6"/>
      <c r="Z134" s="8"/>
    </row>
    <row r="135" spans="1:26" x14ac:dyDescent="0.3">
      <c r="A135" s="1" t="s">
        <v>1532</v>
      </c>
      <c r="B135" s="1" t="str">
        <v>SINGAPORE POST CENTRE</v>
      </c>
      <c r="K135" s="6"/>
      <c r="L135" s="6"/>
      <c r="M135" s="7"/>
      <c r="U135" s="8"/>
      <c r="V135" s="8"/>
      <c r="W135" s="8"/>
      <c r="X135" s="9"/>
      <c r="Y135" s="6"/>
      <c r="Z135" s="8"/>
    </row>
    <row r="136" spans="1:26" x14ac:dyDescent="0.3">
      <c r="A136" s="1" t="s">
        <v>1137</v>
      </c>
      <c r="B136" s="1" t="str">
        <v>THE SYNERGY</v>
      </c>
      <c r="K136" s="6"/>
      <c r="L136" s="6"/>
      <c r="M136" s="7"/>
      <c r="U136" s="8"/>
      <c r="V136" s="8"/>
      <c r="W136" s="8"/>
      <c r="X136" s="9"/>
      <c r="Y136" s="6"/>
      <c r="Z136" s="8"/>
    </row>
    <row r="137" spans="1:26" x14ac:dyDescent="0.3">
      <c r="A137" s="1" t="s">
        <v>888</v>
      </c>
      <c r="B137" s="1" t="str">
        <v>REPUBLIC PLAZA</v>
      </c>
      <c r="K137" s="6"/>
      <c r="L137" s="6"/>
      <c r="M137" s="7"/>
      <c r="U137" s="8"/>
      <c r="V137" s="8"/>
      <c r="W137" s="8"/>
      <c r="X137" s="9"/>
      <c r="Y137" s="6"/>
      <c r="Z137" s="8"/>
    </row>
    <row r="138" spans="1:26" x14ac:dyDescent="0.3">
      <c r="A138" s="1" t="s">
        <v>902</v>
      </c>
      <c r="B138" s="1" t="str">
        <v>CAPITAL TOWER</v>
      </c>
      <c r="K138" s="6"/>
      <c r="L138" s="6"/>
      <c r="M138" s="7"/>
      <c r="U138" s="8"/>
      <c r="V138" s="8"/>
      <c r="W138" s="8"/>
      <c r="X138" s="9"/>
      <c r="Y138" s="6"/>
      <c r="Z138" s="8"/>
    </row>
    <row r="139" spans="1:26" x14ac:dyDescent="0.3">
      <c r="A139" s="1" t="s">
        <v>1518</v>
      </c>
      <c r="B139" s="1" t="str">
        <v>FORTUNE CENTRE</v>
      </c>
      <c r="K139" s="6"/>
      <c r="L139" s="6"/>
      <c r="M139" s="7"/>
      <c r="U139" s="8"/>
      <c r="V139" s="8"/>
      <c r="W139" s="8"/>
      <c r="X139" s="9"/>
      <c r="Y139" s="6"/>
      <c r="Z139" s="8"/>
    </row>
    <row r="140" spans="1:26" x14ac:dyDescent="0.3">
      <c r="A140" s="1" t="s">
        <v>598</v>
      </c>
      <c r="B140" s="1" t="str">
        <v>MOE BUILDING</v>
      </c>
      <c r="K140" s="6"/>
      <c r="L140" s="6"/>
      <c r="M140" s="7"/>
      <c r="U140" s="8"/>
      <c r="V140" s="8"/>
      <c r="W140" s="8"/>
      <c r="X140" s="9"/>
      <c r="Y140" s="6"/>
      <c r="Z140" s="8"/>
    </row>
    <row r="141" spans="1:26" x14ac:dyDescent="0.3">
      <c r="A141" s="1" t="s">
        <v>61</v>
      </c>
      <c r="B141" s="1" t="str">
        <v>HARBOURFRONT CENTRE</v>
      </c>
      <c r="K141" s="6"/>
      <c r="L141" s="6"/>
      <c r="M141" s="7"/>
      <c r="U141" s="8"/>
      <c r="V141" s="8"/>
      <c r="W141" s="8"/>
      <c r="X141" s="9"/>
      <c r="Y141" s="6"/>
      <c r="Z141" s="8"/>
    </row>
    <row r="142" spans="1:26" x14ac:dyDescent="0.3">
      <c r="A142" s="1" t="s">
        <v>1370</v>
      </c>
      <c r="B142" s="1" t="str">
        <v>ASCENT</v>
      </c>
      <c r="K142" s="6"/>
      <c r="L142" s="6"/>
      <c r="M142" s="7"/>
      <c r="U142" s="8"/>
      <c r="V142" s="8"/>
      <c r="W142" s="8"/>
      <c r="X142" s="9"/>
      <c r="Y142" s="6"/>
      <c r="Z142" s="8"/>
    </row>
    <row r="143" spans="1:26" x14ac:dyDescent="0.3">
      <c r="A143" s="1" t="s">
        <v>202</v>
      </c>
      <c r="B143" s="1" t="str">
        <v>PEACE CENTRE</v>
      </c>
      <c r="K143" s="6"/>
      <c r="L143" s="6"/>
      <c r="M143" s="7"/>
      <c r="U143" s="8"/>
      <c r="V143" s="8"/>
      <c r="W143" s="8"/>
      <c r="X143" s="9"/>
      <c r="Y143" s="6"/>
      <c r="Z143" s="8"/>
    </row>
    <row r="144" spans="1:26" x14ac:dyDescent="0.3">
      <c r="A144" s="1" t="s">
        <v>178</v>
      </c>
      <c r="B144" s="1" t="str">
        <v>SGX CENTRE II</v>
      </c>
      <c r="K144" s="6"/>
      <c r="L144" s="6"/>
      <c r="M144" s="7"/>
      <c r="U144" s="8"/>
      <c r="V144" s="8"/>
      <c r="W144" s="8"/>
      <c r="X144" s="9"/>
      <c r="Y144" s="6"/>
      <c r="Z144" s="8"/>
    </row>
    <row r="145" spans="1:26" x14ac:dyDescent="0.3">
      <c r="A145" s="1" t="s">
        <v>865</v>
      </c>
      <c r="B145" s="1" t="str">
        <v>SCDF HQ 1ST CD DIVISION</v>
      </c>
      <c r="K145" s="6"/>
      <c r="L145" s="6"/>
      <c r="M145" s="7"/>
      <c r="U145" s="8"/>
      <c r="V145" s="8"/>
      <c r="W145" s="8"/>
      <c r="X145" s="9"/>
      <c r="Y145" s="6"/>
      <c r="Z145" s="8"/>
    </row>
    <row r="146" spans="1:26" x14ac:dyDescent="0.3">
      <c r="A146" s="1" t="s">
        <v>603</v>
      </c>
      <c r="B146" s="1" t="str">
        <v>MTOWER</v>
      </c>
      <c r="K146" s="6"/>
      <c r="L146" s="6"/>
      <c r="M146" s="7"/>
      <c r="U146" s="8"/>
      <c r="V146" s="8"/>
      <c r="W146" s="8"/>
      <c r="X146" s="9"/>
      <c r="Y146" s="6"/>
      <c r="Z146" s="8"/>
    </row>
    <row r="147" spans="1:26" x14ac:dyDescent="0.3">
      <c r="A147" s="1" t="s">
        <v>176</v>
      </c>
      <c r="B147" s="1" t="str">
        <v>SGX CENTRE I</v>
      </c>
      <c r="K147" s="6"/>
      <c r="L147" s="6"/>
      <c r="M147" s="7"/>
      <c r="U147" s="8"/>
      <c r="V147" s="8"/>
      <c r="W147" s="8"/>
      <c r="X147" s="9"/>
      <c r="Y147" s="6"/>
      <c r="Z147" s="8"/>
    </row>
    <row r="148" spans="1:26" x14ac:dyDescent="0.3">
      <c r="A148" s="1" t="s">
        <v>1265</v>
      </c>
      <c r="B148" s="1" t="str">
        <v>ONE @ CHANGI CITY</v>
      </c>
      <c r="K148" s="6"/>
      <c r="L148" s="6"/>
      <c r="M148" s="7"/>
      <c r="U148" s="8"/>
      <c r="V148" s="8"/>
      <c r="W148" s="8"/>
      <c r="X148" s="9"/>
      <c r="Y148" s="6"/>
      <c r="Z148" s="8"/>
    </row>
    <row r="149" spans="1:26" x14ac:dyDescent="0.3">
      <c r="A149" s="1" t="s">
        <v>52</v>
      </c>
      <c r="B149" s="1" t="str">
        <v>AIA ALEXANDRA</v>
      </c>
      <c r="K149" s="6"/>
      <c r="L149" s="6"/>
      <c r="M149" s="7"/>
      <c r="U149" s="8"/>
      <c r="V149" s="8"/>
      <c r="W149" s="8"/>
      <c r="X149" s="9"/>
      <c r="Y149" s="6"/>
      <c r="Z149" s="8"/>
    </row>
    <row r="150" spans="1:26" x14ac:dyDescent="0.3">
      <c r="A150" s="1" t="s">
        <v>1634</v>
      </c>
      <c r="B150" s="1" t="str">
        <v>6 RAFFLES QUAY</v>
      </c>
      <c r="K150" s="6"/>
      <c r="L150" s="6"/>
      <c r="M150" s="7"/>
      <c r="U150" s="8"/>
      <c r="V150" s="8"/>
      <c r="W150" s="8"/>
      <c r="X150" s="9"/>
      <c r="Y150" s="6"/>
      <c r="Z150" s="8"/>
    </row>
    <row r="151" spans="1:26" x14ac:dyDescent="0.3">
      <c r="A151" s="1" t="s">
        <v>648</v>
      </c>
      <c r="B151" s="1" t="str">
        <v>THE ARCADE</v>
      </c>
      <c r="K151" s="6"/>
      <c r="L151" s="6"/>
      <c r="M151" s="7"/>
      <c r="U151" s="8"/>
      <c r="V151" s="8"/>
      <c r="W151" s="8"/>
      <c r="X151" s="9"/>
      <c r="Y151" s="6"/>
      <c r="Z151" s="8"/>
    </row>
    <row r="152" spans="1:26" x14ac:dyDescent="0.3">
      <c r="A152" s="1" t="s">
        <v>1515</v>
      </c>
      <c r="B152" s="1" t="str">
        <v>ODEON TOWERS</v>
      </c>
      <c r="K152" s="6"/>
      <c r="L152" s="6"/>
      <c r="M152" s="7"/>
      <c r="U152" s="8"/>
      <c r="V152" s="8"/>
      <c r="W152" s="8"/>
      <c r="X152" s="9"/>
      <c r="Y152" s="6"/>
      <c r="Z152" s="8"/>
    </row>
    <row r="153" spans="1:26" x14ac:dyDescent="0.3">
      <c r="A153" s="1" t="s">
        <v>53</v>
      </c>
      <c r="B153" s="1" t="str">
        <v>AIA TOWER</v>
      </c>
      <c r="K153" s="6"/>
      <c r="L153" s="6"/>
      <c r="M153" s="7"/>
      <c r="U153" s="8"/>
      <c r="V153" s="8"/>
      <c r="W153" s="8"/>
      <c r="X153" s="9"/>
      <c r="Y153" s="6"/>
      <c r="Z153" s="8"/>
    </row>
    <row r="154" spans="1:26" x14ac:dyDescent="0.3">
      <c r="A154" s="1" t="s">
        <v>163</v>
      </c>
      <c r="B154" s="1" t="str">
        <v>PARKVIEW SQUARE</v>
      </c>
      <c r="K154" s="6"/>
      <c r="L154" s="6"/>
      <c r="M154" s="7"/>
      <c r="U154" s="8"/>
      <c r="V154" s="8"/>
      <c r="W154" s="8"/>
      <c r="X154" s="9"/>
      <c r="Y154" s="6"/>
      <c r="Z154" s="8"/>
    </row>
    <row r="155" spans="1:26" x14ac:dyDescent="0.3">
      <c r="A155" s="1" t="s">
        <v>929</v>
      </c>
      <c r="B155" s="1" t="str">
        <v>CROSS STREET EXCHANGE</v>
      </c>
      <c r="K155" s="6"/>
      <c r="L155" s="6"/>
      <c r="M155" s="7"/>
      <c r="U155" s="8"/>
      <c r="V155" s="8"/>
      <c r="W155" s="8"/>
      <c r="X155" s="9"/>
      <c r="Y155" s="6"/>
      <c r="Z155" s="8"/>
    </row>
    <row r="156" spans="1:26" x14ac:dyDescent="0.3">
      <c r="A156" s="1" t="s">
        <v>653</v>
      </c>
      <c r="B156" s="1" t="str">
        <v>NATIONAL LIBRARY BUILDING</v>
      </c>
      <c r="K156" s="6"/>
      <c r="L156" s="6"/>
      <c r="M156" s="7"/>
      <c r="U156" s="8"/>
      <c r="V156" s="8"/>
      <c r="W156" s="8"/>
      <c r="X156" s="9"/>
      <c r="Y156" s="6"/>
      <c r="Z156" s="8"/>
    </row>
    <row r="157" spans="1:26" x14ac:dyDescent="0.3">
      <c r="A157" s="1" t="s">
        <v>1314</v>
      </c>
      <c r="B157" s="1" t="str">
        <v>HDB HUB</v>
      </c>
      <c r="K157" s="6"/>
      <c r="L157" s="6"/>
      <c r="M157" s="7"/>
      <c r="U157" s="8"/>
      <c r="V157" s="8"/>
      <c r="W157" s="8"/>
      <c r="X157" s="9"/>
      <c r="Y157" s="6"/>
      <c r="Z157" s="8"/>
    </row>
    <row r="158" spans="1:26" x14ac:dyDescent="0.3">
      <c r="A158" s="1" t="s">
        <v>986</v>
      </c>
      <c r="B158" s="1" t="str">
        <v>OUR TAMPINES HUB</v>
      </c>
      <c r="K158" s="6"/>
      <c r="L158" s="6"/>
      <c r="M158" s="7"/>
      <c r="U158" s="8"/>
      <c r="V158" s="8"/>
      <c r="W158" s="8"/>
      <c r="X158" s="9"/>
      <c r="Y158" s="6"/>
      <c r="Z158" s="8"/>
    </row>
    <row r="159" spans="1:26" x14ac:dyDescent="0.3">
      <c r="A159" s="1" t="s">
        <v>341</v>
      </c>
      <c r="B159" s="1" t="str">
        <v>CURRENCY HOUSE</v>
      </c>
      <c r="K159" s="6"/>
      <c r="L159" s="6"/>
      <c r="M159" s="7"/>
      <c r="U159" s="8"/>
      <c r="V159" s="8"/>
      <c r="W159" s="8"/>
      <c r="X159" s="9"/>
      <c r="Y159" s="6"/>
      <c r="Z159" s="8"/>
    </row>
    <row r="160" spans="1:26" x14ac:dyDescent="0.3">
      <c r="A160" s="1" t="s">
        <v>1635</v>
      </c>
      <c r="B160" s="1" t="str">
        <v>2 BUKIT MERAH CENTRAL</v>
      </c>
      <c r="K160" s="6"/>
      <c r="L160" s="6"/>
      <c r="M160" s="7"/>
      <c r="U160" s="8"/>
      <c r="V160" s="8"/>
      <c r="W160" s="8"/>
      <c r="X160" s="9"/>
      <c r="Y160" s="6"/>
      <c r="Z160" s="8"/>
    </row>
    <row r="161" spans="1:26" x14ac:dyDescent="0.3">
      <c r="A161" s="1" t="s">
        <v>1052</v>
      </c>
      <c r="B161" s="1" t="str">
        <v>WOODLANDS CIVIC CENTRE</v>
      </c>
      <c r="K161" s="6"/>
      <c r="L161" s="6"/>
      <c r="M161" s="7"/>
      <c r="U161" s="8"/>
      <c r="V161" s="8"/>
      <c r="W161" s="8"/>
      <c r="X161" s="9"/>
      <c r="Y161" s="6"/>
      <c r="Z161" s="8"/>
    </row>
    <row r="162" spans="1:26" x14ac:dyDescent="0.3">
      <c r="A162" s="1" t="s">
        <v>1636</v>
      </c>
      <c r="B162" s="1" t="str">
        <v>3 TAMPINES GRANDE</v>
      </c>
      <c r="K162" s="6"/>
      <c r="L162" s="6"/>
      <c r="M162" s="7"/>
      <c r="U162" s="8"/>
      <c r="V162" s="8"/>
      <c r="W162" s="8"/>
      <c r="X162" s="9"/>
      <c r="Y162" s="6"/>
      <c r="Z162" s="8"/>
    </row>
    <row r="163" spans="1:26" x14ac:dyDescent="0.3">
      <c r="A163" s="1" t="s">
        <v>1488</v>
      </c>
      <c r="B163" s="1" t="str">
        <v>MINISTRY OF FOREIGN AFFAIRS BUILDING</v>
      </c>
      <c r="K163" s="6"/>
      <c r="L163" s="6"/>
      <c r="M163" s="7"/>
      <c r="U163" s="8"/>
      <c r="V163" s="8"/>
      <c r="W163" s="8"/>
      <c r="X163" s="9"/>
      <c r="Y163" s="6"/>
      <c r="Z163" s="8"/>
    </row>
    <row r="164" spans="1:26" x14ac:dyDescent="0.3">
      <c r="A164" s="1" t="s">
        <v>244</v>
      </c>
      <c r="B164" s="1" t="str">
        <v>HONG LEONG BUILDING</v>
      </c>
      <c r="K164" s="6"/>
      <c r="L164" s="6"/>
      <c r="M164" s="7"/>
      <c r="U164" s="8"/>
      <c r="V164" s="8"/>
      <c r="W164" s="8"/>
      <c r="X164" s="9"/>
      <c r="Y164" s="6"/>
      <c r="Z164" s="8"/>
    </row>
    <row r="165" spans="1:26" x14ac:dyDescent="0.3">
      <c r="A165" s="1" t="s">
        <v>1406</v>
      </c>
      <c r="B165" s="1" t="str">
        <v>POLICE CANTONMENT COMPLEX</v>
      </c>
      <c r="K165" s="6"/>
      <c r="L165" s="6"/>
      <c r="M165" s="7"/>
      <c r="U165" s="8"/>
      <c r="V165" s="8"/>
      <c r="W165" s="8"/>
      <c r="X165" s="9"/>
      <c r="Y165" s="6"/>
      <c r="Z165" s="8"/>
    </row>
    <row r="166" spans="1:26" x14ac:dyDescent="0.3">
      <c r="A166" s="1" t="s">
        <v>1072</v>
      </c>
      <c r="B166" s="1" t="str">
        <v>PICKERING OPERATION CENTRE</v>
      </c>
      <c r="K166" s="6"/>
      <c r="L166" s="6"/>
      <c r="M166" s="7"/>
      <c r="U166" s="8"/>
      <c r="V166" s="8"/>
      <c r="W166" s="8"/>
      <c r="X166" s="9"/>
      <c r="Y166" s="6"/>
      <c r="Z166" s="8"/>
    </row>
    <row r="167" spans="1:26" x14ac:dyDescent="0.3">
      <c r="A167" s="1" t="s">
        <v>139</v>
      </c>
      <c r="B167" s="1" t="str">
        <v>CLIFFORD CENTRE</v>
      </c>
      <c r="K167" s="6"/>
      <c r="L167" s="6"/>
      <c r="M167" s="7"/>
      <c r="U167" s="8"/>
      <c r="V167" s="8"/>
      <c r="W167" s="8"/>
      <c r="X167" s="9"/>
      <c r="Y167" s="6"/>
      <c r="Z167" s="8"/>
    </row>
    <row r="168" spans="1:26" x14ac:dyDescent="0.3">
      <c r="A168" s="1" t="s">
        <v>772</v>
      </c>
      <c r="B168" s="1" t="str">
        <v>PAYA LEBAR SQUARE</v>
      </c>
      <c r="K168" s="6"/>
      <c r="L168" s="6"/>
      <c r="M168" s="7"/>
      <c r="U168" s="8"/>
      <c r="V168" s="8"/>
      <c r="W168" s="8"/>
      <c r="X168" s="9"/>
      <c r="Y168" s="6"/>
      <c r="Z168" s="8"/>
    </row>
    <row r="169" spans="1:26" x14ac:dyDescent="0.3">
      <c r="A169" s="1" t="s">
        <v>433</v>
      </c>
      <c r="B169" s="1" t="str">
        <v>TANJONG PAGAR CENTRE</v>
      </c>
      <c r="K169" s="6"/>
      <c r="L169" s="6"/>
      <c r="M169" s="7"/>
      <c r="U169" s="8"/>
      <c r="V169" s="8"/>
      <c r="W169" s="8"/>
      <c r="X169" s="9"/>
      <c r="Y169" s="6"/>
      <c r="Z169" s="8"/>
    </row>
    <row r="170" spans="1:26" x14ac:dyDescent="0.3">
      <c r="A170" s="1" t="s">
        <v>1450</v>
      </c>
      <c r="B170" s="1" t="str">
        <v>UOB PLAZA</v>
      </c>
      <c r="K170" s="6"/>
      <c r="L170" s="6"/>
      <c r="M170" s="7"/>
      <c r="U170" s="8"/>
      <c r="V170" s="8"/>
      <c r="W170" s="8"/>
      <c r="X170" s="9"/>
      <c r="Y170" s="6"/>
      <c r="Z170" s="8"/>
    </row>
    <row r="171" spans="1:26" x14ac:dyDescent="0.3">
      <c r="A171" s="1" t="s">
        <v>806</v>
      </c>
      <c r="B171" s="1" t="str">
        <v>INTERNATIONAL BUILDING</v>
      </c>
      <c r="K171" s="6"/>
      <c r="L171" s="6"/>
      <c r="M171" s="7"/>
      <c r="U171" s="8"/>
      <c r="V171" s="8"/>
      <c r="W171" s="8"/>
      <c r="X171" s="9"/>
      <c r="Y171" s="6"/>
      <c r="Z171" s="8"/>
    </row>
    <row r="172" spans="1:26" x14ac:dyDescent="0.3">
      <c r="A172" s="1" t="s">
        <v>472</v>
      </c>
      <c r="B172" s="1" t="str">
        <v>SHAW HOUSE</v>
      </c>
      <c r="K172" s="6"/>
      <c r="L172" s="6"/>
      <c r="M172" s="7"/>
      <c r="U172" s="8"/>
      <c r="V172" s="8"/>
      <c r="W172" s="8"/>
      <c r="X172" s="9"/>
      <c r="Y172" s="6"/>
      <c r="Z172" s="8"/>
    </row>
    <row r="173" spans="1:26" x14ac:dyDescent="0.3">
      <c r="A173" s="1" t="s">
        <v>818</v>
      </c>
      <c r="B173" s="1" t="str">
        <v>CERTIS CISCO CENTRE</v>
      </c>
      <c r="K173" s="6"/>
      <c r="L173" s="6"/>
      <c r="M173" s="7"/>
      <c r="U173" s="8"/>
      <c r="V173" s="8"/>
      <c r="W173" s="8"/>
      <c r="X173" s="9"/>
      <c r="Y173" s="6"/>
      <c r="Z173" s="8"/>
    </row>
    <row r="174" spans="1:26" x14ac:dyDescent="0.3">
      <c r="A174" s="1" t="s">
        <v>1575</v>
      </c>
      <c r="B174" s="1" t="str">
        <v>DUO TOWER</v>
      </c>
      <c r="K174" s="6"/>
      <c r="L174" s="6"/>
      <c r="M174" s="7"/>
      <c r="U174" s="8"/>
      <c r="V174" s="8"/>
      <c r="W174" s="8"/>
      <c r="X174" s="9"/>
      <c r="Y174" s="6"/>
      <c r="Z174" s="8"/>
    </row>
    <row r="175" spans="1:26" x14ac:dyDescent="0.3">
      <c r="A175" s="1" t="s">
        <v>331</v>
      </c>
      <c r="B175" s="1" t="str">
        <v>THE MENDEL</v>
      </c>
      <c r="K175" s="6"/>
      <c r="L175" s="6"/>
      <c r="M175" s="7"/>
      <c r="U175" s="8"/>
      <c r="V175" s="8"/>
      <c r="W175" s="8"/>
      <c r="X175" s="9"/>
      <c r="Y175" s="6"/>
      <c r="Z175" s="8"/>
    </row>
    <row r="176" spans="1:26" x14ac:dyDescent="0.3">
      <c r="A176" s="1" t="s">
        <v>1637</v>
      </c>
      <c r="B176" s="1" t="str">
        <v>984 UPPER CHANGI ROAD NORTH</v>
      </c>
      <c r="K176" s="6"/>
      <c r="L176" s="6"/>
      <c r="M176" s="7"/>
      <c r="U176" s="8"/>
      <c r="V176" s="8"/>
      <c r="W176" s="8"/>
      <c r="X176" s="9"/>
      <c r="Y176" s="6"/>
      <c r="Z176" s="8"/>
    </row>
    <row r="177" spans="1:26" x14ac:dyDescent="0.3">
      <c r="A177" s="1" t="s">
        <v>1558</v>
      </c>
      <c r="B177" s="1" t="str">
        <v>THE CAPRICORN</v>
      </c>
      <c r="K177" s="6"/>
      <c r="L177" s="6"/>
      <c r="M177" s="7"/>
      <c r="U177" s="8"/>
      <c r="V177" s="8"/>
      <c r="W177" s="8"/>
      <c r="X177" s="9"/>
      <c r="Y177" s="6"/>
      <c r="Z177" s="8"/>
    </row>
    <row r="178" spans="1:26" x14ac:dyDescent="0.3">
      <c r="A178" s="1" t="s">
        <v>1100</v>
      </c>
      <c r="B178" s="1" t="str">
        <v>OUE BAYFRONT</v>
      </c>
      <c r="K178" s="6"/>
      <c r="L178" s="6"/>
      <c r="M178" s="7"/>
      <c r="U178" s="8"/>
      <c r="V178" s="8"/>
      <c r="W178" s="8"/>
      <c r="X178" s="9"/>
      <c r="Y178" s="6"/>
      <c r="Z178" s="8"/>
    </row>
    <row r="179" spans="1:26" x14ac:dyDescent="0.3">
      <c r="A179" s="1" t="s">
        <v>48</v>
      </c>
      <c r="B179" s="1" t="str">
        <v>ONE RAFFLES LINK</v>
      </c>
      <c r="K179" s="6"/>
      <c r="L179" s="6"/>
      <c r="M179" s="7"/>
      <c r="U179" s="8"/>
      <c r="V179" s="8"/>
      <c r="W179" s="8"/>
      <c r="X179" s="9"/>
      <c r="Y179" s="6"/>
      <c r="Z179" s="8"/>
    </row>
    <row r="180" spans="1:26" x14ac:dyDescent="0.3">
      <c r="A180" s="1" t="s">
        <v>146</v>
      </c>
      <c r="B180" s="1" t="str">
        <v>CPF TAMPINES BUILDING</v>
      </c>
      <c r="K180" s="6"/>
      <c r="L180" s="6"/>
      <c r="M180" s="7"/>
      <c r="U180" s="8"/>
      <c r="V180" s="8"/>
      <c r="W180" s="8"/>
      <c r="X180" s="9"/>
      <c r="Y180" s="6"/>
      <c r="Z180" s="8"/>
    </row>
    <row r="181" spans="1:26" x14ac:dyDescent="0.3">
      <c r="A181" s="1" t="s">
        <v>1252</v>
      </c>
      <c r="B181" s="1" t="str">
        <v>CAPITAL SQUARE</v>
      </c>
      <c r="K181" s="6"/>
      <c r="L181" s="6"/>
      <c r="M181" s="7"/>
      <c r="U181" s="8"/>
      <c r="V181" s="8"/>
      <c r="W181" s="8"/>
      <c r="X181" s="9"/>
      <c r="Y181" s="6"/>
      <c r="Z181" s="8"/>
    </row>
    <row r="182" spans="1:26" x14ac:dyDescent="0.3">
      <c r="A182" s="1" t="s">
        <v>1473</v>
      </c>
      <c r="B182" s="1" t="str">
        <v>PARKWAY PARADE</v>
      </c>
      <c r="K182" s="6"/>
      <c r="L182" s="6"/>
      <c r="M182" s="7"/>
      <c r="U182" s="8"/>
      <c r="V182" s="8"/>
      <c r="W182" s="8"/>
      <c r="X182" s="9"/>
      <c r="Y182" s="6"/>
      <c r="Z182" s="8"/>
    </row>
    <row r="183" spans="1:26" x14ac:dyDescent="0.3">
      <c r="A183" s="1" t="s">
        <v>1352</v>
      </c>
      <c r="B183" s="1" t="str">
        <v>INFINITE STUDIOS</v>
      </c>
      <c r="K183" s="6"/>
      <c r="L183" s="6"/>
      <c r="M183" s="7"/>
      <c r="U183" s="8"/>
      <c r="V183" s="8"/>
      <c r="W183" s="8"/>
      <c r="X183" s="9"/>
      <c r="Y183" s="6"/>
      <c r="Z183" s="8"/>
    </row>
    <row r="184" spans="1:26" x14ac:dyDescent="0.3">
      <c r="A184" s="1" t="s">
        <v>242</v>
      </c>
      <c r="B184" s="1" t="str">
        <v>BANK OF CHINA BUILDING</v>
      </c>
      <c r="K184" s="6"/>
      <c r="L184" s="6"/>
      <c r="M184" s="7"/>
      <c r="U184" s="8"/>
      <c r="V184" s="8"/>
      <c r="W184" s="8"/>
      <c r="X184" s="9"/>
      <c r="Y184" s="6"/>
      <c r="Z184" s="8"/>
    </row>
    <row r="185" spans="1:26" x14ac:dyDescent="0.3">
      <c r="A185" s="1" t="s">
        <v>1274</v>
      </c>
      <c r="B185" s="1" t="str">
        <v>CLEANTECH ONE</v>
      </c>
      <c r="K185" s="6"/>
      <c r="L185" s="6"/>
      <c r="M185" s="7"/>
      <c r="U185" s="8"/>
      <c r="V185" s="8"/>
      <c r="W185" s="8"/>
      <c r="X185" s="9"/>
      <c r="Y185" s="6"/>
      <c r="Z185" s="8"/>
    </row>
    <row r="186" spans="1:26" x14ac:dyDescent="0.3">
      <c r="A186" s="1" t="s">
        <v>1285</v>
      </c>
      <c r="B186" s="1" t="str">
        <v>KINESIS</v>
      </c>
      <c r="K186" s="6"/>
      <c r="L186" s="6"/>
      <c r="M186" s="7"/>
      <c r="U186" s="8"/>
      <c r="V186" s="8"/>
      <c r="W186" s="8"/>
      <c r="X186" s="9"/>
      <c r="Y186" s="6"/>
      <c r="Z186" s="8"/>
    </row>
    <row r="187" spans="1:26" x14ac:dyDescent="0.3">
      <c r="A187" s="1" t="s">
        <v>1006</v>
      </c>
      <c r="B187" s="1" t="str">
        <v>ICA BUILDING</v>
      </c>
      <c r="K187" s="6"/>
      <c r="L187" s="6"/>
      <c r="M187" s="7"/>
      <c r="U187" s="8"/>
      <c r="V187" s="8"/>
      <c r="W187" s="8"/>
      <c r="X187" s="9"/>
      <c r="Y187" s="6"/>
      <c r="Z187" s="8"/>
    </row>
    <row r="188" spans="1:26" x14ac:dyDescent="0.3">
      <c r="A188" s="1" t="s">
        <v>328</v>
      </c>
      <c r="B188" s="1" t="str">
        <v>WESTGATE TOWER</v>
      </c>
      <c r="K188" s="6"/>
      <c r="L188" s="6"/>
      <c r="M188" s="7"/>
      <c r="U188" s="8"/>
      <c r="V188" s="8"/>
      <c r="W188" s="8"/>
      <c r="X188" s="9"/>
      <c r="Y188" s="6"/>
      <c r="Z188" s="8"/>
    </row>
    <row r="189" spans="1:26" x14ac:dyDescent="0.3">
      <c r="A189" s="1" t="s">
        <v>460</v>
      </c>
      <c r="B189" s="1" t="str">
        <v>NEW PHOENIX PARK</v>
      </c>
      <c r="K189" s="6"/>
      <c r="L189" s="6"/>
      <c r="M189" s="7"/>
      <c r="U189" s="8"/>
      <c r="V189" s="8"/>
      <c r="W189" s="8"/>
      <c r="X189" s="9"/>
      <c r="Y189" s="6"/>
      <c r="Z189" s="8"/>
    </row>
    <row r="190" spans="1:26" x14ac:dyDescent="0.3">
      <c r="A190" s="1" t="s">
        <v>1262</v>
      </c>
      <c r="B190" s="1" t="str">
        <v>THE GEMINI</v>
      </c>
      <c r="K190" s="6"/>
      <c r="L190" s="6"/>
      <c r="M190" s="7"/>
      <c r="U190" s="8"/>
      <c r="V190" s="8"/>
      <c r="W190" s="8"/>
      <c r="X190" s="9"/>
      <c r="Y190" s="6"/>
      <c r="Z190" s="8"/>
    </row>
    <row r="191" spans="1:26" x14ac:dyDescent="0.3">
      <c r="A191" s="1" t="s">
        <v>1070</v>
      </c>
      <c r="B191" s="1" t="str">
        <v>COMCENTRE</v>
      </c>
      <c r="K191" s="6"/>
      <c r="L191" s="6"/>
      <c r="M191" s="7"/>
      <c r="U191" s="8"/>
      <c r="V191" s="8"/>
      <c r="W191" s="8"/>
      <c r="X191" s="9"/>
      <c r="Y191" s="6"/>
      <c r="Z191" s="8"/>
    </row>
    <row r="192" spans="1:26" x14ac:dyDescent="0.3">
      <c r="A192" s="1" t="s">
        <v>470</v>
      </c>
      <c r="B192" s="1" t="str">
        <v>SHAW CENTRE</v>
      </c>
      <c r="K192" s="6"/>
      <c r="L192" s="6"/>
      <c r="M192" s="7"/>
      <c r="U192" s="8"/>
      <c r="V192" s="8"/>
      <c r="W192" s="8"/>
      <c r="X192" s="9"/>
      <c r="Y192" s="6"/>
      <c r="Z192" s="8"/>
    </row>
    <row r="193" spans="1:26" x14ac:dyDescent="0.3">
      <c r="A193" s="1" t="s">
        <v>810</v>
      </c>
      <c r="B193" s="1" t="str">
        <v>BANK OF SINGAPORE CENTRE</v>
      </c>
      <c r="K193" s="6"/>
      <c r="L193" s="6"/>
      <c r="M193" s="7"/>
      <c r="U193" s="8"/>
      <c r="V193" s="8"/>
      <c r="W193" s="8"/>
      <c r="X193" s="9"/>
      <c r="Y193" s="6"/>
      <c r="Z193" s="8"/>
    </row>
    <row r="194" spans="1:26" x14ac:dyDescent="0.3">
      <c r="A194" s="1" t="s">
        <v>1569</v>
      </c>
      <c r="B194" s="1" t="str">
        <v>VIVA BUSINESS PARK</v>
      </c>
      <c r="K194" s="6"/>
      <c r="L194" s="6"/>
      <c r="M194" s="7"/>
      <c r="U194" s="8"/>
      <c r="V194" s="8"/>
      <c r="W194" s="8"/>
      <c r="X194" s="9"/>
      <c r="Y194" s="6"/>
      <c r="Z194" s="8"/>
    </row>
    <row r="195" spans="1:26" x14ac:dyDescent="0.3">
      <c r="A195" s="1" t="s">
        <v>824</v>
      </c>
      <c r="B195" s="1" t="str">
        <v>BANK OF AMERICA MERRILL LYNCH HARBOURFRONT</v>
      </c>
      <c r="K195" s="6"/>
      <c r="L195" s="6"/>
      <c r="M195" s="7"/>
      <c r="U195" s="8"/>
      <c r="V195" s="8"/>
      <c r="W195" s="8"/>
      <c r="X195" s="9"/>
      <c r="Y195" s="6"/>
      <c r="Z195" s="8"/>
    </row>
    <row r="196" spans="1:26" x14ac:dyDescent="0.3">
      <c r="A196" s="1" t="s">
        <v>1342</v>
      </c>
      <c r="B196" s="1" t="str">
        <v>VALLEY POINT</v>
      </c>
      <c r="K196" s="6"/>
      <c r="L196" s="6"/>
      <c r="M196" s="7"/>
      <c r="U196" s="8"/>
      <c r="V196" s="8"/>
      <c r="W196" s="8"/>
      <c r="X196" s="9"/>
      <c r="Y196" s="6"/>
      <c r="Z196" s="8"/>
    </row>
    <row r="197" spans="1:26" x14ac:dyDescent="0.3">
      <c r="A197" s="1" t="s">
        <v>716</v>
      </c>
      <c r="B197" s="1" t="str">
        <v>UE SQUARE</v>
      </c>
      <c r="K197" s="6"/>
      <c r="L197" s="6"/>
      <c r="M197" s="7"/>
      <c r="U197" s="8"/>
      <c r="V197" s="8"/>
      <c r="W197" s="8"/>
      <c r="X197" s="9"/>
      <c r="Y197" s="6"/>
      <c r="Z197" s="8"/>
    </row>
    <row r="198" spans="1:26" x14ac:dyDescent="0.3">
      <c r="A198" s="1" t="s">
        <v>351</v>
      </c>
      <c r="B198" s="1" t="str">
        <v>HEALTH SCIENCES AUTHORITY BUILDING</v>
      </c>
      <c r="K198" s="6"/>
      <c r="L198" s="6"/>
      <c r="M198" s="7"/>
      <c r="U198" s="8"/>
      <c r="V198" s="8"/>
      <c r="W198" s="8"/>
      <c r="X198" s="9"/>
      <c r="Y198" s="6"/>
      <c r="Z198" s="8"/>
    </row>
    <row r="199" spans="1:26" x14ac:dyDescent="0.3">
      <c r="A199" s="1" t="s">
        <v>456</v>
      </c>
      <c r="B199" s="1" t="str">
        <v>NOVENA SQUARE</v>
      </c>
      <c r="K199" s="6"/>
      <c r="L199" s="6"/>
      <c r="M199" s="7"/>
      <c r="U199" s="8"/>
      <c r="V199" s="8"/>
      <c r="W199" s="8"/>
      <c r="X199" s="9"/>
      <c r="Y199" s="6"/>
      <c r="Z199" s="8"/>
    </row>
    <row r="200" spans="1:26" x14ac:dyDescent="0.3">
      <c r="A200" s="1" t="s">
        <v>1283</v>
      </c>
      <c r="B200" s="1" t="str">
        <v>INNOVIS</v>
      </c>
      <c r="K200" s="6"/>
      <c r="L200" s="6"/>
      <c r="M200" s="7"/>
      <c r="U200" s="8"/>
      <c r="V200" s="8"/>
      <c r="W200" s="8"/>
      <c r="X200" s="9"/>
      <c r="Y200" s="6"/>
      <c r="Z200" s="8"/>
    </row>
    <row r="201" spans="1:26" x14ac:dyDescent="0.3">
      <c r="A201" s="1" t="s">
        <v>1256</v>
      </c>
      <c r="B201" s="1" t="str">
        <v>THE KENDALL</v>
      </c>
      <c r="K201" s="6"/>
      <c r="L201" s="6"/>
      <c r="M201" s="7"/>
      <c r="U201" s="8"/>
      <c r="V201" s="8"/>
      <c r="W201" s="8"/>
      <c r="X201" s="9"/>
      <c r="Y201" s="6"/>
      <c r="Z201" s="8"/>
    </row>
    <row r="202" spans="1:26" x14ac:dyDescent="0.3">
      <c r="A202" s="1" t="s">
        <v>1322</v>
      </c>
      <c r="B202" s="1" t="str">
        <v>TELEPARK</v>
      </c>
      <c r="K202" s="6"/>
      <c r="L202" s="6"/>
      <c r="M202" s="7"/>
      <c r="U202" s="8"/>
      <c r="V202" s="8"/>
      <c r="W202" s="8"/>
      <c r="X202" s="9"/>
      <c r="Y202" s="6"/>
      <c r="Z202" s="8"/>
    </row>
    <row r="203" spans="1:26" x14ac:dyDescent="0.3">
      <c r="A203" s="1" t="s">
        <v>1454</v>
      </c>
      <c r="B203" s="1" t="str">
        <v>UOB ALEXANDRA BUILDING</v>
      </c>
      <c r="K203" s="6"/>
      <c r="L203" s="6"/>
      <c r="M203" s="7"/>
      <c r="U203" s="8"/>
      <c r="V203" s="8"/>
      <c r="W203" s="8"/>
      <c r="X203" s="9"/>
      <c r="Y203" s="6"/>
      <c r="Z203" s="8"/>
    </row>
    <row r="204" spans="1:26" x14ac:dyDescent="0.3">
      <c r="A204" s="1" t="s">
        <v>1287</v>
      </c>
      <c r="B204" s="1" t="str">
        <v>SYNTHESIS</v>
      </c>
      <c r="K204" s="6"/>
      <c r="L204" s="6"/>
      <c r="M204" s="7"/>
      <c r="U204" s="8"/>
      <c r="V204" s="8"/>
      <c r="W204" s="8"/>
      <c r="X204" s="9"/>
      <c r="Y204" s="6"/>
      <c r="Z204" s="8"/>
    </row>
    <row r="205" spans="1:26" x14ac:dyDescent="0.3">
      <c r="A205" s="1" t="s">
        <v>1638</v>
      </c>
      <c r="B205" s="1" t="str">
        <v>20 AYER RAJAH CRESCENT</v>
      </c>
      <c r="K205" s="6"/>
      <c r="L205" s="6"/>
      <c r="M205" s="7"/>
      <c r="U205" s="8"/>
      <c r="V205" s="8"/>
      <c r="W205" s="8"/>
      <c r="X205" s="9"/>
      <c r="Y205" s="6"/>
      <c r="Z205" s="8"/>
    </row>
    <row r="206" spans="1:26" x14ac:dyDescent="0.3">
      <c r="A206" s="1" t="s">
        <v>1639</v>
      </c>
      <c r="B206" s="1" t="str">
        <v>26A AYER RAJAH CRESCENT</v>
      </c>
      <c r="K206" s="6"/>
      <c r="L206" s="6"/>
      <c r="M206" s="7"/>
      <c r="U206" s="8"/>
      <c r="V206" s="8"/>
      <c r="W206" s="8"/>
      <c r="X206" s="9"/>
      <c r="Y206" s="6"/>
      <c r="Z206" s="8"/>
    </row>
    <row r="207" spans="1:26" x14ac:dyDescent="0.3">
      <c r="A207" s="1" t="s">
        <v>1640</v>
      </c>
      <c r="B207" s="1" t="str">
        <v>450 ALEXANDRA ROAD</v>
      </c>
      <c r="K207" s="6"/>
      <c r="L207" s="6"/>
      <c r="M207" s="7"/>
      <c r="U207" s="8"/>
      <c r="V207" s="8"/>
      <c r="W207" s="8"/>
      <c r="X207" s="9"/>
      <c r="Y207" s="6"/>
      <c r="Z207" s="8"/>
    </row>
    <row r="208" spans="1:26" x14ac:dyDescent="0.3">
      <c r="A208" s="1" t="s">
        <v>668</v>
      </c>
      <c r="B208" s="1" t="str">
        <v>SCHOOL OF PHYSICAL EDUCATION SWIMMING COMPLEX</v>
      </c>
      <c r="K208" s="6"/>
      <c r="L208" s="6"/>
      <c r="M208" s="7"/>
      <c r="U208" s="8"/>
      <c r="V208" s="8"/>
      <c r="W208" s="8"/>
      <c r="X208" s="9"/>
      <c r="Y208" s="6"/>
      <c r="Z208" s="8"/>
    </row>
    <row r="209" spans="1:26" x14ac:dyDescent="0.3">
      <c r="A209" s="1" t="s">
        <v>1563</v>
      </c>
      <c r="B209" s="1" t="str">
        <v>TECHQUEST</v>
      </c>
      <c r="K209" s="6"/>
      <c r="L209" s="6"/>
      <c r="M209" s="7"/>
      <c r="U209" s="8"/>
      <c r="V209" s="8"/>
      <c r="W209" s="8"/>
      <c r="X209" s="9"/>
      <c r="Y209" s="6"/>
      <c r="Z209" s="8"/>
    </row>
    <row r="210" spans="1:26" x14ac:dyDescent="0.3">
      <c r="A210" s="1" t="s">
        <v>1541</v>
      </c>
      <c r="B210" s="1" t="str">
        <v>ICON@CHANGI</v>
      </c>
      <c r="K210" s="6"/>
      <c r="L210" s="6"/>
      <c r="M210" s="7"/>
      <c r="U210" s="8"/>
      <c r="V210" s="8"/>
      <c r="W210" s="8"/>
      <c r="X210" s="9"/>
      <c r="Y210" s="6"/>
      <c r="Z210" s="8"/>
    </row>
    <row r="211" spans="1:26" x14ac:dyDescent="0.3">
      <c r="A211" s="1" t="s">
        <v>1641</v>
      </c>
      <c r="B211" s="1" t="str">
        <v>149 COMPASSVALE BOW</v>
      </c>
      <c r="K211" s="6"/>
      <c r="L211" s="6"/>
      <c r="M211" s="7"/>
      <c r="U211" s="8"/>
      <c r="V211" s="8"/>
      <c r="W211" s="8"/>
      <c r="X211" s="9"/>
      <c r="Y211" s="6"/>
      <c r="Z211" s="8"/>
    </row>
    <row r="212" spans="1:26" x14ac:dyDescent="0.3">
      <c r="A212" s="1" t="s">
        <v>1642</v>
      </c>
      <c r="B212" s="1" t="str">
        <v>1 MARYMOUNT LANE</v>
      </c>
      <c r="K212" s="6"/>
      <c r="L212" s="6"/>
      <c r="M212" s="7"/>
      <c r="U212" s="8"/>
      <c r="V212" s="8"/>
      <c r="W212" s="8"/>
      <c r="X212" s="9"/>
      <c r="Y212" s="6"/>
      <c r="Z212" s="8"/>
    </row>
    <row r="213" spans="1:26" x14ac:dyDescent="0.3">
      <c r="A213" s="1" t="s">
        <v>1643</v>
      </c>
      <c r="B213" s="1" t="str">
        <v>50 BUANGKOK DRIVE</v>
      </c>
      <c r="K213" s="6"/>
      <c r="L213" s="6"/>
      <c r="M213" s="7"/>
      <c r="U213" s="8"/>
      <c r="V213" s="8"/>
      <c r="W213" s="8"/>
      <c r="X213" s="9"/>
      <c r="Y213" s="6"/>
      <c r="Z213" s="8"/>
    </row>
    <row r="214" spans="1:26" x14ac:dyDescent="0.3">
      <c r="A214" s="1" t="s">
        <v>1429</v>
      </c>
      <c r="B214" s="1" t="str">
        <v>DIOCESAN CENTRE BUILDING</v>
      </c>
      <c r="K214" s="6"/>
      <c r="L214" s="6"/>
      <c r="M214" s="7"/>
      <c r="U214" s="8"/>
      <c r="V214" s="8"/>
      <c r="W214" s="8"/>
      <c r="X214" s="9"/>
      <c r="Y214" s="6"/>
      <c r="Z214" s="8"/>
    </row>
    <row r="215" spans="1:26" x14ac:dyDescent="0.3">
      <c r="A215" s="1" t="s">
        <v>1517</v>
      </c>
      <c r="B215" s="1" t="str">
        <v>ICB ENTERPRISE HOUSE</v>
      </c>
      <c r="K215" s="6"/>
      <c r="L215" s="6"/>
      <c r="M215" s="7"/>
      <c r="U215" s="8"/>
      <c r="V215" s="8"/>
      <c r="W215" s="8"/>
      <c r="X215" s="9"/>
      <c r="Y215" s="6"/>
      <c r="Z215" s="8"/>
    </row>
    <row r="216" spans="1:26" x14ac:dyDescent="0.3">
      <c r="A216" s="1" t="s">
        <v>981</v>
      </c>
      <c r="B216" s="1" t="str">
        <v>223 @ MOUNTBATTEN</v>
      </c>
      <c r="K216" s="6"/>
      <c r="L216" s="6"/>
      <c r="M216" s="7"/>
      <c r="U216" s="8"/>
      <c r="V216" s="8"/>
      <c r="W216" s="8"/>
      <c r="X216" s="9"/>
      <c r="Y216" s="6"/>
      <c r="Z216" s="8"/>
    </row>
    <row r="217" spans="1:26" x14ac:dyDescent="0.3">
      <c r="A217" s="1" t="s">
        <v>1503</v>
      </c>
      <c r="B217" s="1" t="str">
        <v>REALTY CENTRE</v>
      </c>
      <c r="K217" s="6"/>
      <c r="L217" s="6"/>
      <c r="M217" s="7"/>
      <c r="U217" s="8"/>
      <c r="V217" s="8"/>
      <c r="W217" s="8"/>
      <c r="X217" s="9"/>
      <c r="Y217" s="6"/>
      <c r="Z217" s="8"/>
    </row>
    <row r="218" spans="1:26" x14ac:dyDescent="0.3">
      <c r="A218" s="1" t="s">
        <v>1524</v>
      </c>
      <c r="B218" s="1" t="str">
        <v>UNITED HOUSE</v>
      </c>
      <c r="K218" s="6"/>
      <c r="L218" s="6"/>
      <c r="M218" s="7"/>
      <c r="U218" s="8"/>
      <c r="V218" s="8"/>
      <c r="W218" s="8"/>
      <c r="X218" s="9"/>
      <c r="Y218" s="6"/>
      <c r="Z218" s="8"/>
    </row>
    <row r="219" spans="1:26" x14ac:dyDescent="0.3">
      <c r="A219" s="1" t="s">
        <v>480</v>
      </c>
      <c r="B219" s="1" t="str">
        <v>SWIBER@IBP</v>
      </c>
      <c r="K219" s="6"/>
      <c r="L219" s="6"/>
      <c r="M219" s="7"/>
      <c r="U219" s="8"/>
      <c r="V219" s="8"/>
      <c r="W219" s="8"/>
      <c r="X219" s="9"/>
      <c r="Y219" s="6"/>
      <c r="Z219" s="8"/>
    </row>
    <row r="220" spans="1:26" x14ac:dyDescent="0.3">
      <c r="A220" s="1" t="s">
        <v>695</v>
      </c>
      <c r="B220" s="1" t="str">
        <v>UPPER THOMSON COMMUNITY HUB</v>
      </c>
      <c r="K220" s="6"/>
      <c r="L220" s="6"/>
      <c r="M220" s="7"/>
      <c r="U220" s="8"/>
      <c r="V220" s="8"/>
      <c r="W220" s="8"/>
      <c r="X220" s="9"/>
      <c r="Y220" s="6"/>
      <c r="Z220" s="8"/>
    </row>
    <row r="221" spans="1:26" x14ac:dyDescent="0.3">
      <c r="A221" s="1" t="s">
        <v>754</v>
      </c>
      <c r="B221" s="1" t="str">
        <v>YUHUA COMMUNITY CLUB</v>
      </c>
      <c r="K221" s="6"/>
      <c r="L221" s="6"/>
      <c r="M221" s="7"/>
      <c r="U221" s="8"/>
      <c r="V221" s="8"/>
      <c r="W221" s="8"/>
      <c r="X221" s="9"/>
      <c r="Y221" s="6"/>
      <c r="Z221" s="8"/>
    </row>
    <row r="222" spans="1:26" x14ac:dyDescent="0.3">
      <c r="A222" s="1" t="s">
        <v>1045</v>
      </c>
      <c r="B222" s="1" t="str">
        <v>LENG KEE COMMUNITY CENTRE</v>
      </c>
      <c r="K222" s="6"/>
      <c r="L222" s="6"/>
      <c r="M222" s="7"/>
      <c r="U222" s="8"/>
      <c r="V222" s="8"/>
      <c r="W222" s="8"/>
      <c r="X222" s="9"/>
      <c r="Y222" s="6"/>
      <c r="Z222" s="8"/>
    </row>
    <row r="223" spans="1:26" x14ac:dyDescent="0.3">
      <c r="A223" s="1" t="s">
        <v>1276</v>
      </c>
      <c r="B223" s="1" t="str">
        <v>JTC LAUNCHPAD @ JURONG INNOVATION DISTRICT</v>
      </c>
      <c r="K223" s="6"/>
      <c r="L223" s="6"/>
      <c r="M223" s="7"/>
      <c r="U223" s="8"/>
      <c r="V223" s="8"/>
      <c r="W223" s="8"/>
      <c r="X223" s="9"/>
      <c r="Y223" s="6"/>
      <c r="Z223" s="8"/>
    </row>
    <row r="224" spans="1:26" x14ac:dyDescent="0.3">
      <c r="A224" s="1" t="s">
        <v>1027</v>
      </c>
      <c r="B224" s="1" t="str">
        <v>NATIONAL COMMUNITY LEADERSHIP INSTITUTE</v>
      </c>
      <c r="K224" s="6"/>
      <c r="L224" s="6"/>
      <c r="M224" s="7"/>
      <c r="U224" s="8"/>
      <c r="V224" s="8"/>
      <c r="W224" s="8"/>
      <c r="X224" s="9"/>
      <c r="Y224" s="6"/>
      <c r="Z224" s="8"/>
    </row>
    <row r="225" spans="1:26" x14ac:dyDescent="0.3">
      <c r="A225" s="1" t="s">
        <v>761</v>
      </c>
      <c r="B225" s="1" t="str">
        <v>THE CHADWICK</v>
      </c>
      <c r="K225" s="6"/>
      <c r="L225" s="6"/>
      <c r="M225" s="7"/>
      <c r="U225" s="8"/>
      <c r="V225" s="8"/>
      <c r="W225" s="8"/>
      <c r="X225" s="9"/>
      <c r="Y225" s="6"/>
      <c r="Z225" s="8"/>
    </row>
    <row r="226" spans="1:26" x14ac:dyDescent="0.3">
      <c r="A226" s="1" t="s">
        <v>1644</v>
      </c>
      <c r="B226" s="1" t="str">
        <v>145 WEST COAST ROAD</v>
      </c>
      <c r="K226" s="6"/>
      <c r="L226" s="6"/>
      <c r="M226" s="7"/>
      <c r="U226" s="8"/>
      <c r="V226" s="8"/>
      <c r="W226" s="8"/>
      <c r="X226" s="9"/>
      <c r="Y226" s="6"/>
      <c r="Z226" s="8"/>
    </row>
    <row r="227" spans="1:26" x14ac:dyDescent="0.3">
      <c r="A227" s="1" t="s">
        <v>1645</v>
      </c>
      <c r="B227" s="1" t="str">
        <v>10 SCIENCE CENTRE ROAD</v>
      </c>
      <c r="K227" s="6"/>
      <c r="L227" s="6"/>
      <c r="M227" s="7"/>
      <c r="U227" s="8"/>
      <c r="V227" s="8"/>
      <c r="W227" s="8"/>
      <c r="X227" s="9"/>
      <c r="Y227" s="6"/>
      <c r="Z227" s="8"/>
    </row>
    <row r="228" spans="1:26" x14ac:dyDescent="0.3">
      <c r="A228" s="1" t="s">
        <v>1646</v>
      </c>
      <c r="B228" s="1" t="str">
        <v>36 ARMENIAN STREET</v>
      </c>
      <c r="K228" s="6"/>
      <c r="L228" s="6"/>
      <c r="M228" s="7"/>
      <c r="U228" s="8"/>
      <c r="V228" s="8"/>
      <c r="W228" s="8"/>
      <c r="X228" s="9"/>
      <c r="Y228" s="6"/>
      <c r="Z228" s="8"/>
    </row>
    <row r="229" spans="1:26" x14ac:dyDescent="0.3">
      <c r="A229" s="1" t="s">
        <v>1647</v>
      </c>
      <c r="B229" s="1" t="str">
        <v>90 EU TONG SEN STREET</v>
      </c>
      <c r="K229" s="6"/>
      <c r="L229" s="6"/>
      <c r="M229" s="7"/>
      <c r="U229" s="8"/>
      <c r="V229" s="8"/>
      <c r="W229" s="8"/>
      <c r="X229" s="9"/>
      <c r="Y229" s="6"/>
      <c r="Z229" s="8"/>
    </row>
    <row r="230" spans="1:26" x14ac:dyDescent="0.3">
      <c r="A230" s="1" t="s">
        <v>1267</v>
      </c>
      <c r="B230" s="1" t="str">
        <v>EASTGATE</v>
      </c>
      <c r="K230" s="6"/>
      <c r="L230" s="6"/>
      <c r="M230" s="7"/>
      <c r="U230" s="8"/>
      <c r="V230" s="8"/>
      <c r="W230" s="8"/>
      <c r="X230" s="9"/>
      <c r="Y230" s="6"/>
      <c r="Z230" s="8"/>
    </row>
    <row r="231" spans="1:26" x14ac:dyDescent="0.3">
      <c r="A231" s="1" t="s">
        <v>707</v>
      </c>
      <c r="B231" s="1" t="str">
        <v>REGISTRY OF MARRIAGES</v>
      </c>
      <c r="K231" s="6"/>
      <c r="L231" s="6"/>
      <c r="M231" s="7"/>
      <c r="U231" s="8"/>
      <c r="V231" s="8"/>
      <c r="W231" s="8"/>
      <c r="X231" s="9"/>
      <c r="Y231" s="6"/>
      <c r="Z231" s="8"/>
    </row>
    <row r="232" spans="1:26" x14ac:dyDescent="0.3">
      <c r="A232" s="1" t="s">
        <v>1008</v>
      </c>
      <c r="B232" s="1" t="str">
        <v>MARITIME HOUSE</v>
      </c>
      <c r="K232" s="6"/>
      <c r="L232" s="6"/>
      <c r="M232" s="7"/>
      <c r="U232" s="8"/>
      <c r="V232" s="8"/>
      <c r="W232" s="8"/>
      <c r="X232" s="9"/>
      <c r="Y232" s="6"/>
      <c r="Z232" s="8"/>
    </row>
    <row r="233" spans="1:26" x14ac:dyDescent="0.3">
      <c r="A233" s="1" t="s">
        <v>1508</v>
      </c>
      <c r="B233" s="1" t="str">
        <v>CES CENTRE</v>
      </c>
      <c r="K233" s="6"/>
      <c r="L233" s="6"/>
      <c r="M233" s="7"/>
      <c r="U233" s="8"/>
      <c r="V233" s="8"/>
      <c r="W233" s="8"/>
      <c r="X233" s="9"/>
      <c r="Y233" s="6"/>
      <c r="Z233" s="8"/>
    </row>
    <row r="234" spans="1:26" x14ac:dyDescent="0.3">
      <c r="A234" s="1" t="s">
        <v>941</v>
      </c>
      <c r="B234" s="1" t="str">
        <v>THE KINGSMEN EXPERIENCE</v>
      </c>
      <c r="K234" s="6"/>
      <c r="L234" s="6"/>
      <c r="M234" s="7"/>
      <c r="U234" s="8"/>
      <c r="V234" s="8"/>
      <c r="W234" s="8"/>
      <c r="X234" s="9"/>
      <c r="Y234" s="6"/>
      <c r="Z234" s="8"/>
    </row>
    <row r="235" spans="1:26" x14ac:dyDescent="0.3">
      <c r="A235" s="1" t="s">
        <v>885</v>
      </c>
      <c r="B235" s="1" t="str">
        <v>THONG TECK BUILDING</v>
      </c>
      <c r="K235" s="6"/>
      <c r="L235" s="6"/>
      <c r="M235" s="7"/>
      <c r="U235" s="8"/>
      <c r="V235" s="8"/>
      <c r="W235" s="8"/>
      <c r="X235" s="9"/>
      <c r="Y235" s="6"/>
      <c r="Z235" s="8"/>
    </row>
    <row r="236" spans="1:26" x14ac:dyDescent="0.3">
      <c r="A236" s="1" t="s">
        <v>1525</v>
      </c>
      <c r="B236" s="1" t="str">
        <v>MACDONALD HOUSE</v>
      </c>
      <c r="K236" s="6"/>
      <c r="L236" s="6"/>
      <c r="M236" s="7"/>
      <c r="U236" s="8"/>
      <c r="V236" s="8"/>
      <c r="W236" s="8"/>
      <c r="X236" s="9"/>
      <c r="Y236" s="6"/>
      <c r="Z236" s="8"/>
    </row>
    <row r="237" spans="1:26" x14ac:dyDescent="0.3">
      <c r="A237" s="1" t="s">
        <v>925</v>
      </c>
      <c r="B237" s="1" t="str">
        <v>CIVIL SERVICE COLLEGE</v>
      </c>
      <c r="K237" s="6"/>
      <c r="L237" s="6"/>
      <c r="M237" s="7"/>
      <c r="U237" s="8"/>
      <c r="V237" s="8"/>
      <c r="W237" s="8"/>
      <c r="X237" s="9"/>
      <c r="Y237" s="6"/>
      <c r="Z237" s="8"/>
    </row>
    <row r="238" spans="1:26" x14ac:dyDescent="0.3">
      <c r="A238" s="1" t="s">
        <v>1316</v>
      </c>
      <c r="B238" s="1" t="str">
        <v>PEOPLE'S ASSOCIATION</v>
      </c>
      <c r="K238" s="6"/>
      <c r="L238" s="6"/>
      <c r="M238" s="7"/>
      <c r="U238" s="8"/>
      <c r="V238" s="8"/>
      <c r="W238" s="8"/>
      <c r="X238" s="9"/>
      <c r="Y238" s="6"/>
      <c r="Z238" s="8"/>
    </row>
    <row r="239" spans="1:26" x14ac:dyDescent="0.3">
      <c r="A239" s="1" t="s">
        <v>1648</v>
      </c>
      <c r="B239" s="1" t="str">
        <v>101 BUKIT PANJANG ROAD</v>
      </c>
      <c r="K239" s="6"/>
      <c r="L239" s="6"/>
      <c r="M239" s="7"/>
      <c r="U239" s="8"/>
      <c r="V239" s="8"/>
      <c r="W239" s="8"/>
      <c r="X239" s="9"/>
      <c r="Y239" s="6"/>
      <c r="Z239" s="8"/>
    </row>
    <row r="240" spans="1:26" x14ac:dyDescent="0.3">
      <c r="A240" s="1" t="s">
        <v>812</v>
      </c>
      <c r="B240" s="1" t="str">
        <v>INSTITUTE OF SOUTH EAST ASIA STUDIES</v>
      </c>
      <c r="K240" s="6"/>
      <c r="L240" s="6"/>
      <c r="M240" s="7"/>
      <c r="U240" s="8"/>
      <c r="V240" s="8"/>
      <c r="W240" s="8"/>
      <c r="X240" s="9"/>
      <c r="Y240" s="6"/>
      <c r="Z240" s="8"/>
    </row>
    <row r="241" spans="1:26" x14ac:dyDescent="0.3">
      <c r="A241" s="1" t="s">
        <v>1649</v>
      </c>
      <c r="B241" s="1" t="str">
        <v>1 HILLVIEW RISE</v>
      </c>
      <c r="K241" s="6"/>
      <c r="L241" s="6"/>
      <c r="M241" s="7"/>
      <c r="U241" s="8"/>
      <c r="V241" s="8"/>
      <c r="W241" s="8"/>
      <c r="X241" s="9"/>
      <c r="Y241" s="6"/>
      <c r="Z241" s="8"/>
    </row>
    <row r="242" spans="1:26" x14ac:dyDescent="0.3">
      <c r="A242" s="1" t="s">
        <v>512</v>
      </c>
      <c r="B242" s="1" t="str">
        <v>PIXEL</v>
      </c>
      <c r="K242" s="6"/>
      <c r="L242" s="6"/>
      <c r="M242" s="7"/>
      <c r="U242" s="8"/>
      <c r="V242" s="8"/>
      <c r="W242" s="8"/>
      <c r="X242" s="9"/>
      <c r="Y242" s="6"/>
      <c r="Z242" s="8"/>
    </row>
    <row r="243" spans="1:26" x14ac:dyDescent="0.3">
      <c r="A243" s="1" t="s">
        <v>165</v>
      </c>
      <c r="B243" s="1" t="str">
        <v>FAR EAST FINANCE BUILDING</v>
      </c>
      <c r="K243" s="6"/>
      <c r="L243" s="6"/>
      <c r="M243" s="7"/>
      <c r="U243" s="8"/>
      <c r="V243" s="8"/>
      <c r="W243" s="8"/>
      <c r="X243" s="9"/>
      <c r="Y243" s="6"/>
      <c r="Z243" s="8"/>
    </row>
    <row r="244" spans="1:26" x14ac:dyDescent="0.3">
      <c r="A244" s="1" t="s">
        <v>153</v>
      </c>
      <c r="B244" s="1" t="str">
        <v>BOON SIEW BUILDING</v>
      </c>
      <c r="K244" s="6"/>
      <c r="L244" s="6"/>
      <c r="M244" s="7"/>
      <c r="U244" s="8"/>
      <c r="V244" s="8"/>
      <c r="W244" s="8"/>
      <c r="X244" s="9"/>
      <c r="Y244" s="6"/>
      <c r="Z244" s="8"/>
    </row>
    <row r="245" spans="1:26" x14ac:dyDescent="0.3">
      <c r="A245" s="1" t="s">
        <v>223</v>
      </c>
      <c r="B245" s="1" t="str">
        <v>ROBINSON 112</v>
      </c>
      <c r="K245" s="6"/>
      <c r="L245" s="6"/>
      <c r="M245" s="7"/>
      <c r="U245" s="8"/>
      <c r="V245" s="8"/>
      <c r="W245" s="8"/>
      <c r="X245" s="9"/>
      <c r="Y245" s="6"/>
      <c r="Z245" s="8"/>
    </row>
    <row r="246" spans="1:26" x14ac:dyDescent="0.3">
      <c r="A246" s="1" t="s">
        <v>213</v>
      </c>
      <c r="B246" s="1" t="str">
        <v>PEK CHUAN BUILDING</v>
      </c>
      <c r="K246" s="6"/>
      <c r="L246" s="6"/>
      <c r="M246" s="7"/>
      <c r="U246" s="8"/>
      <c r="V246" s="8"/>
      <c r="W246" s="8"/>
      <c r="X246" s="9"/>
      <c r="Y246" s="6"/>
      <c r="Z246" s="8"/>
    </row>
    <row r="247" spans="1:26" x14ac:dyDescent="0.3">
      <c r="A247" s="1" t="s">
        <v>708</v>
      </c>
      <c r="B247" s="1" t="str">
        <v>FAMILY LINK @ LENGKOK BAHRU</v>
      </c>
      <c r="K247" s="6"/>
      <c r="L247" s="6"/>
      <c r="M247" s="7"/>
      <c r="U247" s="8"/>
      <c r="V247" s="8"/>
      <c r="W247" s="8"/>
      <c r="X247" s="9"/>
      <c r="Y247" s="6"/>
      <c r="Z247" s="8"/>
    </row>
    <row r="248" spans="1:26" x14ac:dyDescent="0.3">
      <c r="A248" s="1" t="s">
        <v>30</v>
      </c>
      <c r="B248" s="1" t="str">
        <v>GRACE GLOBAL RAFFLES</v>
      </c>
      <c r="K248" s="6"/>
      <c r="L248" s="6"/>
      <c r="M248" s="7"/>
      <c r="U248" s="8"/>
      <c r="V248" s="8"/>
      <c r="W248" s="8"/>
      <c r="X248" s="9"/>
      <c r="Y248" s="6"/>
      <c r="Z248" s="8"/>
    </row>
    <row r="249" spans="1:26" x14ac:dyDescent="0.3">
      <c r="A249" s="1" t="s">
        <v>1650</v>
      </c>
      <c r="B249" s="1" t="str">
        <v>3 HAVELOCK SQUARE</v>
      </c>
      <c r="K249" s="6"/>
      <c r="L249" s="6"/>
      <c r="M249" s="7"/>
      <c r="U249" s="8"/>
      <c r="V249" s="8"/>
      <c r="W249" s="8"/>
      <c r="X249" s="9"/>
      <c r="Y249" s="6"/>
      <c r="Z249" s="8"/>
    </row>
    <row r="250" spans="1:26" x14ac:dyDescent="0.3">
      <c r="A250" s="1" t="s">
        <v>76</v>
      </c>
      <c r="B250" s="1" t="str">
        <v>THE OXLEY</v>
      </c>
      <c r="K250" s="6"/>
      <c r="L250" s="6"/>
      <c r="M250" s="7"/>
      <c r="U250" s="8"/>
      <c r="V250" s="8"/>
      <c r="W250" s="8"/>
      <c r="X250" s="9"/>
      <c r="Y250" s="6"/>
      <c r="Z250" s="8"/>
    </row>
    <row r="251" spans="1:26" x14ac:dyDescent="0.3">
      <c r="A251" s="1" t="s">
        <v>1128</v>
      </c>
      <c r="B251" s="1" t="str">
        <v>CROWN AT ROBINSON</v>
      </c>
      <c r="K251" s="6"/>
      <c r="L251" s="6"/>
      <c r="M251" s="7"/>
      <c r="U251" s="8"/>
      <c r="V251" s="8"/>
      <c r="W251" s="8"/>
      <c r="X251" s="9"/>
      <c r="Y251" s="6"/>
      <c r="Z251" s="8"/>
    </row>
    <row r="252" spans="1:26" x14ac:dyDescent="0.3">
      <c r="A252" s="1" t="s">
        <v>249</v>
      </c>
      <c r="B252" s="1" t="str">
        <v>MEWAH BUILDING</v>
      </c>
      <c r="K252" s="6"/>
      <c r="L252" s="6"/>
      <c r="M252" s="7"/>
      <c r="U252" s="8"/>
      <c r="V252" s="8"/>
      <c r="W252" s="8"/>
      <c r="X252" s="9"/>
      <c r="Y252" s="6"/>
      <c r="Z252" s="8"/>
    </row>
    <row r="253" spans="1:26" x14ac:dyDescent="0.3">
      <c r="A253" s="1" t="s">
        <v>1651</v>
      </c>
      <c r="B253" s="1" t="str">
        <v>108 ROBINSON ROAD</v>
      </c>
      <c r="K253" s="6"/>
      <c r="L253" s="6"/>
      <c r="M253" s="7"/>
      <c r="U253" s="8"/>
      <c r="V253" s="8"/>
      <c r="W253" s="8"/>
      <c r="X253" s="9"/>
      <c r="Y253" s="6"/>
      <c r="Z253" s="8"/>
    </row>
    <row r="254" spans="1:26" x14ac:dyDescent="0.3">
      <c r="A254" s="1" t="s">
        <v>923</v>
      </c>
      <c r="B254" s="1" t="str">
        <v>METTA BUILDING</v>
      </c>
      <c r="K254" s="6"/>
      <c r="L254" s="6"/>
      <c r="M254" s="7"/>
      <c r="U254" s="8"/>
      <c r="V254" s="8"/>
      <c r="W254" s="8"/>
      <c r="X254" s="9"/>
      <c r="Y254" s="6"/>
      <c r="Z254" s="8"/>
    </row>
    <row r="255" spans="1:26" x14ac:dyDescent="0.3">
      <c r="A255" s="1" t="s">
        <v>116</v>
      </c>
      <c r="B255" s="1" t="str">
        <v>NKF CENTRE</v>
      </c>
      <c r="K255" s="6"/>
      <c r="L255" s="6"/>
      <c r="M255" s="7"/>
      <c r="U255" s="8"/>
      <c r="V255" s="8"/>
      <c r="W255" s="8"/>
      <c r="X255" s="9"/>
      <c r="Y255" s="6"/>
      <c r="Z255" s="8"/>
    </row>
    <row r="256" spans="1:26" x14ac:dyDescent="0.3">
      <c r="A256" s="1" t="s">
        <v>31</v>
      </c>
      <c r="B256" s="1" t="str">
        <v>THE GLOBE</v>
      </c>
      <c r="K256" s="6"/>
      <c r="L256" s="6"/>
      <c r="M256" s="7"/>
      <c r="U256" s="8"/>
      <c r="V256" s="8"/>
      <c r="W256" s="8"/>
      <c r="X256" s="9"/>
      <c r="Y256" s="6"/>
      <c r="Z256" s="8"/>
    </row>
    <row r="257" spans="1:26" x14ac:dyDescent="0.3">
      <c r="A257" s="1" t="s">
        <v>1126</v>
      </c>
      <c r="B257" s="1" t="str">
        <v>ANSON CENTRE</v>
      </c>
      <c r="K257" s="6"/>
      <c r="L257" s="6"/>
      <c r="M257" s="7"/>
      <c r="U257" s="8"/>
      <c r="V257" s="8"/>
      <c r="W257" s="8"/>
      <c r="X257" s="9"/>
      <c r="Y257" s="6"/>
      <c r="Z257" s="8"/>
    </row>
    <row r="258" spans="1:26" x14ac:dyDescent="0.3">
      <c r="A258" s="1" t="s">
        <v>1652</v>
      </c>
      <c r="B258" s="1" t="str">
        <v>150 CECIL STREET</v>
      </c>
      <c r="K258" s="6"/>
      <c r="L258" s="6"/>
      <c r="M258" s="7"/>
      <c r="U258" s="8"/>
      <c r="V258" s="8"/>
      <c r="W258" s="8"/>
      <c r="X258" s="9"/>
      <c r="Y258" s="6"/>
      <c r="Z258" s="8"/>
    </row>
    <row r="259" spans="1:26" x14ac:dyDescent="0.3">
      <c r="A259" s="1" t="s">
        <v>1653</v>
      </c>
      <c r="B259" s="1" t="str">
        <v>991G ALEXANDRA ROAD</v>
      </c>
      <c r="K259" s="6"/>
      <c r="L259" s="6"/>
      <c r="M259" s="7"/>
      <c r="U259" s="8"/>
      <c r="V259" s="8"/>
      <c r="W259" s="8"/>
      <c r="X259" s="9"/>
      <c r="Y259" s="6"/>
      <c r="Z259" s="8"/>
    </row>
    <row r="260" spans="1:26" x14ac:dyDescent="0.3">
      <c r="A260" s="1" t="s">
        <v>1493</v>
      </c>
      <c r="B260" s="1" t="str">
        <v>VIVA VISTA</v>
      </c>
      <c r="K260" s="6"/>
      <c r="L260" s="6"/>
      <c r="M260" s="7"/>
      <c r="U260" s="8"/>
      <c r="V260" s="8"/>
      <c r="W260" s="8"/>
      <c r="X260" s="9"/>
      <c r="Y260" s="6"/>
      <c r="Z260" s="8"/>
    </row>
    <row r="261" spans="1:26" x14ac:dyDescent="0.3">
      <c r="A261" s="1" t="s">
        <v>1654</v>
      </c>
      <c r="B261" s="1" t="str">
        <v>14 INTERNATIONAL BUSINESS PARK</v>
      </c>
      <c r="K261" s="6"/>
      <c r="L261" s="6"/>
      <c r="M261" s="7"/>
      <c r="U261" s="8"/>
      <c r="V261" s="8"/>
      <c r="W261" s="8"/>
      <c r="X261" s="9"/>
      <c r="Y261" s="6"/>
      <c r="Z261" s="8"/>
    </row>
    <row r="262" spans="1:26" x14ac:dyDescent="0.3">
      <c r="A262" s="1" t="s">
        <v>1655</v>
      </c>
      <c r="B262" s="1" t="str">
        <v>120 ROBINSON ROAD</v>
      </c>
      <c r="K262" s="6"/>
      <c r="L262" s="6"/>
      <c r="M262" s="7"/>
      <c r="U262" s="8"/>
      <c r="V262" s="8"/>
      <c r="W262" s="8"/>
      <c r="X262" s="9"/>
      <c r="Y262" s="6"/>
      <c r="Z262" s="8"/>
    </row>
    <row r="263" spans="1:26" x14ac:dyDescent="0.3">
      <c r="A263" s="1" t="s">
        <v>586</v>
      </c>
      <c r="B263" s="1" t="str">
        <v>CECIL COURT</v>
      </c>
      <c r="K263" s="6"/>
      <c r="L263" s="6"/>
      <c r="M263" s="7"/>
      <c r="U263" s="8"/>
      <c r="V263" s="8"/>
      <c r="W263" s="8"/>
      <c r="X263" s="9"/>
      <c r="Y263" s="6"/>
      <c r="Z263" s="8"/>
    </row>
    <row r="264" spans="1:26" x14ac:dyDescent="0.3">
      <c r="A264" s="1" t="s">
        <v>1656</v>
      </c>
      <c r="B264" s="1" t="str">
        <v>10 RAEBURN PARK</v>
      </c>
      <c r="K264" s="6"/>
      <c r="L264" s="6"/>
      <c r="M264" s="7"/>
      <c r="U264" s="8"/>
      <c r="V264" s="8"/>
      <c r="W264" s="8"/>
      <c r="X264" s="9"/>
      <c r="Y264" s="6"/>
      <c r="Z264" s="8"/>
    </row>
    <row r="265" spans="1:26" x14ac:dyDescent="0.3">
      <c r="A265" s="1" t="s">
        <v>364</v>
      </c>
      <c r="B265" s="1" t="str">
        <v>MRTC HEADQUARTERS</v>
      </c>
      <c r="K265" s="6"/>
      <c r="L265" s="6"/>
      <c r="M265" s="7"/>
      <c r="U265" s="8"/>
      <c r="V265" s="8"/>
      <c r="W265" s="8"/>
      <c r="X265" s="9"/>
      <c r="Y265" s="6"/>
      <c r="Z265" s="8"/>
    </row>
    <row r="266" spans="1:26" x14ac:dyDescent="0.3">
      <c r="A266" s="1" t="s">
        <v>1452</v>
      </c>
      <c r="B266" s="1" t="str">
        <v>FAR EASTERN BANK BUILDING</v>
      </c>
      <c r="K266" s="6"/>
      <c r="L266" s="6"/>
      <c r="M266" s="7"/>
      <c r="U266" s="8"/>
      <c r="V266" s="8"/>
      <c r="W266" s="8"/>
      <c r="X266" s="9"/>
      <c r="Y266" s="6"/>
      <c r="Z266" s="8"/>
    </row>
    <row r="267" spans="1:26" x14ac:dyDescent="0.3">
      <c r="A267" s="1" t="s">
        <v>366</v>
      </c>
      <c r="B267" s="1" t="str">
        <v>BEACH CENTRE</v>
      </c>
      <c r="K267" s="6"/>
      <c r="L267" s="6"/>
      <c r="M267" s="7"/>
      <c r="U267" s="8"/>
      <c r="V267" s="8"/>
      <c r="W267" s="8"/>
      <c r="X267" s="9"/>
      <c r="Y267" s="6"/>
      <c r="Z267" s="8"/>
    </row>
    <row r="268" spans="1:26" x14ac:dyDescent="0.3">
      <c r="A268" s="1" t="s">
        <v>611</v>
      </c>
      <c r="B268" s="1" t="str">
        <v>PHILIPPINE AIRLINES BUILDING</v>
      </c>
      <c r="K268" s="6"/>
      <c r="L268" s="6"/>
      <c r="M268" s="7"/>
      <c r="U268" s="8"/>
      <c r="V268" s="8"/>
      <c r="W268" s="8"/>
      <c r="X268" s="9"/>
      <c r="Y268" s="6"/>
      <c r="Z268" s="8"/>
    </row>
    <row r="269" spans="1:26" x14ac:dyDescent="0.3">
      <c r="A269" s="1" t="s">
        <v>1147</v>
      </c>
      <c r="B269" s="1" t="str">
        <v>ANSON HOUSE</v>
      </c>
      <c r="K269" s="6"/>
      <c r="L269" s="6"/>
      <c r="M269" s="7"/>
      <c r="U269" s="8"/>
      <c r="V269" s="8"/>
      <c r="W269" s="8"/>
      <c r="X269" s="9"/>
      <c r="Y269" s="6"/>
      <c r="Z269" s="8"/>
    </row>
    <row r="270" spans="1:26" x14ac:dyDescent="0.3">
      <c r="A270" s="1" t="s">
        <v>1657</v>
      </c>
      <c r="B270" s="1" t="str">
        <v>158 CECIL STREET</v>
      </c>
      <c r="K270" s="6"/>
      <c r="L270" s="6"/>
      <c r="M270" s="7"/>
      <c r="U270" s="8"/>
      <c r="V270" s="8"/>
      <c r="W270" s="8"/>
      <c r="X270" s="9"/>
      <c r="Y270" s="6"/>
      <c r="Z270" s="8"/>
    </row>
    <row r="271" spans="1:26" x14ac:dyDescent="0.3">
      <c r="A271" s="1" t="s">
        <v>827</v>
      </c>
      <c r="B271" s="1" t="str">
        <v>GENTING CENTRE</v>
      </c>
      <c r="K271" s="6"/>
      <c r="L271" s="6"/>
      <c r="M271" s="7"/>
      <c r="U271" s="8"/>
      <c r="V271" s="8"/>
      <c r="W271" s="8"/>
      <c r="X271" s="9"/>
      <c r="Y271" s="6"/>
      <c r="Z271" s="8"/>
    </row>
    <row r="272" spans="1:26" x14ac:dyDescent="0.3">
      <c r="A272" s="1" t="s">
        <v>1244</v>
      </c>
      <c r="B272" s="1" t="str">
        <v>ABI PLAZA</v>
      </c>
      <c r="K272" s="6"/>
      <c r="L272" s="6"/>
      <c r="M272" s="7"/>
      <c r="U272" s="8"/>
      <c r="V272" s="8"/>
      <c r="W272" s="8"/>
      <c r="X272" s="9"/>
      <c r="Y272" s="6"/>
      <c r="Z272" s="8"/>
    </row>
    <row r="273" spans="1:26" x14ac:dyDescent="0.3">
      <c r="A273" s="1" t="s">
        <v>33</v>
      </c>
      <c r="B273" s="1" t="str">
        <v>HIGH STREET PLAZA</v>
      </c>
      <c r="K273" s="6"/>
      <c r="L273" s="6"/>
      <c r="M273" s="7"/>
      <c r="U273" s="8"/>
      <c r="V273" s="8"/>
      <c r="W273" s="8"/>
      <c r="X273" s="9"/>
      <c r="Y273" s="6"/>
      <c r="Z273" s="8"/>
    </row>
    <row r="274" spans="1:26" x14ac:dyDescent="0.3">
      <c r="A274" s="1" t="s">
        <v>1658</v>
      </c>
      <c r="B274" s="1" t="str">
        <v>11 TAMPINES CONCOURSE</v>
      </c>
      <c r="K274" s="6"/>
      <c r="L274" s="6"/>
      <c r="M274" s="7"/>
      <c r="U274" s="8"/>
      <c r="V274" s="8"/>
      <c r="W274" s="8"/>
      <c r="X274" s="9"/>
      <c r="Y274" s="6"/>
      <c r="Z274" s="8"/>
    </row>
    <row r="275" spans="1:26" x14ac:dyDescent="0.3">
      <c r="A275" s="1" t="s">
        <v>577</v>
      </c>
      <c r="B275" s="1" t="str">
        <v>JIT POH BUILDING</v>
      </c>
      <c r="K275" s="6"/>
      <c r="L275" s="6"/>
      <c r="M275" s="7"/>
      <c r="U275" s="8"/>
      <c r="V275" s="8"/>
      <c r="W275" s="8"/>
      <c r="X275" s="9"/>
      <c r="Y275" s="6"/>
      <c r="Z275" s="8"/>
    </row>
    <row r="276" spans="1:26" x14ac:dyDescent="0.3">
      <c r="A276" s="1" t="s">
        <v>1238</v>
      </c>
      <c r="B276" s="1" t="str">
        <v>25 NORTH BRIDGE</v>
      </c>
      <c r="K276" s="6"/>
      <c r="L276" s="6"/>
      <c r="M276" s="7"/>
      <c r="U276" s="8"/>
      <c r="V276" s="8"/>
      <c r="W276" s="8"/>
      <c r="X276" s="9"/>
      <c r="Y276" s="6"/>
      <c r="Z276" s="8"/>
    </row>
    <row r="277" spans="1:26" x14ac:dyDescent="0.3">
      <c r="A277" s="1" t="s">
        <v>690</v>
      </c>
      <c r="B277" s="1" t="str">
        <v>KEMBANGAN-CHAI CHEE COMMUNITY HUB</v>
      </c>
      <c r="K277" s="6"/>
      <c r="L277" s="6"/>
      <c r="M277" s="7"/>
      <c r="U277" s="8"/>
      <c r="V277" s="8"/>
      <c r="W277" s="8"/>
      <c r="X277" s="9"/>
      <c r="Y277" s="6"/>
      <c r="Z277" s="8"/>
    </row>
    <row r="278" spans="1:26" x14ac:dyDescent="0.3">
      <c r="A278" s="1" t="s">
        <v>720</v>
      </c>
      <c r="B278" s="1" t="str">
        <v>ONE FINLAYSON GREEN</v>
      </c>
      <c r="K278" s="6"/>
      <c r="L278" s="6"/>
      <c r="M278" s="7"/>
      <c r="U278" s="8"/>
      <c r="V278" s="8"/>
      <c r="W278" s="8"/>
      <c r="X278" s="9"/>
      <c r="Y278" s="6"/>
      <c r="Z278" s="8"/>
    </row>
    <row r="279" spans="1:26" x14ac:dyDescent="0.3">
      <c r="A279" s="1" t="s">
        <v>1659</v>
      </c>
      <c r="B279" s="1" t="str">
        <v>16 INTERNATIONAL BUSINESS PARK</v>
      </c>
      <c r="K279" s="6"/>
      <c r="L279" s="6"/>
      <c r="M279" s="7"/>
      <c r="U279" s="8"/>
      <c r="V279" s="8"/>
      <c r="W279" s="8"/>
      <c r="X279" s="9"/>
      <c r="Y279" s="6"/>
      <c r="Z279" s="8"/>
    </row>
    <row r="280" spans="1:26" x14ac:dyDescent="0.3">
      <c r="A280" s="1" t="s">
        <v>1544</v>
      </c>
      <c r="B280" s="1" t="str">
        <v>TUNG ANN ASSOCIATION BUILDING</v>
      </c>
      <c r="K280" s="6"/>
      <c r="L280" s="6"/>
      <c r="M280" s="7"/>
      <c r="U280" s="8"/>
      <c r="V280" s="8"/>
      <c r="W280" s="8"/>
      <c r="X280" s="9"/>
      <c r="Y280" s="6"/>
      <c r="Z280" s="8"/>
    </row>
    <row r="281" spans="1:26" x14ac:dyDescent="0.3">
      <c r="A281" s="1" t="s">
        <v>759</v>
      </c>
      <c r="B281" s="1" t="str">
        <v>NORTH BRIDGE CENTRE</v>
      </c>
      <c r="K281" s="6"/>
      <c r="L281" s="6"/>
      <c r="M281" s="7"/>
      <c r="U281" s="8"/>
      <c r="V281" s="8"/>
      <c r="W281" s="8"/>
      <c r="X281" s="9"/>
      <c r="Y281" s="6"/>
      <c r="Z281" s="8"/>
    </row>
    <row r="282" spans="1:26" x14ac:dyDescent="0.3">
      <c r="A282" s="1" t="s">
        <v>1502</v>
      </c>
      <c r="B282" s="1" t="str">
        <v>NEHSONS BUILDING</v>
      </c>
      <c r="K282" s="6"/>
      <c r="L282" s="6"/>
      <c r="M282" s="7"/>
      <c r="U282" s="8"/>
      <c r="V282" s="8"/>
      <c r="W282" s="8"/>
      <c r="X282" s="9"/>
      <c r="Y282" s="6"/>
      <c r="Z282" s="8"/>
    </row>
    <row r="283" spans="1:26" x14ac:dyDescent="0.3">
      <c r="A283" s="1" t="s">
        <v>148</v>
      </c>
      <c r="B283" s="1" t="str">
        <v>TOKIO MARINE CENTRE</v>
      </c>
      <c r="K283" s="6"/>
      <c r="L283" s="6"/>
      <c r="M283" s="7"/>
      <c r="U283" s="8"/>
      <c r="V283" s="8"/>
      <c r="W283" s="8"/>
      <c r="X283" s="9"/>
      <c r="Y283" s="6"/>
      <c r="Z283" s="8"/>
    </row>
    <row r="284" spans="1:26" x14ac:dyDescent="0.3">
      <c r="A284" s="1" t="s">
        <v>279</v>
      </c>
      <c r="B284" s="1" t="str">
        <v>STAMFORD COURT</v>
      </c>
      <c r="K284" s="6"/>
      <c r="L284" s="6"/>
      <c r="M284" s="7"/>
      <c r="U284" s="8"/>
      <c r="V284" s="8"/>
      <c r="W284" s="8"/>
      <c r="X284" s="9"/>
      <c r="Y284" s="6"/>
      <c r="Z284" s="8"/>
    </row>
    <row r="285" spans="1:26" x14ac:dyDescent="0.3">
      <c r="A285" s="1" t="s">
        <v>968</v>
      </c>
      <c r="B285" s="1" t="str">
        <v>GREAT EASTERN @ CHANGI</v>
      </c>
      <c r="K285" s="6"/>
      <c r="L285" s="6"/>
      <c r="M285" s="7"/>
      <c r="U285" s="8"/>
      <c r="V285" s="8"/>
      <c r="W285" s="8"/>
      <c r="X285" s="9"/>
      <c r="Y285" s="6"/>
      <c r="Z285" s="8"/>
    </row>
    <row r="286" spans="1:26" x14ac:dyDescent="0.3">
      <c r="A286" s="1" t="s">
        <v>973</v>
      </c>
      <c r="B286" s="1" t="str">
        <v>ROYAL ONE PHILLIP</v>
      </c>
      <c r="K286" s="6"/>
      <c r="L286" s="6"/>
      <c r="M286" s="7"/>
      <c r="U286" s="8"/>
      <c r="V286" s="8"/>
      <c r="W286" s="8"/>
      <c r="X286" s="9"/>
      <c r="Y286" s="6"/>
      <c r="Z286" s="8"/>
    </row>
    <row r="287" spans="1:26" x14ac:dyDescent="0.3">
      <c r="A287" s="1" t="s">
        <v>1099</v>
      </c>
      <c r="B287" s="1" t="str">
        <v>CENTROPOD @ CHANGI</v>
      </c>
      <c r="K287" s="6"/>
      <c r="L287" s="6"/>
      <c r="M287" s="7"/>
      <c r="U287" s="8"/>
      <c r="V287" s="8"/>
      <c r="W287" s="8"/>
      <c r="X287" s="9"/>
      <c r="Y287" s="6"/>
      <c r="Z287" s="8"/>
    </row>
    <row r="288" spans="1:26" x14ac:dyDescent="0.3">
      <c r="A288" s="1" t="s">
        <v>1250</v>
      </c>
      <c r="B288" s="1" t="str">
        <v>TEMPCO TECHNOMINIUM</v>
      </c>
      <c r="K288" s="6"/>
      <c r="L288" s="6"/>
      <c r="M288" s="7"/>
      <c r="U288" s="8"/>
      <c r="V288" s="8"/>
      <c r="W288" s="8"/>
      <c r="X288" s="9"/>
      <c r="Y288" s="6"/>
      <c r="Z288" s="8"/>
    </row>
    <row r="289" spans="1:26" x14ac:dyDescent="0.3">
      <c r="A289" s="1" t="s">
        <v>877</v>
      </c>
      <c r="B289" s="1" t="str">
        <v>SCDF HQ 4TH CD DIVISION</v>
      </c>
      <c r="K289" s="6"/>
      <c r="L289" s="6"/>
      <c r="M289" s="7"/>
      <c r="U289" s="8"/>
      <c r="V289" s="8"/>
      <c r="W289" s="8"/>
      <c r="X289" s="9"/>
      <c r="Y289" s="6"/>
      <c r="Z289" s="8"/>
    </row>
    <row r="290" spans="1:26" x14ac:dyDescent="0.3">
      <c r="A290" s="1" t="s">
        <v>773</v>
      </c>
      <c r="B290" s="1" t="str">
        <v>NATIONAL DESIGN CENTRE</v>
      </c>
      <c r="K290" s="6"/>
      <c r="L290" s="6"/>
      <c r="M290" s="7"/>
      <c r="U290" s="8"/>
      <c r="V290" s="8"/>
      <c r="W290" s="8"/>
      <c r="X290" s="9"/>
      <c r="Y290" s="6"/>
      <c r="Z290" s="8"/>
    </row>
    <row r="291" spans="1:26" x14ac:dyDescent="0.3">
      <c r="A291" s="1" t="s">
        <v>345</v>
      </c>
      <c r="B291" s="1" t="str">
        <v>TAMPINES PLAZA 1</v>
      </c>
      <c r="K291" s="6"/>
      <c r="L291" s="6"/>
      <c r="M291" s="7"/>
      <c r="U291" s="8"/>
      <c r="V291" s="8"/>
      <c r="W291" s="8"/>
      <c r="X291" s="9"/>
      <c r="Y291" s="6"/>
      <c r="Z291" s="8"/>
    </row>
    <row r="292" spans="1:26" x14ac:dyDescent="0.3">
      <c r="A292" s="1" t="s">
        <v>886</v>
      </c>
      <c r="B292" s="1" t="str">
        <v>KING'S CENTRE</v>
      </c>
      <c r="K292" s="6"/>
      <c r="L292" s="6"/>
      <c r="M292" s="7"/>
      <c r="U292" s="8"/>
      <c r="V292" s="8"/>
      <c r="W292" s="8"/>
      <c r="X292" s="9"/>
      <c r="Y292" s="6"/>
      <c r="Z292" s="8"/>
    </row>
    <row r="293" spans="1:26" x14ac:dyDescent="0.3">
      <c r="A293" s="1" t="s">
        <v>763</v>
      </c>
      <c r="B293" s="1" t="str">
        <v>THE CURIE</v>
      </c>
      <c r="K293" s="6"/>
      <c r="L293" s="6"/>
      <c r="M293" s="7"/>
      <c r="U293" s="8"/>
      <c r="V293" s="8"/>
      <c r="W293" s="8"/>
      <c r="X293" s="9"/>
      <c r="Y293" s="6"/>
      <c r="Z293" s="8"/>
    </row>
    <row r="294" spans="1:26" x14ac:dyDescent="0.3">
      <c r="A294" s="1" t="s">
        <v>975</v>
      </c>
      <c r="B294" s="1" t="str">
        <v>ROYAL GROUP BUILDING</v>
      </c>
      <c r="K294" s="6"/>
      <c r="L294" s="6"/>
      <c r="M294" s="7"/>
      <c r="U294" s="8"/>
      <c r="V294" s="8"/>
      <c r="W294" s="8"/>
      <c r="X294" s="9"/>
      <c r="Y294" s="6"/>
      <c r="Z294" s="8"/>
    </row>
    <row r="295" spans="1:26" x14ac:dyDescent="0.3">
      <c r="A295" s="1" t="s">
        <v>553</v>
      </c>
      <c r="B295" s="1" t="str">
        <v>INCOME AT TAMPINES POINT</v>
      </c>
      <c r="K295" s="6"/>
      <c r="L295" s="6"/>
      <c r="M295" s="7"/>
      <c r="U295" s="8"/>
      <c r="V295" s="8"/>
      <c r="W295" s="8"/>
      <c r="X295" s="9"/>
      <c r="Y295" s="6"/>
      <c r="Z295" s="8"/>
    </row>
    <row r="296" spans="1:26" x14ac:dyDescent="0.3">
      <c r="A296" s="1" t="s">
        <v>684</v>
      </c>
      <c r="B296" s="1" t="str">
        <v>ENABLING VILLAGE</v>
      </c>
      <c r="K296" s="6"/>
      <c r="L296" s="6"/>
      <c r="M296" s="7"/>
      <c r="U296" s="8"/>
      <c r="V296" s="8"/>
      <c r="W296" s="8"/>
      <c r="X296" s="9"/>
      <c r="Y296" s="6"/>
      <c r="Z296" s="8"/>
    </row>
    <row r="297" spans="1:26" x14ac:dyDescent="0.3">
      <c r="A297" s="1" t="s">
        <v>314</v>
      </c>
      <c r="B297" s="1" t="str">
        <v>BHARAT BUILDING</v>
      </c>
      <c r="K297" s="6"/>
      <c r="L297" s="6"/>
      <c r="M297" s="7"/>
      <c r="U297" s="8"/>
      <c r="V297" s="8"/>
      <c r="W297" s="8"/>
      <c r="X297" s="9"/>
      <c r="Y297" s="6"/>
      <c r="Z297" s="8"/>
    </row>
    <row r="298" spans="1:26" x14ac:dyDescent="0.3">
      <c r="A298" s="1" t="s">
        <v>607</v>
      </c>
      <c r="B298" s="1" t="str">
        <v>ALFA CENTRE</v>
      </c>
      <c r="K298" s="6"/>
      <c r="L298" s="6"/>
      <c r="M298" s="7"/>
      <c r="U298" s="8"/>
      <c r="V298" s="8"/>
      <c r="W298" s="8"/>
      <c r="X298" s="9"/>
      <c r="Y298" s="6"/>
      <c r="Z298" s="8"/>
    </row>
    <row r="299" spans="1:26" x14ac:dyDescent="0.3">
      <c r="A299" s="1" t="s">
        <v>1660</v>
      </c>
      <c r="B299" s="1" t="str">
        <v>30 HILL STREET</v>
      </c>
      <c r="K299" s="6"/>
      <c r="L299" s="6"/>
      <c r="M299" s="7"/>
      <c r="U299" s="8"/>
      <c r="V299" s="8"/>
      <c r="W299" s="8"/>
      <c r="X299" s="9"/>
      <c r="Y299" s="6"/>
      <c r="Z299" s="8"/>
    </row>
    <row r="300" spans="1:26" x14ac:dyDescent="0.3">
      <c r="A300" s="1" t="s">
        <v>879</v>
      </c>
      <c r="B300" s="1" t="str">
        <v>SCDF HQ 3RD CD DIVISION</v>
      </c>
      <c r="K300" s="6"/>
      <c r="L300" s="6"/>
      <c r="M300" s="7"/>
      <c r="U300" s="8"/>
      <c r="V300" s="8"/>
      <c r="W300" s="8"/>
      <c r="X300" s="9"/>
      <c r="Y300" s="6"/>
      <c r="Z300" s="8"/>
    </row>
    <row r="301" spans="1:26" x14ac:dyDescent="0.3">
      <c r="A301" s="1" t="s">
        <v>451</v>
      </c>
      <c r="B301" s="1" t="str">
        <v>TECHSQ</v>
      </c>
      <c r="K301" s="6"/>
      <c r="L301" s="6"/>
      <c r="M301" s="7"/>
      <c r="U301" s="8"/>
      <c r="V301" s="8"/>
      <c r="W301" s="8"/>
      <c r="X301" s="9"/>
      <c r="Y301" s="6"/>
      <c r="Z301" s="8"/>
    </row>
    <row r="302" spans="1:26" x14ac:dyDescent="0.3">
      <c r="A302" s="1" t="s">
        <v>1539</v>
      </c>
      <c r="B302" s="1" t="str">
        <v>RHB BANK BUILDING</v>
      </c>
      <c r="K302" s="6"/>
      <c r="L302" s="6"/>
      <c r="M302" s="7"/>
      <c r="U302" s="8"/>
      <c r="V302" s="8"/>
      <c r="W302" s="8"/>
      <c r="X302" s="9"/>
      <c r="Y302" s="6"/>
      <c r="Z302" s="8"/>
    </row>
    <row r="303" spans="1:26" x14ac:dyDescent="0.3">
      <c r="A303" s="1" t="s">
        <v>1661</v>
      </c>
      <c r="B303" s="1" t="str">
        <v>137 TELOK AYER STREET</v>
      </c>
      <c r="K303" s="6"/>
      <c r="L303" s="6"/>
      <c r="M303" s="7"/>
      <c r="U303" s="8"/>
      <c r="V303" s="8"/>
      <c r="W303" s="8"/>
      <c r="X303" s="9"/>
      <c r="Y303" s="6"/>
      <c r="Z303" s="8"/>
    </row>
    <row r="304" spans="1:26" x14ac:dyDescent="0.3">
      <c r="A304" s="1" t="s">
        <v>1331</v>
      </c>
      <c r="B304" s="1" t="str">
        <v>MAXWELL CHAMBERS</v>
      </c>
      <c r="K304" s="6"/>
      <c r="L304" s="6"/>
      <c r="M304" s="7"/>
      <c r="U304" s="8"/>
      <c r="V304" s="8"/>
      <c r="W304" s="8"/>
      <c r="X304" s="9"/>
      <c r="Y304" s="6"/>
      <c r="Z304" s="8"/>
    </row>
    <row r="305" spans="1:26" x14ac:dyDescent="0.3">
      <c r="A305" s="1" t="s">
        <v>1132</v>
      </c>
      <c r="B305" s="1" t="str">
        <v>ORCHARD BUILDING</v>
      </c>
      <c r="K305" s="6"/>
      <c r="L305" s="6"/>
      <c r="M305" s="7"/>
      <c r="U305" s="8"/>
      <c r="V305" s="8"/>
      <c r="W305" s="8"/>
      <c r="X305" s="9"/>
      <c r="Y305" s="6"/>
      <c r="Z305" s="8"/>
    </row>
    <row r="306" spans="1:26" x14ac:dyDescent="0.3">
      <c r="A306" s="1" t="s">
        <v>1528</v>
      </c>
      <c r="B306" s="1" t="str">
        <v>FABER HOUSE</v>
      </c>
      <c r="K306" s="6"/>
      <c r="L306" s="6"/>
      <c r="M306" s="7"/>
      <c r="U306" s="8"/>
      <c r="V306" s="8"/>
      <c r="W306" s="8"/>
      <c r="X306" s="9"/>
      <c r="Y306" s="6"/>
      <c r="Z306" s="8"/>
    </row>
    <row r="307" spans="1:26" x14ac:dyDescent="0.3">
      <c r="A307" s="1" t="s">
        <v>347</v>
      </c>
      <c r="B307" s="1" t="str">
        <v>TAMPINES PLAZA 2</v>
      </c>
      <c r="K307" s="6"/>
      <c r="L307" s="6"/>
      <c r="M307" s="7"/>
      <c r="U307" s="8"/>
      <c r="V307" s="8"/>
      <c r="W307" s="8"/>
      <c r="X307" s="9"/>
      <c r="Y307" s="6"/>
      <c r="Z307" s="8"/>
    </row>
    <row r="308" spans="1:26" x14ac:dyDescent="0.3">
      <c r="A308" s="1" t="s">
        <v>1111</v>
      </c>
      <c r="B308" s="1" t="str">
        <v>CHOA CHU KANG CENTRE</v>
      </c>
      <c r="K308" s="6"/>
      <c r="L308" s="6"/>
      <c r="M308" s="7"/>
      <c r="U308" s="8"/>
      <c r="V308" s="8"/>
      <c r="W308" s="8"/>
      <c r="X308" s="9"/>
      <c r="Y308" s="6"/>
      <c r="Z308" s="8"/>
    </row>
    <row r="309" spans="1:26" x14ac:dyDescent="0.3">
      <c r="A309" s="1" t="s">
        <v>963</v>
      </c>
      <c r="B309" s="1" t="str">
        <v>SENTOSA DEVELOPMENT CORPORATION OFFICE</v>
      </c>
      <c r="K309" s="6"/>
      <c r="L309" s="6"/>
      <c r="M309" s="7"/>
      <c r="U309" s="8"/>
      <c r="V309" s="8"/>
      <c r="W309" s="8"/>
      <c r="X309" s="9"/>
      <c r="Y309" s="6"/>
      <c r="Z309" s="8"/>
    </row>
    <row r="310" spans="1:26" x14ac:dyDescent="0.3">
      <c r="A310" s="1" t="s">
        <v>1662</v>
      </c>
      <c r="B310" s="1" t="str">
        <v>50 SCOTTS ROAD</v>
      </c>
      <c r="K310" s="6"/>
      <c r="L310" s="6"/>
      <c r="M310" s="7"/>
      <c r="U310" s="8"/>
      <c r="V310" s="8"/>
      <c r="W310" s="8"/>
      <c r="X310" s="9"/>
      <c r="Y310" s="6"/>
      <c r="Z310" s="8"/>
    </row>
    <row r="311" spans="1:26" x14ac:dyDescent="0.3">
      <c r="A311" s="1" t="s">
        <v>1663</v>
      </c>
      <c r="B311" s="1" t="str">
        <v>21 JURONG EAST CENTRAL 1</v>
      </c>
      <c r="K311" s="6"/>
      <c r="L311" s="6"/>
      <c r="M311" s="7"/>
      <c r="U311" s="8"/>
      <c r="V311" s="8"/>
      <c r="W311" s="8"/>
      <c r="X311" s="9"/>
      <c r="Y311" s="6"/>
      <c r="Z311" s="8"/>
    </row>
    <row r="312" spans="1:26" x14ac:dyDescent="0.3">
      <c r="A312" s="1" t="s">
        <v>557</v>
      </c>
      <c r="B312" s="1" t="str">
        <v>INCOME CENTRE</v>
      </c>
      <c r="K312" s="6"/>
      <c r="L312" s="6"/>
      <c r="M312" s="7"/>
      <c r="U312" s="8"/>
      <c r="V312" s="8"/>
      <c r="W312" s="8"/>
      <c r="X312" s="9"/>
      <c r="Y312" s="6"/>
      <c r="Z312" s="8"/>
    </row>
    <row r="313" spans="1:26" x14ac:dyDescent="0.3">
      <c r="A313" s="1" t="s">
        <v>1470</v>
      </c>
      <c r="B313" s="1" t="str">
        <v>SIF BUILDING</v>
      </c>
      <c r="K313" s="6"/>
      <c r="L313" s="6"/>
      <c r="M313" s="7"/>
      <c r="U313" s="8"/>
      <c r="V313" s="8"/>
      <c r="W313" s="8"/>
      <c r="X313" s="9"/>
      <c r="Y313" s="6"/>
      <c r="Z313" s="8"/>
    </row>
    <row r="314" spans="1:26" x14ac:dyDescent="0.3">
      <c r="A314" s="1" t="s">
        <v>26</v>
      </c>
      <c r="B314" s="1" t="str">
        <v>HPL HOUSE</v>
      </c>
      <c r="K314" s="6"/>
      <c r="L314" s="6"/>
      <c r="M314" s="7"/>
      <c r="U314" s="8"/>
      <c r="V314" s="8"/>
      <c r="W314" s="8"/>
      <c r="X314" s="9"/>
      <c r="Y314" s="6"/>
      <c r="Z314" s="8"/>
    </row>
    <row r="315" spans="1:26" x14ac:dyDescent="0.3">
      <c r="A315" s="1" t="s">
        <v>995</v>
      </c>
      <c r="B315" s="1" t="str">
        <v>ARC 380</v>
      </c>
      <c r="K315" s="6"/>
      <c r="L315" s="6"/>
      <c r="M315" s="7"/>
      <c r="U315" s="8"/>
      <c r="V315" s="8"/>
      <c r="W315" s="8"/>
      <c r="X315" s="9"/>
      <c r="Y315" s="6"/>
      <c r="Z315" s="8"/>
    </row>
    <row r="316" spans="1:26" x14ac:dyDescent="0.3">
      <c r="A316" s="1" t="s">
        <v>803</v>
      </c>
      <c r="B316" s="1" t="str">
        <v>SINGAPORE POOLS BUILDING</v>
      </c>
      <c r="K316" s="6"/>
      <c r="L316" s="6"/>
      <c r="M316" s="7"/>
      <c r="U316" s="8"/>
      <c r="V316" s="8"/>
      <c r="W316" s="8"/>
      <c r="X316" s="9"/>
      <c r="Y316" s="6"/>
      <c r="Z316" s="8"/>
    </row>
    <row r="317" spans="1:26" x14ac:dyDescent="0.3">
      <c r="A317" s="1" t="s">
        <v>1301</v>
      </c>
      <c r="B317" s="1" t="str">
        <v>BURLINGTON SQUARE</v>
      </c>
      <c r="K317" s="6"/>
      <c r="L317" s="6"/>
      <c r="M317" s="7"/>
      <c r="U317" s="8"/>
      <c r="V317" s="8"/>
      <c r="W317" s="8"/>
      <c r="X317" s="9"/>
      <c r="Y317" s="6"/>
      <c r="Z317" s="8"/>
    </row>
    <row r="318" spans="1:26" x14ac:dyDescent="0.3">
      <c r="A318" s="1" t="s">
        <v>71</v>
      </c>
      <c r="B318" s="1" t="str">
        <v>PIL BUILDING</v>
      </c>
      <c r="K318" s="6"/>
      <c r="L318" s="6"/>
      <c r="M318" s="7"/>
      <c r="U318" s="8"/>
      <c r="V318" s="8"/>
      <c r="W318" s="8"/>
      <c r="X318" s="9"/>
      <c r="Y318" s="6"/>
      <c r="Z318" s="8"/>
    </row>
    <row r="319" spans="1:26" x14ac:dyDescent="0.3">
      <c r="A319" s="1" t="s">
        <v>1318</v>
      </c>
      <c r="B319" s="1" t="str">
        <v>OCBC TAMPINES CENTRE ONE</v>
      </c>
      <c r="K319" s="6"/>
      <c r="L319" s="6"/>
      <c r="M319" s="7"/>
      <c r="U319" s="8"/>
      <c r="V319" s="8"/>
      <c r="W319" s="8"/>
      <c r="X319" s="9"/>
      <c r="Y319" s="6"/>
      <c r="Z319" s="8"/>
    </row>
    <row r="320" spans="1:26" x14ac:dyDescent="0.3">
      <c r="A320" s="1" t="s">
        <v>543</v>
      </c>
      <c r="B320" s="1" t="str">
        <v>IOB BUILDING</v>
      </c>
      <c r="K320" s="6"/>
      <c r="L320" s="6"/>
      <c r="M320" s="7"/>
      <c r="U320" s="8"/>
      <c r="V320" s="8"/>
      <c r="W320" s="8"/>
      <c r="X320" s="9"/>
      <c r="Y320" s="6"/>
      <c r="Z320" s="8"/>
    </row>
    <row r="321" spans="1:26" x14ac:dyDescent="0.3">
      <c r="A321" s="1" t="s">
        <v>1299</v>
      </c>
      <c r="B321" s="1" t="str">
        <v>NEW BRIDGE CENTRE</v>
      </c>
      <c r="K321" s="6"/>
      <c r="L321" s="6"/>
      <c r="M321" s="7"/>
      <c r="U321" s="8"/>
      <c r="V321" s="8"/>
      <c r="W321" s="8"/>
      <c r="X321" s="9"/>
      <c r="Y321" s="6"/>
      <c r="Z321" s="8"/>
    </row>
    <row r="322" spans="1:26" x14ac:dyDescent="0.3">
      <c r="A322" s="1" t="s">
        <v>65</v>
      </c>
      <c r="B322" s="1" t="str">
        <v>TAN CHONG TOWER</v>
      </c>
      <c r="K322" s="6"/>
      <c r="L322" s="6"/>
      <c r="M322" s="7"/>
      <c r="U322" s="8"/>
      <c r="V322" s="8"/>
      <c r="W322" s="8"/>
      <c r="X322" s="9"/>
      <c r="Y322" s="6"/>
      <c r="Z322" s="8"/>
    </row>
    <row r="323" spans="1:26" x14ac:dyDescent="0.3">
      <c r="A323" s="1" t="s">
        <v>1664</v>
      </c>
      <c r="B323" s="1" t="str">
        <v>2 LENGKOK BAHRU</v>
      </c>
      <c r="K323" s="6"/>
      <c r="L323" s="6"/>
      <c r="M323" s="7"/>
      <c r="U323" s="8"/>
      <c r="V323" s="8"/>
      <c r="W323" s="8"/>
      <c r="X323" s="9"/>
      <c r="Y323" s="6"/>
      <c r="Z323" s="8"/>
    </row>
    <row r="324" spans="1:26" x14ac:dyDescent="0.3">
      <c r="A324" s="1" t="s">
        <v>1665</v>
      </c>
      <c r="B324" s="1" t="str">
        <v>93 HOUGANG AVENUE 4</v>
      </c>
      <c r="K324" s="6"/>
      <c r="L324" s="6"/>
      <c r="M324" s="7"/>
      <c r="U324" s="8"/>
      <c r="V324" s="8"/>
      <c r="W324" s="8"/>
      <c r="X324" s="9"/>
      <c r="Y324" s="6"/>
      <c r="Z324" s="8"/>
    </row>
    <row r="325" spans="1:26" x14ac:dyDescent="0.3">
      <c r="A325" s="1" t="s">
        <v>709</v>
      </c>
      <c r="B325" s="1" t="str">
        <v>BEA BUILDING</v>
      </c>
      <c r="K325" s="6"/>
      <c r="L325" s="6"/>
      <c r="M325" s="7"/>
      <c r="U325" s="8"/>
      <c r="V325" s="8"/>
      <c r="W325" s="8"/>
      <c r="X325" s="9"/>
      <c r="Y325" s="6"/>
      <c r="Z325" s="8"/>
    </row>
    <row r="326" spans="1:26" x14ac:dyDescent="0.3">
      <c r="A326" s="1" t="s">
        <v>1320</v>
      </c>
      <c r="B326" s="1" t="str">
        <v>OCBC TAMPINES CENTRE TWO</v>
      </c>
      <c r="K326" s="6"/>
      <c r="L326" s="6"/>
      <c r="M326" s="7"/>
      <c r="U326" s="8"/>
      <c r="V326" s="8"/>
      <c r="W326" s="8"/>
      <c r="X326" s="9"/>
      <c r="Y326" s="6"/>
      <c r="Z326" s="8"/>
    </row>
    <row r="327" spans="1:26" x14ac:dyDescent="0.3">
      <c r="A327" s="1" t="s">
        <v>283</v>
      </c>
      <c r="B327" s="1" t="str">
        <v>THE CRIMSON</v>
      </c>
      <c r="K327" s="6"/>
      <c r="L327" s="6"/>
      <c r="M327" s="7"/>
      <c r="U327" s="8"/>
      <c r="V327" s="8"/>
      <c r="W327" s="8"/>
      <c r="X327" s="9"/>
      <c r="Y327" s="6"/>
      <c r="Z327" s="8"/>
    </row>
    <row r="328" spans="1:26" x14ac:dyDescent="0.3">
      <c r="A328" s="1" t="s">
        <v>1666</v>
      </c>
      <c r="B328" s="1" t="str">
        <v>8 ANTHONY ROAD</v>
      </c>
      <c r="K328" s="6"/>
      <c r="L328" s="6"/>
      <c r="M328" s="7"/>
      <c r="U328" s="8"/>
      <c r="V328" s="8"/>
      <c r="W328" s="8"/>
      <c r="X328" s="9"/>
      <c r="Y328" s="6"/>
      <c r="Z328" s="8"/>
    </row>
    <row r="329" spans="1:26" x14ac:dyDescent="0.3">
      <c r="A329" s="1" t="s">
        <v>362</v>
      </c>
      <c r="B329" s="1" t="str">
        <v>LAND TRANSPORT AUTHORITY</v>
      </c>
      <c r="K329" s="6"/>
      <c r="L329" s="6"/>
      <c r="M329" s="7"/>
      <c r="U329" s="8"/>
      <c r="V329" s="8"/>
      <c r="W329" s="8"/>
      <c r="X329" s="9"/>
      <c r="Y329" s="6"/>
      <c r="Z329" s="8"/>
    </row>
    <row r="330" spans="1:26" x14ac:dyDescent="0.3">
      <c r="A330" s="1" t="s">
        <v>1388</v>
      </c>
      <c r="B330" s="1" t="str">
        <v>GUTHRIE HOUSE</v>
      </c>
      <c r="K330" s="6"/>
      <c r="L330" s="6"/>
      <c r="M330" s="7"/>
      <c r="U330" s="8"/>
      <c r="V330" s="8"/>
      <c r="W330" s="8"/>
      <c r="X330" s="9"/>
      <c r="Y330" s="6"/>
      <c r="Z330" s="8"/>
    </row>
    <row r="331" spans="1:26" x14ac:dyDescent="0.3">
      <c r="A331" s="1" t="s">
        <v>406</v>
      </c>
      <c r="B331" s="1" t="str">
        <v>MAYBANK TOWER</v>
      </c>
      <c r="K331" s="6"/>
      <c r="L331" s="6"/>
      <c r="M331" s="7"/>
      <c r="U331" s="8"/>
      <c r="V331" s="8"/>
      <c r="W331" s="8"/>
      <c r="X331" s="9"/>
      <c r="Y331" s="6"/>
      <c r="Z331" s="8"/>
    </row>
    <row r="332" spans="1:26" x14ac:dyDescent="0.3">
      <c r="A332" s="1" t="s">
        <v>764</v>
      </c>
      <c r="B332" s="1" t="str">
        <v>THE CAVENDISH</v>
      </c>
      <c r="K332" s="6"/>
      <c r="L332" s="6"/>
      <c r="M332" s="7"/>
      <c r="U332" s="8"/>
      <c r="V332" s="8"/>
      <c r="W332" s="8"/>
      <c r="X332" s="9"/>
      <c r="Y332" s="6"/>
      <c r="Z332" s="8"/>
    </row>
    <row r="333" spans="1:26" x14ac:dyDescent="0.3">
      <c r="A333" s="1" t="s">
        <v>1465</v>
      </c>
      <c r="B333" s="1" t="str">
        <v>NEW WORLD CENTRE</v>
      </c>
      <c r="K333" s="6"/>
      <c r="L333" s="6"/>
      <c r="M333" s="7"/>
      <c r="U333" s="8"/>
      <c r="V333" s="8"/>
      <c r="W333" s="8"/>
      <c r="X333" s="9"/>
      <c r="Y333" s="6"/>
      <c r="Z333" s="8"/>
    </row>
    <row r="334" spans="1:26" x14ac:dyDescent="0.3">
      <c r="A334" s="1" t="s">
        <v>293</v>
      </c>
      <c r="B334" s="1" t="str">
        <v>OCBC CENTRE SOUTH</v>
      </c>
      <c r="K334" s="6"/>
      <c r="L334" s="6"/>
      <c r="M334" s="7"/>
      <c r="U334" s="8"/>
      <c r="V334" s="8"/>
      <c r="W334" s="8"/>
      <c r="X334" s="9"/>
      <c r="Y334" s="6"/>
      <c r="Z334" s="8"/>
    </row>
    <row r="335" spans="1:26" x14ac:dyDescent="0.3">
      <c r="A335" s="1" t="s">
        <v>525</v>
      </c>
      <c r="B335" s="1" t="str">
        <v>SUNSHINE PLAZA</v>
      </c>
      <c r="K335" s="6"/>
      <c r="L335" s="6"/>
      <c r="M335" s="7"/>
      <c r="U335" s="8"/>
      <c r="V335" s="8"/>
      <c r="W335" s="8"/>
      <c r="X335" s="9"/>
      <c r="Y335" s="6"/>
      <c r="Z335" s="8"/>
    </row>
    <row r="336" spans="1:26" x14ac:dyDescent="0.3">
      <c r="A336" s="1" t="s">
        <v>651</v>
      </c>
      <c r="B336" s="1" t="str">
        <v>NATIONAL ARCHIVES OF SINGAPORE</v>
      </c>
      <c r="K336" s="6"/>
      <c r="L336" s="6"/>
      <c r="M336" s="7"/>
      <c r="U336" s="8"/>
      <c r="V336" s="8"/>
      <c r="W336" s="8"/>
      <c r="X336" s="9"/>
      <c r="Y336" s="6"/>
      <c r="Z336" s="8"/>
    </row>
    <row r="337" spans="1:26" x14ac:dyDescent="0.3">
      <c r="A337" s="1" t="s">
        <v>144</v>
      </c>
      <c r="B337" s="1" t="str">
        <v>CPF BISHAN BUILDING</v>
      </c>
      <c r="K337" s="6"/>
      <c r="L337" s="6"/>
      <c r="M337" s="7"/>
      <c r="U337" s="8"/>
      <c r="V337" s="8"/>
      <c r="W337" s="8"/>
      <c r="X337" s="9"/>
      <c r="Y337" s="6"/>
      <c r="Z337" s="8"/>
    </row>
    <row r="338" spans="1:26" x14ac:dyDescent="0.3">
      <c r="A338" s="1" t="s">
        <v>316</v>
      </c>
      <c r="B338" s="1" t="str">
        <v>MIWORLD</v>
      </c>
      <c r="K338" s="6"/>
      <c r="L338" s="6"/>
      <c r="M338" s="7"/>
      <c r="U338" s="8"/>
      <c r="V338" s="8"/>
      <c r="W338" s="8"/>
      <c r="X338" s="9"/>
      <c r="Y338" s="6"/>
      <c r="Z338" s="8"/>
    </row>
    <row r="339" spans="1:26" x14ac:dyDescent="0.3">
      <c r="A339" s="1" t="s">
        <v>1258</v>
      </c>
      <c r="B339" s="1" t="str">
        <v>THE ARIES</v>
      </c>
      <c r="K339" s="6"/>
      <c r="L339" s="6"/>
      <c r="M339" s="7"/>
      <c r="U339" s="8"/>
      <c r="V339" s="8"/>
      <c r="W339" s="8"/>
      <c r="X339" s="9"/>
      <c r="Y339" s="6"/>
      <c r="Z339" s="8"/>
    </row>
    <row r="340" spans="1:26" x14ac:dyDescent="0.3">
      <c r="A340" s="1" t="s">
        <v>613</v>
      </c>
      <c r="B340" s="1" t="str">
        <v>HI-P BUILDING</v>
      </c>
      <c r="K340" s="6"/>
      <c r="L340" s="6"/>
      <c r="M340" s="7"/>
      <c r="U340" s="8"/>
      <c r="V340" s="8"/>
      <c r="W340" s="8"/>
      <c r="X340" s="9"/>
      <c r="Y340" s="6"/>
      <c r="Z340" s="8"/>
    </row>
    <row r="341" spans="1:26" x14ac:dyDescent="0.3">
      <c r="A341" s="1" t="s">
        <v>1667</v>
      </c>
      <c r="B341" s="1" t="str">
        <v>8 INTERNATIONAL BUSINESS PARK</v>
      </c>
      <c r="K341" s="6"/>
      <c r="L341" s="6"/>
      <c r="M341" s="7"/>
      <c r="U341" s="8"/>
      <c r="V341" s="8"/>
      <c r="W341" s="8"/>
      <c r="X341" s="9"/>
      <c r="Y341" s="6"/>
      <c r="Z341" s="8"/>
    </row>
    <row r="342" spans="1:26" x14ac:dyDescent="0.3">
      <c r="A342" s="1" t="s">
        <v>1668</v>
      </c>
      <c r="B342" s="1" t="str">
        <v>10 INTERNATIONAL BUSINESS PARK</v>
      </c>
      <c r="K342" s="6"/>
      <c r="L342" s="6"/>
      <c r="M342" s="7"/>
      <c r="U342" s="8"/>
      <c r="V342" s="8"/>
      <c r="W342" s="8"/>
      <c r="X342" s="9"/>
      <c r="Y342" s="6"/>
      <c r="Z342" s="8"/>
    </row>
    <row r="343" spans="1:26" x14ac:dyDescent="0.3">
      <c r="A343" s="1" t="s">
        <v>1456</v>
      </c>
      <c r="B343" s="1" t="str">
        <v>UOB TAMPINES CENTRE</v>
      </c>
      <c r="K343" s="6"/>
      <c r="L343" s="6"/>
      <c r="M343" s="7"/>
      <c r="U343" s="8"/>
      <c r="V343" s="8"/>
      <c r="W343" s="8"/>
      <c r="X343" s="9"/>
      <c r="Y343" s="6"/>
      <c r="Z343" s="8"/>
    </row>
    <row r="344" spans="1:26" x14ac:dyDescent="0.3">
      <c r="A344" s="1" t="s">
        <v>1425</v>
      </c>
      <c r="B344" s="1" t="str">
        <v>CHANGI COVE</v>
      </c>
      <c r="K344" s="6"/>
      <c r="L344" s="6"/>
      <c r="M344" s="7"/>
      <c r="U344" s="8"/>
      <c r="V344" s="8"/>
      <c r="W344" s="8"/>
      <c r="X344" s="9"/>
      <c r="Y344" s="6"/>
      <c r="Z344" s="8"/>
    </row>
    <row r="345" spans="1:26" x14ac:dyDescent="0.3">
      <c r="A345" s="1" t="s">
        <v>211</v>
      </c>
      <c r="B345" s="1" t="str">
        <v>RELC BUILDING</v>
      </c>
      <c r="K345" s="6"/>
      <c r="L345" s="6"/>
      <c r="M345" s="7"/>
      <c r="U345" s="8"/>
      <c r="V345" s="8"/>
      <c r="W345" s="8"/>
      <c r="X345" s="9"/>
      <c r="Y345" s="6"/>
      <c r="Z345" s="8"/>
    </row>
    <row r="346" spans="1:26" x14ac:dyDescent="0.3">
      <c r="A346" s="1" t="s">
        <v>728</v>
      </c>
      <c r="B346" s="1" t="str">
        <v>ALEXANDRA CENTRAL</v>
      </c>
      <c r="K346" s="6"/>
      <c r="L346" s="6"/>
      <c r="M346" s="7"/>
      <c r="U346" s="8"/>
      <c r="V346" s="8"/>
      <c r="W346" s="8"/>
      <c r="X346" s="9"/>
      <c r="Y346" s="6"/>
      <c r="Z346" s="8"/>
    </row>
    <row r="347" spans="1:26" x14ac:dyDescent="0.3">
      <c r="A347" s="1" t="s">
        <v>620</v>
      </c>
      <c r="B347" s="1" t="str">
        <v>YORK HOTEL</v>
      </c>
      <c r="K347" s="6"/>
      <c r="L347" s="6"/>
      <c r="M347" s="7"/>
      <c r="U347" s="8"/>
      <c r="V347" s="8"/>
      <c r="W347" s="8"/>
      <c r="X347" s="9"/>
      <c r="Y347" s="6"/>
      <c r="Z347" s="8"/>
    </row>
    <row r="348" spans="1:26" x14ac:dyDescent="0.3">
      <c r="A348" s="1" t="s">
        <v>1108</v>
      </c>
      <c r="B348" s="1" t="str">
        <v>BENCOOLEN RESIDENCES</v>
      </c>
      <c r="K348" s="6"/>
      <c r="L348" s="6"/>
      <c r="M348" s="7"/>
      <c r="U348" s="8"/>
      <c r="V348" s="8"/>
      <c r="W348" s="8"/>
      <c r="X348" s="9"/>
      <c r="Y348" s="6"/>
      <c r="Z348" s="8"/>
    </row>
    <row r="349" spans="1:26" x14ac:dyDescent="0.3">
      <c r="A349" s="1" t="s">
        <v>1042</v>
      </c>
      <c r="B349" s="1" t="str">
        <v>METRO-Y STEVENS</v>
      </c>
      <c r="K349" s="6"/>
      <c r="L349" s="6"/>
      <c r="M349" s="7"/>
      <c r="U349" s="8"/>
      <c r="V349" s="8"/>
      <c r="W349" s="8"/>
      <c r="X349" s="9"/>
      <c r="Y349" s="6"/>
      <c r="Z349" s="8"/>
    </row>
    <row r="350" spans="1:26" x14ac:dyDescent="0.3">
      <c r="A350" s="1" t="s">
        <v>192</v>
      </c>
      <c r="B350" s="1" t="str">
        <v>30 BENCOOLEN</v>
      </c>
      <c r="K350" s="6"/>
      <c r="L350" s="6"/>
      <c r="M350" s="7"/>
      <c r="U350" s="8"/>
      <c r="V350" s="8"/>
      <c r="W350" s="8"/>
      <c r="X350" s="9"/>
      <c r="Y350" s="6"/>
      <c r="Z350" s="8"/>
    </row>
    <row r="351" spans="1:26" x14ac:dyDescent="0.3">
      <c r="A351" s="1" t="s">
        <v>258</v>
      </c>
      <c r="B351" s="1" t="str">
        <v>CENTRAL SQUARE</v>
      </c>
      <c r="K351" s="6"/>
      <c r="L351" s="6"/>
      <c r="M351" s="7"/>
      <c r="U351" s="8"/>
      <c r="V351" s="8"/>
      <c r="W351" s="8"/>
      <c r="X351" s="9"/>
      <c r="Y351" s="6"/>
      <c r="Z351" s="8"/>
    </row>
    <row r="352" spans="1:26" x14ac:dyDescent="0.3">
      <c r="A352" s="1" t="s">
        <v>895</v>
      </c>
      <c r="B352" s="1" t="str">
        <v>CAPRI BY FRASER CHINA SQUARE, SINGAPORE</v>
      </c>
      <c r="K352" s="6"/>
      <c r="L352" s="6"/>
      <c r="M352" s="7"/>
      <c r="U352" s="8"/>
      <c r="V352" s="8"/>
      <c r="W352" s="8"/>
      <c r="X352" s="9"/>
      <c r="Y352" s="6"/>
      <c r="Z352" s="8"/>
    </row>
    <row r="353" spans="1:26" x14ac:dyDescent="0.3">
      <c r="A353" s="1" t="s">
        <v>222</v>
      </c>
      <c r="B353" s="1" t="str">
        <v>GRAND PARK CITY HALL</v>
      </c>
      <c r="K353" s="6"/>
      <c r="L353" s="6"/>
      <c r="M353" s="7"/>
      <c r="U353" s="8"/>
      <c r="V353" s="8"/>
      <c r="W353" s="8"/>
      <c r="X353" s="9"/>
      <c r="Y353" s="6"/>
      <c r="Z353" s="8"/>
    </row>
    <row r="354" spans="1:26" x14ac:dyDescent="0.3">
      <c r="A354" s="1" t="s">
        <v>100</v>
      </c>
      <c r="B354" s="1" t="str">
        <v>HOTEL MIRAMAR</v>
      </c>
      <c r="K354" s="6"/>
      <c r="L354" s="6"/>
      <c r="M354" s="7"/>
      <c r="U354" s="8"/>
      <c r="V354" s="8"/>
      <c r="W354" s="8"/>
      <c r="X354" s="9"/>
      <c r="Y354" s="6"/>
      <c r="Z354" s="8"/>
    </row>
    <row r="355" spans="1:26" x14ac:dyDescent="0.3">
      <c r="A355" s="1" t="s">
        <v>1002</v>
      </c>
      <c r="B355" s="1" t="str">
        <v>VILLAGE HOTEL CHANGI</v>
      </c>
      <c r="K355" s="6"/>
      <c r="L355" s="6"/>
      <c r="M355" s="7"/>
      <c r="U355" s="8"/>
      <c r="V355" s="8"/>
      <c r="W355" s="8"/>
      <c r="X355" s="9"/>
      <c r="Y355" s="6"/>
      <c r="Z355" s="8"/>
    </row>
    <row r="356" spans="1:26" x14ac:dyDescent="0.3">
      <c r="A356" s="1" t="s">
        <v>1125</v>
      </c>
      <c r="B356" s="1" t="str">
        <v>HOTEL GRAND PACIFIC</v>
      </c>
      <c r="K356" s="6"/>
      <c r="L356" s="6"/>
      <c r="M356" s="7"/>
      <c r="U356" s="8"/>
      <c r="V356" s="8"/>
      <c r="W356" s="8"/>
      <c r="X356" s="9"/>
      <c r="Y356" s="6"/>
      <c r="Z356" s="8"/>
    </row>
    <row r="357" spans="1:26" x14ac:dyDescent="0.3">
      <c r="A357" s="1" t="s">
        <v>474</v>
      </c>
      <c r="B357" s="1" t="str">
        <v>PARKROYAL ON KITCHENER ROAD</v>
      </c>
      <c r="K357" s="6"/>
      <c r="L357" s="6"/>
      <c r="M357" s="7"/>
      <c r="U357" s="8"/>
      <c r="V357" s="8"/>
      <c r="W357" s="8"/>
      <c r="X357" s="9"/>
      <c r="Y357" s="6"/>
      <c r="Z357" s="8"/>
    </row>
    <row r="358" spans="1:26" x14ac:dyDescent="0.3">
      <c r="A358" s="1" t="s">
        <v>272</v>
      </c>
      <c r="B358" s="1" t="str">
        <v>GRAND HYATT SINGAPORE</v>
      </c>
      <c r="K358" s="6"/>
      <c r="L358" s="6"/>
      <c r="M358" s="7"/>
      <c r="U358" s="8"/>
      <c r="V358" s="8"/>
      <c r="W358" s="8"/>
      <c r="X358" s="9"/>
      <c r="Y358" s="6"/>
      <c r="Z358" s="8"/>
    </row>
    <row r="359" spans="1:26" x14ac:dyDescent="0.3">
      <c r="A359" s="1" t="s">
        <v>1046</v>
      </c>
      <c r="B359" s="1" t="str">
        <v>SWISSOTEL MERCHANT COURT SINGAPORE</v>
      </c>
      <c r="K359" s="6"/>
      <c r="L359" s="6"/>
      <c r="M359" s="7"/>
      <c r="U359" s="8"/>
      <c r="V359" s="8"/>
      <c r="W359" s="8"/>
      <c r="X359" s="9"/>
      <c r="Y359" s="6"/>
      <c r="Z359" s="8"/>
    </row>
    <row r="360" spans="1:26" x14ac:dyDescent="0.3">
      <c r="A360" s="1" t="s">
        <v>161</v>
      </c>
      <c r="B360" s="1" t="str">
        <v>MANDARIN ORCHARD SINGAPORE</v>
      </c>
      <c r="K360" s="6"/>
      <c r="L360" s="6"/>
      <c r="M360" s="7"/>
      <c r="U360" s="8"/>
      <c r="V360" s="8"/>
      <c r="W360" s="8"/>
      <c r="X360" s="9"/>
      <c r="Y360" s="6"/>
      <c r="Z360" s="8"/>
    </row>
    <row r="361" spans="1:26" x14ac:dyDescent="0.3">
      <c r="A361" s="1" t="s">
        <v>412</v>
      </c>
      <c r="B361" s="1" t="str">
        <v>M HOTEL</v>
      </c>
      <c r="K361" s="6"/>
      <c r="L361" s="6"/>
      <c r="M361" s="7"/>
      <c r="U361" s="8"/>
      <c r="V361" s="8"/>
      <c r="W361" s="8"/>
      <c r="X361" s="9"/>
      <c r="Y361" s="6"/>
      <c r="Z361" s="8"/>
    </row>
    <row r="362" spans="1:26" x14ac:dyDescent="0.3">
      <c r="A362" s="1" t="s">
        <v>1230</v>
      </c>
      <c r="B362" s="1" t="str">
        <v>QUALITY HOTEL MARLOW</v>
      </c>
      <c r="K362" s="6"/>
      <c r="L362" s="6"/>
      <c r="M362" s="7"/>
      <c r="U362" s="8"/>
      <c r="V362" s="8"/>
      <c r="W362" s="8"/>
      <c r="X362" s="9"/>
      <c r="Y362" s="6"/>
      <c r="Z362" s="8"/>
    </row>
    <row r="363" spans="1:26" x14ac:dyDescent="0.3">
      <c r="A363" s="1" t="s">
        <v>1157</v>
      </c>
      <c r="B363" s="1" t="str">
        <v>FURAMA CITY CENTRE SINGAPORE</v>
      </c>
      <c r="K363" s="6"/>
      <c r="L363" s="6"/>
      <c r="M363" s="7"/>
      <c r="U363" s="8"/>
      <c r="V363" s="8"/>
      <c r="W363" s="8"/>
      <c r="X363" s="9"/>
      <c r="Y363" s="6"/>
      <c r="Z363" s="8"/>
    </row>
    <row r="364" spans="1:26" x14ac:dyDescent="0.3">
      <c r="A364" s="1" t="s">
        <v>605</v>
      </c>
      <c r="B364" s="1" t="str">
        <v>HOLIDAY INN EXPRESS SINGAPORE ORCHARD ROAD</v>
      </c>
      <c r="K364" s="6"/>
      <c r="L364" s="6"/>
      <c r="M364" s="7"/>
      <c r="U364" s="8"/>
      <c r="V364" s="8"/>
      <c r="W364" s="8"/>
      <c r="X364" s="9"/>
      <c r="Y364" s="6"/>
      <c r="Z364" s="8"/>
    </row>
    <row r="365" spans="1:26" x14ac:dyDescent="0.3">
      <c r="A365" s="1" t="s">
        <v>1033</v>
      </c>
      <c r="B365" s="1" t="str">
        <v>CROWNE PLAZA CHANGI AIRPORT</v>
      </c>
      <c r="K365" s="6"/>
      <c r="L365" s="6"/>
      <c r="M365" s="7"/>
      <c r="U365" s="8"/>
      <c r="V365" s="8"/>
      <c r="W365" s="8"/>
      <c r="X365" s="9"/>
      <c r="Y365" s="6"/>
      <c r="Z365" s="8"/>
    </row>
    <row r="366" spans="1:26" x14ac:dyDescent="0.3">
      <c r="A366" s="1" t="s">
        <v>530</v>
      </c>
      <c r="B366" s="1" t="str">
        <v>COPTHORNE KING'S HOTEL</v>
      </c>
      <c r="K366" s="6"/>
      <c r="L366" s="6"/>
      <c r="M366" s="7"/>
      <c r="U366" s="8"/>
      <c r="V366" s="8"/>
      <c r="W366" s="8"/>
      <c r="X366" s="9"/>
      <c r="Y366" s="6"/>
      <c r="Z366" s="8"/>
    </row>
    <row r="367" spans="1:26" x14ac:dyDescent="0.3">
      <c r="A367" s="1" t="s">
        <v>251</v>
      </c>
      <c r="B367" s="1" t="str">
        <v>CONCORDE SHOPPING CENTRE</v>
      </c>
      <c r="K367" s="6"/>
      <c r="L367" s="6"/>
      <c r="M367" s="7"/>
      <c r="U367" s="8"/>
      <c r="V367" s="8"/>
      <c r="W367" s="8"/>
      <c r="X367" s="9"/>
      <c r="Y367" s="6"/>
      <c r="Z367" s="8"/>
    </row>
    <row r="368" spans="1:26" x14ac:dyDescent="0.3">
      <c r="A368" s="1" t="s">
        <v>830</v>
      </c>
      <c r="B368" s="1" t="str">
        <v>GENTING HOTEL JURONG</v>
      </c>
      <c r="K368" s="6"/>
      <c r="L368" s="6"/>
      <c r="M368" s="7"/>
      <c r="U368" s="8"/>
      <c r="V368" s="8"/>
      <c r="W368" s="8"/>
      <c r="X368" s="9"/>
      <c r="Y368" s="6"/>
      <c r="Z368" s="8"/>
    </row>
    <row r="369" spans="1:26" x14ac:dyDescent="0.3">
      <c r="A369" s="1" t="s">
        <v>997</v>
      </c>
      <c r="B369" s="1" t="str">
        <v>VILLAGE HOTEL ALBERT COURT</v>
      </c>
      <c r="K369" s="6"/>
      <c r="L369" s="6"/>
      <c r="M369" s="7"/>
      <c r="U369" s="8"/>
      <c r="V369" s="8"/>
      <c r="W369" s="8"/>
      <c r="X369" s="9"/>
      <c r="Y369" s="6"/>
      <c r="Z369" s="8"/>
    </row>
    <row r="370" spans="1:26" x14ac:dyDescent="0.3">
      <c r="A370" s="1" t="s">
        <v>355</v>
      </c>
      <c r="B370" s="1" t="str">
        <v>KATONG SQUARE</v>
      </c>
      <c r="K370" s="6"/>
      <c r="L370" s="6"/>
      <c r="M370" s="7"/>
      <c r="U370" s="8"/>
      <c r="V370" s="8"/>
      <c r="W370" s="8"/>
      <c r="X370" s="9"/>
      <c r="Y370" s="6"/>
      <c r="Z370" s="8"/>
    </row>
    <row r="371" spans="1:26" x14ac:dyDescent="0.3">
      <c r="A371" s="1" t="s">
        <v>1549</v>
      </c>
      <c r="B371" s="1" t="str">
        <v>GRAND COPTHORNE WATERFRONT</v>
      </c>
      <c r="K371" s="6"/>
      <c r="L371" s="6"/>
      <c r="M371" s="7"/>
      <c r="U371" s="8"/>
      <c r="V371" s="8"/>
      <c r="W371" s="8"/>
      <c r="X371" s="9"/>
      <c r="Y371" s="6"/>
      <c r="Z371" s="8"/>
    </row>
    <row r="372" spans="1:26" x14ac:dyDescent="0.3">
      <c r="A372" s="1" t="s">
        <v>1041</v>
      </c>
      <c r="B372" s="1" t="str">
        <v>HOLIDAY INN SINGAPORE ORCHARD CITY CENTRE</v>
      </c>
      <c r="K372" s="6"/>
      <c r="L372" s="6"/>
      <c r="M372" s="7"/>
      <c r="U372" s="8"/>
      <c r="V372" s="8"/>
      <c r="W372" s="8"/>
      <c r="X372" s="9"/>
      <c r="Y372" s="6"/>
      <c r="Z372" s="8"/>
    </row>
    <row r="373" spans="1:26" x14ac:dyDescent="0.3">
      <c r="A373" s="1" t="s">
        <v>536</v>
      </c>
      <c r="B373" s="1" t="str">
        <v>ASCOTT SINGAPORE RAFFLES PLACE</v>
      </c>
      <c r="K373" s="6"/>
      <c r="L373" s="6"/>
      <c r="M373" s="7"/>
      <c r="U373" s="8"/>
      <c r="V373" s="8"/>
      <c r="W373" s="8"/>
      <c r="X373" s="9"/>
      <c r="Y373" s="6"/>
      <c r="Z373" s="8"/>
    </row>
    <row r="374" spans="1:26" x14ac:dyDescent="0.3">
      <c r="A374" s="1" t="s">
        <v>42</v>
      </c>
      <c r="B374" s="1" t="str">
        <v>HOTEL ROYAL @ QUEENS</v>
      </c>
      <c r="K374" s="6"/>
      <c r="L374" s="6"/>
      <c r="M374" s="7"/>
      <c r="U374" s="8"/>
      <c r="V374" s="8"/>
      <c r="W374" s="8"/>
      <c r="X374" s="9"/>
      <c r="Y374" s="6"/>
      <c r="Z374" s="8"/>
    </row>
    <row r="375" spans="1:26" x14ac:dyDescent="0.3">
      <c r="A375" s="1" t="s">
        <v>231</v>
      </c>
      <c r="B375" s="1" t="str">
        <v>ORCHARD RENDEZVOUS HOTEL, SINGAPORE</v>
      </c>
      <c r="K375" s="6"/>
      <c r="L375" s="6"/>
      <c r="M375" s="7"/>
      <c r="U375" s="8"/>
      <c r="V375" s="8"/>
      <c r="W375" s="8"/>
      <c r="X375" s="9"/>
      <c r="Y375" s="6"/>
      <c r="Z375" s="8"/>
    </row>
    <row r="376" spans="1:26" x14ac:dyDescent="0.3">
      <c r="A376" s="1" t="s">
        <v>1004</v>
      </c>
      <c r="B376" s="1" t="str">
        <v>VILLAGE HOTEL KATONG</v>
      </c>
      <c r="K376" s="6"/>
      <c r="L376" s="6"/>
      <c r="M376" s="7"/>
      <c r="U376" s="8"/>
      <c r="V376" s="8"/>
      <c r="W376" s="8"/>
      <c r="X376" s="9"/>
      <c r="Y376" s="6"/>
      <c r="Z376" s="8"/>
    </row>
    <row r="377" spans="1:26" x14ac:dyDescent="0.3">
      <c r="A377" s="1" t="s">
        <v>1669</v>
      </c>
      <c r="B377" s="1" t="str">
        <v>28 STEVENS ROAD</v>
      </c>
      <c r="K377" s="6"/>
      <c r="L377" s="6"/>
      <c r="M377" s="7"/>
      <c r="U377" s="8"/>
      <c r="V377" s="8"/>
      <c r="W377" s="8"/>
      <c r="X377" s="9"/>
      <c r="Y377" s="6"/>
      <c r="Z377" s="8"/>
    </row>
    <row r="378" spans="1:26" x14ac:dyDescent="0.3">
      <c r="A378" s="1" t="s">
        <v>958</v>
      </c>
      <c r="B378" s="1" t="str">
        <v>VILLAGE HOTEL BUGIS</v>
      </c>
      <c r="K378" s="6"/>
      <c r="L378" s="6"/>
      <c r="M378" s="7"/>
      <c r="U378" s="8"/>
      <c r="V378" s="8"/>
      <c r="W378" s="8"/>
      <c r="X378" s="9"/>
      <c r="Y378" s="6"/>
      <c r="Z378" s="8"/>
    </row>
    <row r="379" spans="1:26" x14ac:dyDescent="0.3">
      <c r="A379" s="1" t="s">
        <v>321</v>
      </c>
      <c r="B379" s="1" t="str">
        <v>ORCHID HOTEL</v>
      </c>
      <c r="K379" s="6"/>
      <c r="L379" s="6"/>
      <c r="M379" s="7"/>
      <c r="U379" s="8"/>
      <c r="V379" s="8"/>
      <c r="W379" s="8"/>
      <c r="X379" s="9"/>
      <c r="Y379" s="6"/>
      <c r="Z379" s="8"/>
    </row>
    <row r="380" spans="1:26" x14ac:dyDescent="0.3">
      <c r="A380" s="1" t="s">
        <v>353</v>
      </c>
      <c r="B380" s="1" t="str">
        <v>8 ON CLAYMORE</v>
      </c>
      <c r="K380" s="6"/>
      <c r="L380" s="6"/>
      <c r="M380" s="7"/>
      <c r="U380" s="8"/>
      <c r="V380" s="8"/>
      <c r="W380" s="8"/>
      <c r="X380" s="9"/>
      <c r="Y380" s="6"/>
      <c r="Z380" s="8"/>
    </row>
    <row r="381" spans="1:26" x14ac:dyDescent="0.3">
      <c r="A381" s="1" t="s">
        <v>1670</v>
      </c>
      <c r="B381" s="1" t="str">
        <v>50 TIONG BAHRU ROAD</v>
      </c>
      <c r="K381" s="6"/>
      <c r="L381" s="6"/>
      <c r="M381" s="7"/>
      <c r="U381" s="8"/>
      <c r="V381" s="8"/>
      <c r="W381" s="8"/>
      <c r="X381" s="9"/>
      <c r="Y381" s="6"/>
      <c r="Z381" s="8"/>
    </row>
    <row r="382" spans="1:26" x14ac:dyDescent="0.3">
      <c r="A382" s="1" t="s">
        <v>1671</v>
      </c>
      <c r="B382" s="1" t="str">
        <v>51 IMBIAH WALK</v>
      </c>
      <c r="K382" s="6"/>
      <c r="L382" s="6"/>
      <c r="M382" s="7"/>
      <c r="U382" s="8"/>
      <c r="V382" s="8"/>
      <c r="W382" s="8"/>
      <c r="X382" s="9"/>
      <c r="Y382" s="6"/>
      <c r="Z382" s="8"/>
    </row>
    <row r="383" spans="1:26" x14ac:dyDescent="0.3">
      <c r="A383" s="1" t="s">
        <v>582</v>
      </c>
      <c r="B383" s="1" t="str">
        <v>JEN SINGAPORE TANGLIN BY SHANGRI-LA</v>
      </c>
      <c r="K383" s="6"/>
      <c r="L383" s="6"/>
      <c r="M383" s="7"/>
      <c r="U383" s="8"/>
      <c r="V383" s="8"/>
      <c r="W383" s="8"/>
      <c r="X383" s="9"/>
      <c r="Y383" s="6"/>
      <c r="Z383" s="8"/>
    </row>
    <row r="384" spans="1:26" x14ac:dyDescent="0.3">
      <c r="A384" s="1" t="s">
        <v>513</v>
      </c>
      <c r="B384" s="1" t="str">
        <v>SINGAPORE MARRIOTT TANG PLAZA HOTEL</v>
      </c>
      <c r="K384" s="6"/>
      <c r="L384" s="6"/>
      <c r="U384" s="8"/>
      <c r="V384" s="8"/>
      <c r="W384" s="8"/>
      <c r="X384" s="9"/>
      <c r="Y384" s="6"/>
      <c r="Z384" s="8"/>
    </row>
    <row r="385" spans="1:26" x14ac:dyDescent="0.3">
      <c r="A385" s="1" t="s">
        <v>1672</v>
      </c>
      <c r="B385" s="1" t="str">
        <v>405 HAVELOCK ROAD</v>
      </c>
      <c r="K385" s="6"/>
      <c r="L385" s="6"/>
      <c r="U385" s="8"/>
      <c r="V385" s="8"/>
      <c r="W385" s="8"/>
      <c r="X385" s="9"/>
      <c r="Y385" s="6"/>
      <c r="Z385" s="8"/>
    </row>
    <row r="386" spans="1:26" x14ac:dyDescent="0.3">
      <c r="A386" s="1" t="s">
        <v>319</v>
      </c>
      <c r="B386" s="1" t="str">
        <v>CARLTON HOTEL</v>
      </c>
      <c r="K386" s="6"/>
      <c r="L386" s="6"/>
      <c r="U386" s="8"/>
      <c r="V386" s="8"/>
      <c r="W386" s="8"/>
      <c r="X386" s="9"/>
      <c r="Y386" s="6"/>
      <c r="Z386" s="8"/>
    </row>
    <row r="387" spans="1:26" x14ac:dyDescent="0.3">
      <c r="A387" s="1" t="s">
        <v>312</v>
      </c>
      <c r="B387" s="1" t="str">
        <v>HOTEL ROYAL</v>
      </c>
      <c r="K387" s="6"/>
      <c r="L387" s="6"/>
      <c r="U387" s="8"/>
      <c r="V387" s="8"/>
      <c r="W387" s="8"/>
      <c r="X387" s="9"/>
      <c r="Y387" s="6"/>
      <c r="Z387" s="8"/>
    </row>
    <row r="388" spans="1:26" x14ac:dyDescent="0.3">
      <c r="A388" s="1" t="s">
        <v>281</v>
      </c>
      <c r="B388" s="1" t="str">
        <v>HOLIDAY INN EXPRESS SINGAPORE CLARKE QUAY</v>
      </c>
      <c r="K388" s="6"/>
      <c r="L388" s="6"/>
      <c r="U388" s="8"/>
      <c r="V388" s="8"/>
      <c r="W388" s="8"/>
      <c r="X388" s="9"/>
      <c r="Y388" s="6"/>
      <c r="Z388" s="8"/>
    </row>
    <row r="389" spans="1:26" x14ac:dyDescent="0.3">
      <c r="A389" s="1" t="s">
        <v>1151</v>
      </c>
      <c r="B389" s="1" t="str">
        <v>LE MERIDIEN SINGAPORE, SENTOSA</v>
      </c>
      <c r="K389" s="6"/>
      <c r="L389" s="6"/>
      <c r="U389" s="8"/>
      <c r="V389" s="8"/>
      <c r="W389" s="8"/>
      <c r="X389" s="9"/>
      <c r="Y389" s="6"/>
      <c r="Z389" s="8"/>
    </row>
    <row r="390" spans="1:26" x14ac:dyDescent="0.3">
      <c r="A390" s="1" t="s">
        <v>1673</v>
      </c>
      <c r="B390" s="1" t="str">
        <v>1 LARKHILL ROAD</v>
      </c>
      <c r="K390" s="6"/>
      <c r="L390" s="6"/>
      <c r="U390" s="8"/>
      <c r="V390" s="8"/>
      <c r="W390" s="8"/>
      <c r="X390" s="9"/>
      <c r="Y390" s="6"/>
      <c r="Z390" s="8"/>
    </row>
    <row r="391" spans="1:26" x14ac:dyDescent="0.3">
      <c r="A391" s="1" t="s">
        <v>476</v>
      </c>
      <c r="B391" s="1" t="str">
        <v>GOODWOOD PARK HOTEL</v>
      </c>
      <c r="K391" s="6"/>
      <c r="L391" s="6"/>
      <c r="U391" s="8"/>
      <c r="V391" s="8"/>
      <c r="W391" s="8"/>
      <c r="X391" s="9"/>
      <c r="Y391" s="6"/>
      <c r="Z391" s="8"/>
    </row>
    <row r="392" spans="1:26" x14ac:dyDescent="0.3">
      <c r="A392" s="1" t="s">
        <v>635</v>
      </c>
      <c r="B392" s="1" t="str">
        <v>HOTEL BOSS</v>
      </c>
      <c r="K392" s="6"/>
      <c r="L392" s="6"/>
      <c r="U392" s="8"/>
      <c r="V392" s="8"/>
      <c r="W392" s="8"/>
      <c r="X392" s="9"/>
      <c r="Y392" s="6"/>
      <c r="Z392" s="8"/>
    </row>
    <row r="393" spans="1:26" x14ac:dyDescent="0.3">
      <c r="A393" s="1" t="s">
        <v>349</v>
      </c>
      <c r="B393" s="1" t="str">
        <v>FOUR POINTS BY SHERATON SINGAPORE, RIVERVIEW</v>
      </c>
      <c r="K393" s="6"/>
      <c r="L393" s="6"/>
      <c r="U393" s="8"/>
      <c r="V393" s="8"/>
      <c r="W393" s="8"/>
      <c r="X393" s="9"/>
      <c r="Y393" s="6"/>
      <c r="Z393" s="8"/>
    </row>
    <row r="394" spans="1:26" x14ac:dyDescent="0.3">
      <c r="A394" s="1" t="s">
        <v>1548</v>
      </c>
      <c r="B394" s="1" t="str">
        <v>SHANGRI-LA'S RASA SENTOSA RESORT &amp; SPA</v>
      </c>
      <c r="K394" s="6"/>
      <c r="L394" s="6"/>
      <c r="U394" s="8"/>
      <c r="V394" s="8"/>
      <c r="W394" s="8"/>
      <c r="X394" s="9"/>
      <c r="Y394" s="6"/>
      <c r="Z394" s="8"/>
    </row>
    <row r="395" spans="1:26" x14ac:dyDescent="0.3">
      <c r="A395" s="1" t="s">
        <v>1418</v>
      </c>
      <c r="B395" s="1" t="str">
        <v>THE REGENT SINGAPORE</v>
      </c>
      <c r="K395" s="6"/>
      <c r="L395" s="6"/>
      <c r="U395" s="8"/>
      <c r="V395" s="8"/>
      <c r="W395" s="8"/>
      <c r="X395" s="9"/>
      <c r="Y395" s="6"/>
      <c r="Z395" s="8"/>
    </row>
    <row r="396" spans="1:26" x14ac:dyDescent="0.3">
      <c r="A396" s="1" t="s">
        <v>637</v>
      </c>
      <c r="B396" s="1" t="str">
        <v>HOTEL MI</v>
      </c>
      <c r="K396" s="6"/>
      <c r="L396" s="6"/>
      <c r="U396" s="8"/>
      <c r="V396" s="8"/>
      <c r="W396" s="8"/>
      <c r="X396" s="9"/>
      <c r="Y396" s="6"/>
      <c r="Z396" s="8"/>
    </row>
    <row r="397" spans="1:26" x14ac:dyDescent="0.3">
      <c r="A397" s="1" t="s">
        <v>1674</v>
      </c>
      <c r="B397" s="1" t="str">
        <v>10 ARTILLERY AVENUE</v>
      </c>
      <c r="K397" s="6"/>
      <c r="L397" s="6"/>
      <c r="U397" s="8"/>
      <c r="V397" s="8"/>
      <c r="W397" s="8"/>
      <c r="X397" s="9"/>
      <c r="Y397" s="6"/>
      <c r="Z397" s="8"/>
    </row>
    <row r="398" spans="1:26" x14ac:dyDescent="0.3">
      <c r="A398" s="1" t="s">
        <v>189</v>
      </c>
      <c r="B398" s="1" t="str">
        <v>PARK REGIS SINGAPORE</v>
      </c>
      <c r="K398" s="6"/>
      <c r="L398" s="6"/>
      <c r="U398" s="8"/>
      <c r="V398" s="8"/>
      <c r="W398" s="8"/>
      <c r="X398" s="9"/>
      <c r="Y398" s="6"/>
      <c r="Z398" s="8"/>
    </row>
    <row r="399" spans="1:26" x14ac:dyDescent="0.3">
      <c r="A399" s="1" t="s">
        <v>646</v>
      </c>
      <c r="B399" s="1" t="str">
        <v>TRISTAR INN</v>
      </c>
      <c r="K399" s="6"/>
      <c r="L399" s="6"/>
      <c r="U399" s="8"/>
      <c r="V399" s="8"/>
      <c r="W399" s="8"/>
      <c r="X399" s="9"/>
      <c r="Y399" s="6"/>
      <c r="Z399" s="8"/>
    </row>
    <row r="400" spans="1:26" x14ac:dyDescent="0.3">
      <c r="A400" s="1" t="s">
        <v>757</v>
      </c>
      <c r="B400" s="1" t="str">
        <v>PARC SOVEREIGN HOTEL - TYRWHITT</v>
      </c>
      <c r="K400" s="6"/>
      <c r="L400" s="6"/>
      <c r="U400" s="8"/>
      <c r="V400" s="8"/>
      <c r="W400" s="8"/>
      <c r="X400" s="9"/>
      <c r="Y400" s="6"/>
      <c r="Z400" s="8"/>
    </row>
    <row r="401" spans="1:26" x14ac:dyDescent="0.3">
      <c r="A401" s="1" t="s">
        <v>825</v>
      </c>
      <c r="B401" s="1" t="str">
        <v>SHERATON TOWERS HOTEL</v>
      </c>
      <c r="K401" s="6"/>
      <c r="L401" s="6"/>
      <c r="U401" s="8"/>
      <c r="V401" s="8"/>
      <c r="W401" s="8"/>
      <c r="X401" s="9"/>
      <c r="Y401" s="6"/>
      <c r="Z401" s="8"/>
    </row>
    <row r="402" spans="1:26" x14ac:dyDescent="0.3">
      <c r="A402" s="1" t="s">
        <v>1268</v>
      </c>
      <c r="B402" s="1" t="str">
        <v>ROBERTSON WALK</v>
      </c>
      <c r="K402" s="6"/>
      <c r="L402" s="6"/>
      <c r="U402" s="8"/>
      <c r="V402" s="8"/>
      <c r="W402" s="8"/>
      <c r="X402" s="9"/>
      <c r="Y402" s="6"/>
      <c r="Z402" s="8"/>
    </row>
    <row r="403" spans="1:26" x14ac:dyDescent="0.3">
      <c r="A403" s="1" t="s">
        <v>808</v>
      </c>
      <c r="B403" s="1" t="str">
        <v>DORSETT SINGAPORE</v>
      </c>
      <c r="K403" s="6"/>
      <c r="L403" s="6"/>
      <c r="U403" s="8"/>
      <c r="V403" s="8"/>
      <c r="W403" s="8"/>
      <c r="X403" s="9"/>
      <c r="Y403" s="6"/>
      <c r="Z403" s="8"/>
    </row>
    <row r="404" spans="1:26" x14ac:dyDescent="0.3">
      <c r="A404" s="1" t="s">
        <v>1084</v>
      </c>
      <c r="B404" s="1" t="str">
        <v>CARLTON CITY SINGAPORE</v>
      </c>
      <c r="K404" s="6"/>
      <c r="L404" s="6"/>
      <c r="U404" s="8"/>
      <c r="V404" s="8"/>
      <c r="W404" s="8"/>
      <c r="X404" s="9"/>
      <c r="Y404" s="6"/>
      <c r="Z404" s="8"/>
    </row>
    <row r="405" spans="1:26" x14ac:dyDescent="0.3">
      <c r="A405" s="1" t="s">
        <v>1675</v>
      </c>
      <c r="B405" s="1" t="str">
        <v>96 SOMERSET ROAD</v>
      </c>
      <c r="K405" s="6"/>
      <c r="L405" s="6"/>
      <c r="U405" s="8"/>
      <c r="V405" s="8"/>
      <c r="W405" s="8"/>
      <c r="X405" s="9"/>
      <c r="Y405" s="6"/>
      <c r="Z405" s="8"/>
    </row>
    <row r="406" spans="1:26" x14ac:dyDescent="0.3">
      <c r="A406" s="1" t="s">
        <v>230</v>
      </c>
      <c r="B406" s="1" t="str">
        <v>THE ELIZABETH</v>
      </c>
      <c r="K406" s="6"/>
      <c r="L406" s="6"/>
      <c r="U406" s="8"/>
      <c r="V406" s="8"/>
      <c r="W406" s="8"/>
      <c r="X406" s="9"/>
      <c r="Y406" s="6"/>
      <c r="Z406" s="8"/>
    </row>
    <row r="407" spans="1:26" x14ac:dyDescent="0.3">
      <c r="A407" s="1" t="s">
        <v>226</v>
      </c>
      <c r="B407" s="1" t="str">
        <v>RENDEZVOUS HOTEL SINGAPORE</v>
      </c>
      <c r="K407" s="6"/>
      <c r="L407" s="6"/>
      <c r="U407" s="8"/>
      <c r="V407" s="8"/>
      <c r="W407" s="8"/>
      <c r="X407" s="9"/>
      <c r="Y407" s="6"/>
      <c r="Z407" s="8"/>
    </row>
    <row r="408" spans="1:26" x14ac:dyDescent="0.3">
      <c r="A408" s="1" t="s">
        <v>897</v>
      </c>
      <c r="B408" s="1" t="str">
        <v>CAPRI BY FRASER CHANGI CITY</v>
      </c>
      <c r="K408" s="6"/>
      <c r="L408" s="6"/>
      <c r="U408" s="8"/>
      <c r="V408" s="8"/>
      <c r="W408" s="8"/>
      <c r="X408" s="9"/>
      <c r="Y408" s="6"/>
      <c r="Z408" s="8"/>
    </row>
    <row r="409" spans="1:26" x14ac:dyDescent="0.3">
      <c r="A409" s="1" t="s">
        <v>575</v>
      </c>
      <c r="B409" s="1" t="str">
        <v>GRAND PARK ORCHARD</v>
      </c>
      <c r="K409" s="6"/>
      <c r="L409" s="6"/>
      <c r="U409" s="8"/>
      <c r="V409" s="8"/>
      <c r="W409" s="8"/>
      <c r="X409" s="9"/>
      <c r="Y409" s="6"/>
      <c r="Z409" s="8"/>
    </row>
    <row r="410" spans="1:26" x14ac:dyDescent="0.3">
      <c r="A410" s="1" t="s">
        <v>566</v>
      </c>
      <c r="B410" s="1" t="str">
        <v>FOUR SEASONS HOTEL</v>
      </c>
      <c r="K410" s="6"/>
      <c r="L410" s="6"/>
      <c r="U410" s="8"/>
      <c r="V410" s="8"/>
      <c r="W410" s="8"/>
      <c r="X410" s="9"/>
      <c r="Y410" s="6"/>
      <c r="Z410" s="8"/>
    </row>
    <row r="411" spans="1:26" x14ac:dyDescent="0.3">
      <c r="A411" s="1" t="s">
        <v>69</v>
      </c>
      <c r="B411" s="1" t="str">
        <v>RAFFLES HOTEL</v>
      </c>
      <c r="K411" s="6"/>
      <c r="L411" s="6"/>
      <c r="U411" s="8"/>
      <c r="V411" s="8"/>
      <c r="W411" s="8"/>
      <c r="X411" s="9"/>
      <c r="Y411" s="6"/>
      <c r="Z411" s="8"/>
    </row>
    <row r="412" spans="1:26" x14ac:dyDescent="0.3">
      <c r="A412" s="1" t="s">
        <v>369</v>
      </c>
      <c r="B412" s="1" t="str">
        <v>ORCHARD HOTEL SINGAPORE</v>
      </c>
      <c r="K412" s="6"/>
      <c r="L412" s="6"/>
      <c r="U412" s="8"/>
      <c r="V412" s="8"/>
      <c r="W412" s="8"/>
      <c r="X412" s="9"/>
      <c r="Y412" s="6"/>
      <c r="Z412" s="8"/>
    </row>
    <row r="413" spans="1:26" x14ac:dyDescent="0.3">
      <c r="A413" s="1" t="s">
        <v>267</v>
      </c>
      <c r="B413" s="1" t="str">
        <v>HOTEL FORT CANNING</v>
      </c>
      <c r="K413" s="6"/>
      <c r="L413" s="6"/>
      <c r="U413" s="8"/>
      <c r="V413" s="8"/>
      <c r="W413" s="8"/>
      <c r="X413" s="9"/>
      <c r="Y413" s="6"/>
      <c r="Z413" s="8"/>
    </row>
    <row r="414" spans="1:26" x14ac:dyDescent="0.3">
      <c r="A414" s="1" t="s">
        <v>220</v>
      </c>
      <c r="B414" s="1" t="str">
        <v>PARK HOTEL CLARKE QUAY</v>
      </c>
      <c r="K414" s="6"/>
      <c r="L414" s="6"/>
      <c r="U414" s="8"/>
      <c r="V414" s="8"/>
      <c r="W414" s="8"/>
      <c r="X414" s="9"/>
      <c r="Y414" s="6"/>
      <c r="Z414" s="8"/>
    </row>
    <row r="415" spans="1:26" x14ac:dyDescent="0.3">
      <c r="A415" s="1" t="s">
        <v>1676</v>
      </c>
      <c r="B415" s="1" t="str">
        <v>22 CAVENAGH ROAD</v>
      </c>
      <c r="K415" s="6"/>
      <c r="L415" s="6"/>
      <c r="U415" s="8"/>
      <c r="V415" s="8"/>
      <c r="W415" s="8"/>
      <c r="X415" s="9"/>
      <c r="Y415" s="6"/>
      <c r="Z415" s="8"/>
    </row>
    <row r="416" spans="1:26" x14ac:dyDescent="0.3">
      <c r="A416" s="1" t="s">
        <v>1554</v>
      </c>
      <c r="B416" s="1" t="str">
        <v>PS100</v>
      </c>
      <c r="K416" s="6"/>
      <c r="L416" s="6"/>
      <c r="U416" s="8"/>
      <c r="V416" s="8"/>
      <c r="W416" s="8"/>
      <c r="X416" s="9"/>
      <c r="Y416" s="6"/>
      <c r="Z416" s="8"/>
    </row>
    <row r="417" spans="1:26" x14ac:dyDescent="0.3">
      <c r="A417" s="1" t="s">
        <v>324</v>
      </c>
      <c r="B417" s="1" t="str">
        <v>HOTEL CHANCELLOR @ ORCHARD</v>
      </c>
      <c r="K417" s="6"/>
      <c r="L417" s="6"/>
      <c r="U417" s="8"/>
      <c r="V417" s="8"/>
      <c r="W417" s="8"/>
      <c r="X417" s="9"/>
      <c r="Y417" s="6"/>
      <c r="Z417" s="8"/>
    </row>
    <row r="418" spans="1:26" x14ac:dyDescent="0.3">
      <c r="A418" s="1" t="s">
        <v>184</v>
      </c>
      <c r="B418" s="1" t="str">
        <v>IBIS SINGAPORE NOVENA</v>
      </c>
      <c r="K418" s="6"/>
      <c r="L418" s="6"/>
      <c r="U418" s="8"/>
      <c r="V418" s="8"/>
      <c r="W418" s="8"/>
      <c r="X418" s="9"/>
      <c r="Y418" s="6"/>
      <c r="Z418" s="8"/>
    </row>
    <row r="419" spans="1:26" x14ac:dyDescent="0.3">
      <c r="A419" s="1" t="s">
        <v>1364</v>
      </c>
      <c r="B419" s="1" t="str">
        <v>HOTEL TRAVELTINE</v>
      </c>
      <c r="K419" s="6"/>
      <c r="L419" s="6"/>
      <c r="U419" s="8"/>
      <c r="V419" s="8"/>
      <c r="W419" s="8"/>
      <c r="X419" s="9"/>
      <c r="Y419" s="6"/>
      <c r="Z419" s="8"/>
    </row>
    <row r="420" spans="1:26" x14ac:dyDescent="0.3">
      <c r="A420" s="1" t="s">
        <v>1677</v>
      </c>
      <c r="B420" s="1" t="str">
        <v>1 THE KNOLLS</v>
      </c>
      <c r="K420" s="6"/>
      <c r="L420" s="6"/>
      <c r="U420" s="8"/>
      <c r="V420" s="8"/>
      <c r="W420" s="8"/>
      <c r="X420" s="9"/>
      <c r="Y420" s="6"/>
      <c r="Z420" s="8"/>
    </row>
    <row r="421" spans="1:26" x14ac:dyDescent="0.3">
      <c r="A421" s="1" t="s">
        <v>286</v>
      </c>
      <c r="B421" s="1" t="str">
        <v>SHANGRI-LA HOTEL</v>
      </c>
      <c r="K421" s="6"/>
      <c r="L421" s="6"/>
      <c r="U421" s="8"/>
      <c r="V421" s="8"/>
      <c r="W421" s="8"/>
      <c r="X421" s="9"/>
      <c r="Y421" s="6"/>
      <c r="Z421" s="8"/>
    </row>
    <row r="422" spans="1:26" x14ac:dyDescent="0.3">
      <c r="A422" s="1" t="s">
        <v>89</v>
      </c>
      <c r="B422" s="1" t="str">
        <v>SO SOFITEL SINGAPORE</v>
      </c>
      <c r="K422" s="6"/>
      <c r="L422" s="6"/>
      <c r="U422" s="8"/>
      <c r="V422" s="8"/>
      <c r="W422" s="8"/>
      <c r="X422" s="9"/>
      <c r="Y422" s="6"/>
      <c r="Z422" s="8"/>
    </row>
    <row r="423" spans="1:26" x14ac:dyDescent="0.3">
      <c r="A423" s="1" t="s">
        <v>326</v>
      </c>
      <c r="B423" s="1" t="str">
        <v>PARKROYAL COLLECTION PICKERING, SINGAPORE</v>
      </c>
      <c r="K423" s="6"/>
      <c r="L423" s="6"/>
      <c r="U423" s="8"/>
      <c r="V423" s="8"/>
      <c r="W423" s="8"/>
      <c r="X423" s="9"/>
      <c r="Y423" s="6"/>
      <c r="Z423" s="8"/>
    </row>
    <row r="424" spans="1:26" x14ac:dyDescent="0.3">
      <c r="A424" s="1" t="s">
        <v>1055</v>
      </c>
      <c r="B424" s="1" t="str">
        <v>STUDIO M HOTEL</v>
      </c>
      <c r="K424" s="6"/>
      <c r="L424" s="6"/>
      <c r="U424" s="8"/>
      <c r="V424" s="8"/>
      <c r="W424" s="8"/>
      <c r="X424" s="9"/>
      <c r="Y424" s="6"/>
      <c r="Z424" s="8"/>
    </row>
    <row r="425" spans="1:26" x14ac:dyDescent="0.3">
      <c r="A425" s="1" t="s">
        <v>1054</v>
      </c>
      <c r="B425" s="1" t="str">
        <v>UP@ROBERTSON QUAY</v>
      </c>
      <c r="K425" s="6"/>
      <c r="L425" s="6"/>
      <c r="U425" s="8"/>
      <c r="V425" s="8"/>
      <c r="W425" s="8"/>
      <c r="X425" s="9"/>
      <c r="Y425" s="6"/>
      <c r="Z425" s="8"/>
    </row>
    <row r="426" spans="1:26" x14ac:dyDescent="0.3">
      <c r="A426" s="1" t="s">
        <v>642</v>
      </c>
      <c r="B426" s="1" t="str">
        <v>V HOTEL LAVENDER</v>
      </c>
      <c r="K426" s="6"/>
      <c r="L426" s="6"/>
      <c r="U426" s="8"/>
      <c r="V426" s="8"/>
      <c r="W426" s="8"/>
      <c r="X426" s="9"/>
      <c r="Y426" s="6"/>
      <c r="Z426" s="8"/>
    </row>
    <row r="427" spans="1:26" x14ac:dyDescent="0.3">
      <c r="A427" s="1" t="s">
        <v>444</v>
      </c>
      <c r="B427" s="1" t="str">
        <v>HOTEL G SINGAPORE</v>
      </c>
      <c r="K427" s="6"/>
      <c r="L427" s="6"/>
      <c r="U427" s="8"/>
      <c r="V427" s="8"/>
      <c r="W427" s="8"/>
      <c r="X427" s="9"/>
      <c r="Y427" s="6"/>
      <c r="Z427" s="8"/>
    </row>
    <row r="428" spans="1:26" x14ac:dyDescent="0.3">
      <c r="A428" s="1" t="s">
        <v>1551</v>
      </c>
      <c r="B428" s="1" t="str">
        <v>OASIA HOTEL NOVENA, SINGAPORE</v>
      </c>
      <c r="K428" s="6"/>
      <c r="L428" s="6"/>
      <c r="U428" s="8"/>
      <c r="V428" s="8"/>
      <c r="W428" s="8"/>
      <c r="X428" s="9"/>
      <c r="Y428" s="6"/>
      <c r="Z428" s="8"/>
    </row>
    <row r="429" spans="1:26" x14ac:dyDescent="0.3">
      <c r="A429" s="1" t="s">
        <v>446</v>
      </c>
      <c r="B429" s="1" t="str">
        <v>HILTON GARDEN INN SINGAPORE SERANGOON</v>
      </c>
      <c r="K429" s="6"/>
      <c r="L429" s="6"/>
      <c r="U429" s="8"/>
      <c r="V429" s="8"/>
      <c r="W429" s="8"/>
      <c r="X429" s="9"/>
      <c r="Y429" s="6"/>
      <c r="Z429" s="8"/>
    </row>
    <row r="430" spans="1:26" x14ac:dyDescent="0.3">
      <c r="A430" s="1" t="s">
        <v>861</v>
      </c>
      <c r="B430" s="1" t="str">
        <v>MERCURE SINGAPORE BUGIS</v>
      </c>
      <c r="K430" s="6"/>
      <c r="L430" s="6"/>
      <c r="U430" s="8"/>
      <c r="V430" s="8"/>
      <c r="W430" s="8"/>
      <c r="X430" s="9"/>
      <c r="Y430" s="6"/>
      <c r="Z430" s="8"/>
    </row>
    <row r="431" spans="1:26" x14ac:dyDescent="0.3">
      <c r="A431" s="1" t="s">
        <v>277</v>
      </c>
      <c r="B431" s="1" t="str">
        <v>ST. REGIS HOTEL SINGAPORE</v>
      </c>
      <c r="K431" s="6"/>
      <c r="L431" s="6"/>
      <c r="M431" s="7"/>
      <c r="U431" s="8"/>
      <c r="V431" s="8"/>
      <c r="W431" s="8"/>
      <c r="X431" s="9"/>
      <c r="Y431" s="6"/>
      <c r="Z431" s="8"/>
    </row>
    <row r="432" spans="1:26" x14ac:dyDescent="0.3">
      <c r="A432" s="1" t="s">
        <v>1295</v>
      </c>
      <c r="B432" s="1" t="str">
        <v>IBIS SINGAPORE BENCOOLEN</v>
      </c>
      <c r="K432" s="6"/>
      <c r="L432" s="6"/>
      <c r="M432" s="7"/>
      <c r="U432" s="8"/>
      <c r="V432" s="8"/>
      <c r="W432" s="8"/>
      <c r="X432" s="9"/>
      <c r="Y432" s="6"/>
      <c r="Z432" s="8"/>
    </row>
    <row r="433" spans="1:26" x14ac:dyDescent="0.3">
      <c r="A433" s="1" t="s">
        <v>639</v>
      </c>
      <c r="B433" s="1" t="str">
        <v>V HOTEL BENCOOLEN</v>
      </c>
      <c r="K433" s="6"/>
      <c r="L433" s="6"/>
      <c r="M433" s="7"/>
      <c r="U433" s="8"/>
      <c r="V433" s="8"/>
      <c r="W433" s="8"/>
      <c r="X433" s="9"/>
      <c r="Y433" s="6"/>
      <c r="Z433" s="8"/>
    </row>
    <row r="434" spans="1:26" x14ac:dyDescent="0.3">
      <c r="A434" s="1" t="s">
        <v>1678</v>
      </c>
      <c r="B434" s="1" t="str">
        <v>175A CHIN SWEE ROAD</v>
      </c>
      <c r="K434" s="6"/>
      <c r="L434" s="6"/>
      <c r="M434" s="7"/>
      <c r="U434" s="8"/>
      <c r="V434" s="8"/>
      <c r="W434" s="8"/>
      <c r="X434" s="9"/>
      <c r="Y434" s="6"/>
      <c r="Z434" s="8"/>
    </row>
    <row r="435" spans="1:26" x14ac:dyDescent="0.3">
      <c r="A435" s="1" t="s">
        <v>656</v>
      </c>
      <c r="B435" s="1" t="str">
        <v>RAMADA SINGAPORE AT ZHONGSHAN PARK</v>
      </c>
      <c r="K435" s="6"/>
      <c r="L435" s="6"/>
      <c r="M435" s="7"/>
      <c r="U435" s="8"/>
      <c r="V435" s="8"/>
      <c r="W435" s="8"/>
      <c r="X435" s="9"/>
      <c r="Y435" s="6"/>
      <c r="Z435" s="8"/>
    </row>
    <row r="436" spans="1:26" x14ac:dyDescent="0.3">
      <c r="A436" s="1" t="s">
        <v>1231</v>
      </c>
      <c r="B436" s="1" t="str">
        <v>W SINGAPORE SENTOSA COVE HOTEL</v>
      </c>
      <c r="K436" s="6"/>
      <c r="L436" s="6"/>
      <c r="M436" s="7"/>
      <c r="U436" s="8"/>
      <c r="V436" s="8"/>
      <c r="W436" s="8"/>
      <c r="X436" s="9"/>
      <c r="Y436" s="6"/>
      <c r="Z436" s="8"/>
    </row>
    <row r="437" spans="1:26" x14ac:dyDescent="0.3">
      <c r="A437" s="1" t="s">
        <v>1038</v>
      </c>
      <c r="B437" s="1" t="str">
        <v>INTERCONTINENTAL SINGAPORE ROBERTSON QUAY</v>
      </c>
      <c r="K437" s="6"/>
      <c r="L437" s="6"/>
      <c r="M437" s="7"/>
      <c r="U437" s="8"/>
      <c r="V437" s="8"/>
      <c r="W437" s="8"/>
      <c r="X437" s="9"/>
      <c r="Y437" s="6"/>
      <c r="Z437" s="8"/>
    </row>
    <row r="438" spans="1:26" x14ac:dyDescent="0.3">
      <c r="A438" s="1" t="s">
        <v>1679</v>
      </c>
      <c r="B438" s="1" t="str">
        <v>3 DICKSON ROAD</v>
      </c>
      <c r="K438" s="6"/>
      <c r="L438" s="6"/>
      <c r="M438" s="7"/>
      <c r="U438" s="8"/>
      <c r="V438" s="8"/>
      <c r="W438" s="8"/>
      <c r="X438" s="9"/>
      <c r="Y438" s="6"/>
      <c r="Z438" s="8"/>
    </row>
    <row r="439" spans="1:26" x14ac:dyDescent="0.3">
      <c r="A439" s="1" t="s">
        <v>534</v>
      </c>
      <c r="B439" s="1" t="str">
        <v>THE SINGAPORE RESORT &amp; SPA</v>
      </c>
      <c r="K439" s="6"/>
      <c r="L439" s="6"/>
      <c r="M439" s="7"/>
      <c r="U439" s="8"/>
      <c r="V439" s="8"/>
      <c r="W439" s="8"/>
      <c r="X439" s="9"/>
      <c r="Y439" s="6"/>
      <c r="Z439" s="8"/>
    </row>
    <row r="440" spans="1:26" x14ac:dyDescent="0.3">
      <c r="A440" s="1" t="s">
        <v>1248</v>
      </c>
      <c r="B440" s="1" t="str">
        <v>FARRER SQUARE</v>
      </c>
      <c r="K440" s="6"/>
      <c r="L440" s="6"/>
      <c r="M440" s="7"/>
      <c r="U440" s="8"/>
      <c r="V440" s="8"/>
      <c r="W440" s="8"/>
      <c r="X440" s="9"/>
      <c r="Y440" s="6"/>
      <c r="Z440" s="8"/>
    </row>
    <row r="441" spans="1:26" x14ac:dyDescent="0.3">
      <c r="A441" s="1" t="s">
        <v>938</v>
      </c>
      <c r="B441" s="1" t="str">
        <v>THE CAPITOL KEMPINSKI HOTEL SINGAPORE</v>
      </c>
      <c r="K441" s="6"/>
      <c r="L441" s="6"/>
      <c r="M441" s="7"/>
      <c r="U441" s="8"/>
      <c r="V441" s="8"/>
      <c r="W441" s="8"/>
      <c r="X441" s="9"/>
      <c r="Y441" s="6"/>
      <c r="Z441" s="8"/>
    </row>
    <row r="442" spans="1:26" x14ac:dyDescent="0.3">
      <c r="A442" s="1" t="s">
        <v>644</v>
      </c>
      <c r="B442" s="1" t="str">
        <v>VALUE HOTEL - THOMSON</v>
      </c>
      <c r="K442" s="6"/>
      <c r="L442" s="6"/>
      <c r="M442" s="7"/>
      <c r="U442" s="8"/>
      <c r="V442" s="8"/>
      <c r="W442" s="8"/>
      <c r="X442" s="9"/>
      <c r="Y442" s="6"/>
      <c r="Z442" s="8"/>
    </row>
    <row r="443" spans="1:26" x14ac:dyDescent="0.3">
      <c r="A443" s="1" t="s">
        <v>515</v>
      </c>
      <c r="B443" s="1" t="str">
        <v>CHANGI EXHIBITION CENTRE</v>
      </c>
      <c r="K443" s="6"/>
      <c r="L443" s="6"/>
      <c r="M443" s="7"/>
      <c r="U443" s="8"/>
      <c r="V443" s="8"/>
      <c r="W443" s="8"/>
      <c r="X443" s="9"/>
      <c r="Y443" s="6"/>
      <c r="Z443" s="8"/>
    </row>
    <row r="444" spans="1:26" x14ac:dyDescent="0.3">
      <c r="A444" s="1" t="s">
        <v>1304</v>
      </c>
      <c r="B444" s="1" t="str">
        <v>112 KATONG</v>
      </c>
      <c r="K444" s="6"/>
      <c r="L444" s="6"/>
      <c r="M444" s="7"/>
      <c r="U444" s="8"/>
      <c r="V444" s="8"/>
      <c r="W444" s="8"/>
      <c r="X444" s="9"/>
      <c r="Y444" s="6"/>
      <c r="Z444" s="8"/>
    </row>
    <row r="445" spans="1:26" x14ac:dyDescent="0.3">
      <c r="A445" s="1" t="s">
        <v>357</v>
      </c>
      <c r="B445" s="1" t="str">
        <v>CHIJMES</v>
      </c>
      <c r="K445" s="6"/>
      <c r="L445" s="6"/>
      <c r="M445" s="7"/>
      <c r="U445" s="8"/>
      <c r="V445" s="8"/>
      <c r="W445" s="8"/>
      <c r="X445" s="9"/>
      <c r="Y445" s="6"/>
      <c r="Z445" s="8"/>
    </row>
    <row r="446" spans="1:26" x14ac:dyDescent="0.3">
      <c r="A446" s="1" t="s">
        <v>479</v>
      </c>
      <c r="B446" s="1" t="str">
        <v>SINGAPORE EXPO</v>
      </c>
      <c r="K446" s="6"/>
      <c r="L446" s="6"/>
      <c r="M446" s="7"/>
      <c r="U446" s="8"/>
      <c r="V446" s="8"/>
      <c r="W446" s="8"/>
      <c r="X446" s="9"/>
      <c r="Y446" s="6"/>
      <c r="Z446" s="8"/>
    </row>
    <row r="447" spans="1:26" x14ac:dyDescent="0.3">
      <c r="A447" s="1" t="s">
        <v>609</v>
      </c>
      <c r="B447" s="1" t="str">
        <v>PARKLANE SHOPPING MALL</v>
      </c>
      <c r="K447" s="6"/>
      <c r="L447" s="6"/>
      <c r="M447" s="7"/>
      <c r="U447" s="8"/>
      <c r="V447" s="8"/>
      <c r="W447" s="8"/>
      <c r="X447" s="9"/>
      <c r="Y447" s="6"/>
      <c r="Z447" s="8"/>
    </row>
    <row r="448" spans="1:26" x14ac:dyDescent="0.3">
      <c r="A448" s="1" t="s">
        <v>1680</v>
      </c>
      <c r="B448" s="1" t="str">
        <v>67 QUEEN STREET</v>
      </c>
      <c r="K448" s="6"/>
      <c r="L448" s="6"/>
      <c r="M448" s="7"/>
      <c r="U448" s="8"/>
      <c r="V448" s="8"/>
      <c r="W448" s="8"/>
      <c r="X448" s="9"/>
      <c r="Y448" s="6"/>
      <c r="Z448" s="8"/>
    </row>
    <row r="449" spans="1:26" x14ac:dyDescent="0.3">
      <c r="A449" s="1" t="s">
        <v>1526</v>
      </c>
      <c r="B449" s="1" t="str">
        <v>OG ORCHARD POINT</v>
      </c>
      <c r="K449" s="6"/>
      <c r="L449" s="6"/>
      <c r="M449" s="7"/>
      <c r="U449" s="8"/>
      <c r="V449" s="8"/>
      <c r="W449" s="8"/>
      <c r="X449" s="9"/>
      <c r="Y449" s="6"/>
      <c r="Z449" s="8"/>
    </row>
    <row r="450" spans="1:26" x14ac:dyDescent="0.3">
      <c r="A450" s="1" t="s">
        <v>1448</v>
      </c>
      <c r="B450" s="1" t="str">
        <v>BUKIT TIMAH SHOPPING CENTRE</v>
      </c>
      <c r="K450" s="6"/>
      <c r="L450" s="6"/>
      <c r="M450" s="7"/>
      <c r="U450" s="8"/>
      <c r="V450" s="8"/>
      <c r="W450" s="8"/>
      <c r="X450" s="9"/>
      <c r="Y450" s="6"/>
      <c r="Z450" s="8"/>
    </row>
    <row r="451" spans="1:26" x14ac:dyDescent="0.3">
      <c r="A451" s="1" t="s">
        <v>726</v>
      </c>
      <c r="B451" s="1" t="str">
        <v>THE BENCOOLEN</v>
      </c>
      <c r="K451" s="6"/>
      <c r="L451" s="6"/>
      <c r="M451" s="7"/>
      <c r="U451" s="8"/>
      <c r="V451" s="8"/>
      <c r="W451" s="8"/>
      <c r="X451" s="9"/>
      <c r="Y451" s="6"/>
      <c r="Z451" s="8"/>
    </row>
    <row r="452" spans="1:26" x14ac:dyDescent="0.3">
      <c r="A452" s="1" t="s">
        <v>989</v>
      </c>
      <c r="B452" s="1" t="str">
        <v>TEXTILE CENTRE</v>
      </c>
      <c r="K452" s="6"/>
      <c r="L452" s="6"/>
      <c r="M452" s="7"/>
      <c r="U452" s="8"/>
      <c r="V452" s="8"/>
      <c r="W452" s="8"/>
      <c r="X452" s="9"/>
      <c r="Y452" s="6"/>
      <c r="Z452" s="8"/>
    </row>
    <row r="453" spans="1:26" x14ac:dyDescent="0.3">
      <c r="A453" s="1" t="s">
        <v>1154</v>
      </c>
      <c r="B453" s="1" t="str">
        <v>ROXY SQUARE</v>
      </c>
      <c r="K453" s="6"/>
      <c r="L453" s="6"/>
      <c r="M453" s="7"/>
      <c r="U453" s="8"/>
      <c r="V453" s="8"/>
      <c r="W453" s="8"/>
      <c r="X453" s="9"/>
      <c r="Y453" s="6"/>
      <c r="Z453" s="8"/>
    </row>
    <row r="454" spans="1:26" x14ac:dyDescent="0.3">
      <c r="A454" s="1" t="s">
        <v>38</v>
      </c>
      <c r="B454" s="1" t="str">
        <v>BEAUTY WORLD CENTRE</v>
      </c>
      <c r="K454" s="6"/>
      <c r="L454" s="6"/>
      <c r="M454" s="7"/>
      <c r="U454" s="8"/>
      <c r="V454" s="8"/>
      <c r="W454" s="8"/>
      <c r="X454" s="9"/>
      <c r="Y454" s="6"/>
      <c r="Z454" s="8"/>
    </row>
    <row r="455" spans="1:26" x14ac:dyDescent="0.3">
      <c r="A455" s="1" t="s">
        <v>1106</v>
      </c>
      <c r="B455" s="1" t="str">
        <v>YEN SAN BUILDING</v>
      </c>
      <c r="K455" s="6"/>
      <c r="L455" s="6"/>
      <c r="M455" s="7"/>
      <c r="U455" s="8"/>
      <c r="V455" s="8"/>
      <c r="W455" s="8"/>
      <c r="X455" s="9"/>
      <c r="Y455" s="6"/>
      <c r="Z455" s="8"/>
    </row>
    <row r="456" spans="1:26" x14ac:dyDescent="0.3">
      <c r="A456" s="1" t="s">
        <v>367</v>
      </c>
      <c r="B456" s="1" t="str">
        <v>GOLDEN MILE COMPLEX</v>
      </c>
      <c r="K456" s="6"/>
      <c r="L456" s="6"/>
      <c r="M456" s="7"/>
      <c r="U456" s="8"/>
      <c r="V456" s="8"/>
      <c r="W456" s="8"/>
      <c r="X456" s="9"/>
      <c r="Y456" s="6"/>
      <c r="Z456" s="8"/>
    </row>
    <row r="457" spans="1:26" x14ac:dyDescent="0.3">
      <c r="A457" s="1" t="s">
        <v>74</v>
      </c>
      <c r="B457" s="1" t="str">
        <v>ORCHARD PLAZA</v>
      </c>
      <c r="K457" s="6"/>
      <c r="L457" s="6"/>
      <c r="M457" s="7"/>
      <c r="U457" s="8"/>
      <c r="V457" s="8"/>
      <c r="W457" s="8"/>
      <c r="X457" s="9"/>
      <c r="Y457" s="6"/>
      <c r="Z457" s="8"/>
    </row>
    <row r="458" spans="1:26" x14ac:dyDescent="0.3">
      <c r="A458" s="1" t="s">
        <v>37</v>
      </c>
      <c r="B458" s="1" t="str">
        <v>CITY PLAZA</v>
      </c>
      <c r="K458" s="6"/>
      <c r="L458" s="6"/>
      <c r="M458" s="7"/>
      <c r="U458" s="8"/>
      <c r="V458" s="8"/>
      <c r="W458" s="8"/>
      <c r="X458" s="9"/>
      <c r="Y458" s="6"/>
      <c r="Z458" s="8"/>
    </row>
    <row r="459" spans="1:26" x14ac:dyDescent="0.3">
      <c r="A459" s="1" t="s">
        <v>442</v>
      </c>
      <c r="B459" s="1" t="str">
        <v>MARINA SQUARE</v>
      </c>
      <c r="K459" s="6"/>
      <c r="L459" s="6"/>
      <c r="M459" s="7"/>
      <c r="U459" s="8"/>
      <c r="V459" s="8"/>
      <c r="W459" s="8"/>
      <c r="X459" s="9"/>
      <c r="Y459" s="6"/>
      <c r="Z459" s="8"/>
    </row>
    <row r="460" spans="1:26" x14ac:dyDescent="0.3">
      <c r="A460" s="1" t="s">
        <v>711</v>
      </c>
      <c r="B460" s="1" t="str">
        <v>PENINSULA SHOPPING COMPLEX</v>
      </c>
      <c r="K460" s="6"/>
      <c r="L460" s="6"/>
      <c r="M460" s="7"/>
      <c r="U460" s="8"/>
      <c r="V460" s="8"/>
      <c r="W460" s="8"/>
      <c r="X460" s="9"/>
      <c r="Y460" s="6"/>
      <c r="Z460" s="8"/>
    </row>
    <row r="461" spans="1:26" x14ac:dyDescent="0.3">
      <c r="A461" s="1" t="s">
        <v>624</v>
      </c>
      <c r="B461" s="1" t="str">
        <v>THE GRANDSTAND</v>
      </c>
      <c r="K461" s="6"/>
      <c r="L461" s="6"/>
      <c r="M461" s="7"/>
      <c r="U461" s="8"/>
      <c r="V461" s="8"/>
      <c r="W461" s="8"/>
      <c r="X461" s="9"/>
      <c r="Y461" s="6"/>
      <c r="Z461" s="8"/>
    </row>
    <row r="462" spans="1:26" x14ac:dyDescent="0.3">
      <c r="A462" s="1" t="s">
        <v>934</v>
      </c>
      <c r="B462" s="1" t="str">
        <v>TANJONG KATONG COMPLEX</v>
      </c>
      <c r="K462" s="6"/>
      <c r="L462" s="6"/>
      <c r="M462" s="7"/>
      <c r="U462" s="8"/>
      <c r="V462" s="8"/>
      <c r="W462" s="8"/>
      <c r="X462" s="9"/>
      <c r="Y462" s="6"/>
      <c r="Z462" s="8"/>
    </row>
    <row r="463" spans="1:26" x14ac:dyDescent="0.3">
      <c r="A463" s="1" t="s">
        <v>900</v>
      </c>
      <c r="B463" s="1" t="str">
        <v>JOO CHIAT COMPLEX</v>
      </c>
      <c r="K463" s="6"/>
      <c r="L463" s="6"/>
      <c r="M463" s="7"/>
      <c r="U463" s="8"/>
      <c r="V463" s="8"/>
      <c r="W463" s="8"/>
      <c r="X463" s="9"/>
      <c r="Y463" s="6"/>
      <c r="Z463" s="8"/>
    </row>
    <row r="464" spans="1:26" x14ac:dyDescent="0.3">
      <c r="A464" s="1" t="s">
        <v>186</v>
      </c>
      <c r="B464" s="1" t="str">
        <v>KATONG SHOPPING CENTRE</v>
      </c>
      <c r="K464" s="6"/>
      <c r="L464" s="6"/>
      <c r="M464" s="7"/>
      <c r="U464" s="8"/>
      <c r="V464" s="8"/>
      <c r="W464" s="8"/>
      <c r="X464" s="9"/>
      <c r="Y464" s="6"/>
      <c r="Z464" s="8"/>
    </row>
    <row r="465" spans="1:26" x14ac:dyDescent="0.3">
      <c r="A465" s="1" t="s">
        <v>200</v>
      </c>
      <c r="B465" s="1" t="str">
        <v>FU LU SHOU COMPLEX</v>
      </c>
      <c r="K465" s="6"/>
      <c r="L465" s="6"/>
      <c r="M465" s="7"/>
      <c r="U465" s="8"/>
      <c r="V465" s="8"/>
      <c r="W465" s="8"/>
      <c r="X465" s="9"/>
      <c r="Y465" s="6"/>
      <c r="Z465" s="8"/>
    </row>
    <row r="466" spans="1:26" x14ac:dyDescent="0.3">
      <c r="A466" s="1" t="s">
        <v>453</v>
      </c>
      <c r="B466" s="1" t="str">
        <v>HAVELOCK2</v>
      </c>
      <c r="K466" s="6"/>
      <c r="L466" s="6"/>
      <c r="M466" s="7"/>
      <c r="U466" s="8"/>
      <c r="V466" s="8"/>
      <c r="W466" s="8"/>
      <c r="X466" s="9"/>
      <c r="Y466" s="6"/>
      <c r="Z466" s="8"/>
    </row>
    <row r="467" spans="1:26" x14ac:dyDescent="0.3">
      <c r="A467" s="1" t="s">
        <v>798</v>
      </c>
      <c r="B467" s="1" t="str">
        <v>ESPLANADE MALL</v>
      </c>
      <c r="K467" s="6"/>
      <c r="L467" s="6"/>
      <c r="M467" s="7"/>
      <c r="U467" s="8"/>
      <c r="V467" s="8"/>
      <c r="W467" s="8"/>
      <c r="X467" s="9"/>
      <c r="Y467" s="6"/>
      <c r="Z467" s="8"/>
    </row>
    <row r="468" spans="1:26" x14ac:dyDescent="0.3">
      <c r="A468" s="1" t="s">
        <v>740</v>
      </c>
      <c r="B468" s="1" t="str">
        <v>SUNTEC CITY MALL</v>
      </c>
      <c r="K468" s="6"/>
      <c r="L468" s="6"/>
      <c r="M468" s="7"/>
      <c r="U468" s="8"/>
      <c r="V468" s="8"/>
      <c r="W468" s="8"/>
      <c r="X468" s="9"/>
      <c r="Y468" s="6"/>
      <c r="Z468" s="8"/>
    </row>
    <row r="469" spans="1:26" x14ac:dyDescent="0.3">
      <c r="A469" s="1" t="s">
        <v>662</v>
      </c>
      <c r="B469" s="1" t="str">
        <v>THE CATHAY</v>
      </c>
      <c r="K469" s="6"/>
      <c r="L469" s="6"/>
      <c r="M469" s="7"/>
      <c r="U469" s="8"/>
      <c r="V469" s="8"/>
      <c r="W469" s="8"/>
      <c r="X469" s="9"/>
      <c r="Y469" s="6"/>
      <c r="Z469" s="8"/>
    </row>
    <row r="470" spans="1:26" x14ac:dyDescent="0.3">
      <c r="A470" s="1" t="s">
        <v>1330</v>
      </c>
      <c r="B470" s="1" t="str">
        <v>PEOPLE'S PARK COMPLEX</v>
      </c>
      <c r="K470" s="6"/>
      <c r="L470" s="6"/>
      <c r="M470" s="7"/>
      <c r="U470" s="8"/>
      <c r="V470" s="8"/>
      <c r="W470" s="8"/>
      <c r="X470" s="9"/>
      <c r="Y470" s="6"/>
      <c r="Z470" s="8"/>
    </row>
    <row r="471" spans="1:26" x14ac:dyDescent="0.3">
      <c r="A471" s="1" t="s">
        <v>1574</v>
      </c>
      <c r="B471" s="1" t="str">
        <v>ROYAL SQUARE AT NOVENA</v>
      </c>
      <c r="K471" s="6"/>
      <c r="L471" s="6"/>
      <c r="M471" s="7"/>
      <c r="U471" s="8"/>
      <c r="V471" s="8"/>
      <c r="W471" s="8"/>
      <c r="X471" s="9"/>
      <c r="Y471" s="6"/>
      <c r="Z471" s="8"/>
    </row>
    <row r="472" spans="1:26" x14ac:dyDescent="0.3">
      <c r="A472" s="1" t="s">
        <v>561</v>
      </c>
      <c r="B472" s="1" t="str">
        <v>THE CENTRAL</v>
      </c>
      <c r="K472" s="6"/>
      <c r="L472" s="6"/>
      <c r="M472" s="7"/>
      <c r="U472" s="8"/>
      <c r="V472" s="8"/>
      <c r="W472" s="8"/>
      <c r="X472" s="9"/>
      <c r="Y472" s="6"/>
      <c r="Z472" s="8"/>
    </row>
    <row r="473" spans="1:26" x14ac:dyDescent="0.3">
      <c r="A473" s="1" t="s">
        <v>790</v>
      </c>
      <c r="B473" s="1" t="str">
        <v>LUCKY PLAZA</v>
      </c>
      <c r="K473" s="6"/>
      <c r="L473" s="6"/>
      <c r="M473" s="7"/>
      <c r="U473" s="8"/>
      <c r="V473" s="8"/>
      <c r="W473" s="8"/>
      <c r="X473" s="9"/>
      <c r="Y473" s="6"/>
      <c r="Z473" s="8"/>
    </row>
    <row r="474" spans="1:26" x14ac:dyDescent="0.3">
      <c r="A474" s="1" t="s">
        <v>1061</v>
      </c>
      <c r="B474" s="1" t="str">
        <v>FAR EAST PLAZA</v>
      </c>
      <c r="K474" s="6"/>
      <c r="L474" s="6"/>
      <c r="M474" s="7"/>
      <c r="U474" s="8"/>
      <c r="V474" s="8"/>
      <c r="W474" s="8"/>
      <c r="X474" s="9"/>
      <c r="Y474" s="6"/>
      <c r="Z474" s="8"/>
    </row>
    <row r="475" spans="1:26" x14ac:dyDescent="0.3">
      <c r="A475" s="1" t="s">
        <v>832</v>
      </c>
      <c r="B475" s="1" t="str">
        <v>THE CENTREPOINT</v>
      </c>
      <c r="K475" s="6"/>
      <c r="L475" s="6"/>
      <c r="M475" s="7"/>
      <c r="U475" s="8"/>
      <c r="V475" s="8"/>
      <c r="W475" s="8"/>
      <c r="X475" s="9"/>
      <c r="Y475" s="6"/>
      <c r="Z475" s="8"/>
    </row>
    <row r="476" spans="1:26" x14ac:dyDescent="0.3">
      <c r="A476" s="1" t="s">
        <v>660</v>
      </c>
      <c r="B476" s="1" t="str">
        <v>CATHAY CINELEISURE ORCHARD</v>
      </c>
      <c r="K476" s="6"/>
      <c r="L476" s="6"/>
      <c r="M476" s="7"/>
      <c r="U476" s="8"/>
      <c r="V476" s="8"/>
      <c r="W476" s="8"/>
      <c r="X476" s="9"/>
      <c r="Y476" s="6"/>
      <c r="Z476" s="8"/>
    </row>
    <row r="477" spans="1:26" x14ac:dyDescent="0.3">
      <c r="A477" s="1" t="s">
        <v>1556</v>
      </c>
      <c r="B477" s="1" t="str">
        <v>THE GALEN</v>
      </c>
      <c r="K477" s="6"/>
      <c r="L477" s="6"/>
      <c r="M477" s="7"/>
      <c r="U477" s="8"/>
      <c r="V477" s="8"/>
      <c r="W477" s="8"/>
      <c r="X477" s="9"/>
      <c r="Y477" s="6"/>
      <c r="Z477" s="8"/>
    </row>
    <row r="478" spans="1:26" x14ac:dyDescent="0.3">
      <c r="A478" s="1" t="s">
        <v>264</v>
      </c>
      <c r="B478" s="1" t="str">
        <v>SIM LIM SQUARE</v>
      </c>
      <c r="K478" s="6"/>
      <c r="L478" s="6"/>
      <c r="M478" s="7"/>
      <c r="U478" s="8"/>
      <c r="V478" s="8"/>
      <c r="W478" s="8"/>
      <c r="X478" s="9"/>
      <c r="Y478" s="6"/>
      <c r="Z478" s="8"/>
    </row>
    <row r="479" spans="1:26" x14ac:dyDescent="0.3">
      <c r="A479" s="1" t="s">
        <v>191</v>
      </c>
      <c r="B479" s="1" t="str">
        <v>WISMA ATRIA</v>
      </c>
      <c r="K479" s="6"/>
      <c r="L479" s="6"/>
      <c r="M479" s="7"/>
      <c r="U479" s="8"/>
      <c r="V479" s="8"/>
      <c r="W479" s="8"/>
      <c r="X479" s="9"/>
      <c r="Y479" s="6"/>
      <c r="Z479" s="8"/>
    </row>
    <row r="480" spans="1:26" x14ac:dyDescent="0.3">
      <c r="A480" s="1" t="s">
        <v>650</v>
      </c>
      <c r="B480" s="1" t="str">
        <v>JEM</v>
      </c>
      <c r="K480" s="6"/>
      <c r="L480" s="6"/>
      <c r="M480" s="7"/>
      <c r="U480" s="8"/>
      <c r="V480" s="8"/>
      <c r="W480" s="8"/>
      <c r="X480" s="9"/>
      <c r="Y480" s="6"/>
      <c r="Z480" s="8"/>
    </row>
    <row r="481" spans="1:26" x14ac:dyDescent="0.3">
      <c r="A481" s="1" t="s">
        <v>735</v>
      </c>
      <c r="B481" s="1" t="str">
        <v>THE STAR</v>
      </c>
      <c r="K481" s="6"/>
      <c r="L481" s="6"/>
      <c r="M481" s="7"/>
      <c r="U481" s="8"/>
      <c r="V481" s="8"/>
      <c r="W481" s="8"/>
      <c r="X481" s="9"/>
      <c r="Y481" s="6"/>
      <c r="Z481" s="8"/>
    </row>
    <row r="482" spans="1:26" x14ac:dyDescent="0.3">
      <c r="A482" s="1" t="s">
        <v>618</v>
      </c>
      <c r="B482" s="1" t="str">
        <v>MERCHANTS' COURT</v>
      </c>
      <c r="K482" s="6"/>
      <c r="L482" s="6"/>
      <c r="M482" s="7"/>
      <c r="U482" s="8"/>
      <c r="V482" s="8"/>
      <c r="W482" s="8"/>
      <c r="X482" s="9"/>
      <c r="Y482" s="6"/>
      <c r="Z482" s="8"/>
    </row>
    <row r="483" spans="1:26" x14ac:dyDescent="0.3">
      <c r="A483" s="1" t="s">
        <v>1350</v>
      </c>
      <c r="B483" s="1" t="str">
        <v>BUGIS+</v>
      </c>
      <c r="K483" s="6"/>
      <c r="L483" s="6"/>
      <c r="M483" s="7"/>
      <c r="U483" s="8"/>
      <c r="V483" s="8"/>
      <c r="W483" s="8"/>
      <c r="X483" s="9"/>
      <c r="Y483" s="6"/>
      <c r="Z483" s="8"/>
    </row>
    <row r="484" spans="1:26" x14ac:dyDescent="0.3">
      <c r="A484" s="1" t="s">
        <v>816</v>
      </c>
      <c r="B484" s="1" t="str">
        <v>THE PARAGON</v>
      </c>
      <c r="K484" s="6"/>
      <c r="L484" s="6"/>
      <c r="M484" s="7"/>
      <c r="U484" s="8"/>
      <c r="V484" s="8"/>
      <c r="W484" s="8"/>
      <c r="X484" s="9"/>
      <c r="Y484" s="6"/>
      <c r="Z484" s="8"/>
    </row>
    <row r="485" spans="1:26" x14ac:dyDescent="0.3">
      <c r="A485" s="1" t="s">
        <v>1325</v>
      </c>
      <c r="B485" s="1" t="str">
        <v>BUKIT TIMAH PLAZA</v>
      </c>
      <c r="K485" s="6"/>
      <c r="L485" s="6"/>
      <c r="M485" s="7"/>
      <c r="U485" s="8"/>
      <c r="V485" s="8"/>
      <c r="W485" s="8"/>
      <c r="X485" s="9"/>
      <c r="Y485" s="6"/>
      <c r="Z485" s="8"/>
    </row>
    <row r="486" spans="1:26" x14ac:dyDescent="0.3">
      <c r="A486" s="1" t="s">
        <v>268</v>
      </c>
      <c r="B486" s="1" t="str">
        <v>PLAZA SINGAPURA</v>
      </c>
      <c r="K486" s="6"/>
      <c r="L486" s="6"/>
      <c r="M486" s="7"/>
      <c r="U486" s="8"/>
      <c r="V486" s="8"/>
      <c r="W486" s="8"/>
      <c r="X486" s="9"/>
      <c r="Y486" s="6"/>
      <c r="Z486" s="8"/>
    </row>
    <row r="487" spans="1:26" x14ac:dyDescent="0.3">
      <c r="A487" s="1" t="s">
        <v>889</v>
      </c>
      <c r="B487" s="1" t="str">
        <v>CITY SQUARE MALL</v>
      </c>
      <c r="K487" s="6"/>
      <c r="L487" s="6"/>
      <c r="M487" s="7"/>
      <c r="U487" s="8"/>
      <c r="V487" s="8"/>
      <c r="W487" s="8"/>
      <c r="X487" s="9"/>
      <c r="Y487" s="6"/>
      <c r="Z487" s="8"/>
    </row>
    <row r="488" spans="1:26" x14ac:dyDescent="0.3">
      <c r="A488" s="1" t="s">
        <v>1345</v>
      </c>
      <c r="B488" s="1" t="str">
        <v>LEISURE PARK KALLANG</v>
      </c>
      <c r="K488" s="6"/>
      <c r="L488" s="6"/>
      <c r="M488" s="7"/>
      <c r="U488" s="8"/>
      <c r="V488" s="8"/>
      <c r="W488" s="8"/>
      <c r="X488" s="9"/>
      <c r="Y488" s="6"/>
      <c r="Z488" s="8"/>
    </row>
    <row r="489" spans="1:26" x14ac:dyDescent="0.3">
      <c r="A489" s="1" t="s">
        <v>373</v>
      </c>
      <c r="B489" s="1" t="str">
        <v>TIONG BAHRU PLAZA</v>
      </c>
      <c r="K489" s="6"/>
      <c r="L489" s="6"/>
      <c r="M489" s="7"/>
      <c r="U489" s="8"/>
      <c r="V489" s="8"/>
      <c r="W489" s="8"/>
      <c r="X489" s="9"/>
      <c r="Y489" s="6"/>
      <c r="Z489" s="8"/>
    </row>
    <row r="490" spans="1:26" x14ac:dyDescent="0.3">
      <c r="A490" s="1" t="s">
        <v>1443</v>
      </c>
      <c r="B490" s="1" t="str">
        <v>CONNEXION</v>
      </c>
      <c r="K490" s="6"/>
      <c r="L490" s="6"/>
      <c r="M490" s="7"/>
      <c r="U490" s="8"/>
      <c r="V490" s="8"/>
      <c r="W490" s="8"/>
      <c r="X490" s="9"/>
      <c r="Y490" s="6"/>
      <c r="Z490" s="8"/>
    </row>
    <row r="491" spans="1:26" x14ac:dyDescent="0.3">
      <c r="A491" s="1" t="s">
        <v>23</v>
      </c>
      <c r="B491" s="1" t="str">
        <v>KINEX</v>
      </c>
      <c r="K491" s="6"/>
      <c r="L491" s="6"/>
      <c r="M491" s="7"/>
      <c r="U491" s="8"/>
      <c r="V491" s="8"/>
      <c r="W491" s="8"/>
      <c r="X491" s="9"/>
      <c r="Y491" s="6"/>
      <c r="Z491" s="8"/>
    </row>
    <row r="492" spans="1:26" x14ac:dyDescent="0.3">
      <c r="A492" s="1" t="s">
        <v>622</v>
      </c>
      <c r="B492" s="1" t="str">
        <v>WEST COAST PLAZA</v>
      </c>
      <c r="K492" s="6"/>
      <c r="L492" s="6"/>
      <c r="M492" s="7"/>
      <c r="U492" s="8"/>
      <c r="V492" s="8"/>
      <c r="W492" s="8"/>
      <c r="X492" s="9"/>
      <c r="Y492" s="6"/>
      <c r="Z492" s="8"/>
    </row>
    <row r="493" spans="1:26" x14ac:dyDescent="0.3">
      <c r="A493" s="1" t="s">
        <v>1511</v>
      </c>
      <c r="B493" s="1" t="str">
        <v>RAFFLES CITY SHOPPING CENTRE</v>
      </c>
      <c r="K493" s="6"/>
      <c r="L493" s="6"/>
      <c r="M493" s="7"/>
      <c r="U493" s="8"/>
      <c r="V493" s="8"/>
      <c r="W493" s="8"/>
      <c r="X493" s="9"/>
      <c r="Y493" s="6"/>
      <c r="Z493" s="8"/>
    </row>
    <row r="494" spans="1:26" x14ac:dyDescent="0.3">
      <c r="A494" s="1" t="s">
        <v>1422</v>
      </c>
      <c r="B494" s="1" t="str">
        <v>CUSTOMS HOUSE</v>
      </c>
      <c r="K494" s="6"/>
      <c r="L494" s="6"/>
      <c r="M494" s="7"/>
      <c r="U494" s="8"/>
      <c r="V494" s="8"/>
      <c r="W494" s="8"/>
      <c r="X494" s="9"/>
      <c r="Y494" s="6"/>
      <c r="Z494" s="8"/>
    </row>
    <row r="495" spans="1:26" x14ac:dyDescent="0.3">
      <c r="A495" s="1" t="s">
        <v>253</v>
      </c>
      <c r="B495" s="1" t="str">
        <v>TANGLIN MALL</v>
      </c>
      <c r="K495" s="6"/>
      <c r="L495" s="6"/>
      <c r="M495" s="7"/>
      <c r="U495" s="8"/>
      <c r="V495" s="8"/>
      <c r="W495" s="8"/>
      <c r="X495" s="9"/>
      <c r="Y495" s="6"/>
      <c r="Z495" s="8"/>
    </row>
    <row r="496" spans="1:26" x14ac:dyDescent="0.3">
      <c r="A496" s="1" t="s">
        <v>1050</v>
      </c>
      <c r="B496" s="1" t="str">
        <v>CHANGI CITY POINT</v>
      </c>
      <c r="K496" s="6"/>
      <c r="L496" s="6"/>
      <c r="M496" s="7"/>
      <c r="U496" s="8"/>
      <c r="V496" s="8"/>
      <c r="W496" s="8"/>
      <c r="X496" s="9"/>
      <c r="Y496" s="6"/>
      <c r="Z496" s="8"/>
    </row>
    <row r="497" spans="1:26" x14ac:dyDescent="0.3">
      <c r="A497" s="1" t="s">
        <v>1077</v>
      </c>
      <c r="B497" s="1" t="str">
        <v>CENTURY SQUARE</v>
      </c>
      <c r="K497" s="6"/>
      <c r="L497" s="6"/>
      <c r="M497" s="7"/>
      <c r="U497" s="8"/>
      <c r="V497" s="8"/>
      <c r="W497" s="8"/>
      <c r="X497" s="9"/>
      <c r="Y497" s="6"/>
      <c r="Z497" s="8"/>
    </row>
    <row r="498" spans="1:26" x14ac:dyDescent="0.3">
      <c r="A498" s="1" t="s">
        <v>1681</v>
      </c>
      <c r="B498" s="1" t="str">
        <v>92 TELOK AYER STREET</v>
      </c>
      <c r="K498" s="6"/>
      <c r="L498" s="6"/>
      <c r="M498" s="7"/>
      <c r="U498" s="8"/>
      <c r="V498" s="8"/>
      <c r="W498" s="8"/>
      <c r="X498" s="9"/>
      <c r="Y498" s="6"/>
      <c r="Z498" s="8"/>
    </row>
    <row r="499" spans="1:26" x14ac:dyDescent="0.3">
      <c r="A499" s="1" t="s">
        <v>912</v>
      </c>
      <c r="B499" s="1" t="str">
        <v>SEMBAWANG SHOPPING CENTRE</v>
      </c>
      <c r="K499" s="6"/>
      <c r="L499" s="6"/>
      <c r="M499" s="7"/>
      <c r="U499" s="8"/>
      <c r="V499" s="8"/>
      <c r="W499" s="8"/>
      <c r="X499" s="9"/>
      <c r="Y499" s="6"/>
      <c r="Z499" s="8"/>
    </row>
    <row r="500" spans="1:26" x14ac:dyDescent="0.3">
      <c r="A500" s="1" t="s">
        <v>35</v>
      </c>
      <c r="B500" s="1" t="str">
        <v>VIVO CITY</v>
      </c>
      <c r="K500" s="6"/>
      <c r="L500" s="6"/>
      <c r="M500" s="7"/>
      <c r="U500" s="8"/>
      <c r="V500" s="8"/>
      <c r="W500" s="8"/>
      <c r="X500" s="9"/>
      <c r="Y500" s="6"/>
      <c r="Z500" s="8"/>
    </row>
    <row r="501" spans="1:26" x14ac:dyDescent="0.3">
      <c r="A501" s="1" t="s">
        <v>884</v>
      </c>
      <c r="B501" s="1" t="str">
        <v>AMK HUB</v>
      </c>
      <c r="K501" s="6"/>
      <c r="L501" s="6"/>
      <c r="M501" s="7"/>
      <c r="U501" s="8"/>
      <c r="V501" s="8"/>
      <c r="W501" s="8"/>
      <c r="X501" s="9"/>
      <c r="Y501" s="6"/>
      <c r="Z501" s="8"/>
    </row>
    <row r="502" spans="1:26" x14ac:dyDescent="0.3">
      <c r="A502" s="1" t="s">
        <v>1333</v>
      </c>
      <c r="B502" s="1" t="str">
        <v>WEST MALL</v>
      </c>
      <c r="K502" s="6"/>
      <c r="L502" s="6"/>
      <c r="M502" s="7"/>
      <c r="U502" s="8"/>
      <c r="V502" s="8"/>
      <c r="W502" s="8"/>
      <c r="X502" s="9"/>
      <c r="Y502" s="6"/>
      <c r="Z502" s="8"/>
    </row>
    <row r="503" spans="1:26" x14ac:dyDescent="0.3">
      <c r="A503" s="1" t="s">
        <v>552</v>
      </c>
      <c r="B503" s="1" t="str">
        <v>EASTPOINT MALL</v>
      </c>
      <c r="K503" s="6"/>
      <c r="L503" s="6"/>
      <c r="M503" s="7"/>
      <c r="U503" s="8"/>
      <c r="V503" s="8"/>
      <c r="W503" s="8"/>
      <c r="X503" s="9"/>
      <c r="Y503" s="6"/>
      <c r="Z503" s="8"/>
    </row>
    <row r="504" spans="1:26" x14ac:dyDescent="0.3">
      <c r="A504" s="1" t="s">
        <v>1075</v>
      </c>
      <c r="B504" s="1" t="str">
        <v>TAMPINES ONE</v>
      </c>
      <c r="K504" s="6"/>
      <c r="L504" s="6"/>
      <c r="M504" s="7"/>
      <c r="U504" s="8"/>
      <c r="V504" s="8"/>
      <c r="W504" s="8"/>
      <c r="X504" s="9"/>
      <c r="Y504" s="6"/>
      <c r="Z504" s="8"/>
    </row>
    <row r="505" spans="1:26" x14ac:dyDescent="0.3">
      <c r="A505" s="1" t="s">
        <v>275</v>
      </c>
      <c r="B505" s="1" t="str">
        <v>ION ORCHARD</v>
      </c>
      <c r="K505" s="6"/>
      <c r="L505" s="6"/>
      <c r="M505" s="7"/>
      <c r="U505" s="8"/>
      <c r="V505" s="8"/>
      <c r="W505" s="8"/>
      <c r="X505" s="9"/>
      <c r="Y505" s="6"/>
      <c r="Z505" s="8"/>
    </row>
    <row r="506" spans="1:26" x14ac:dyDescent="0.3">
      <c r="A506" s="1" t="s">
        <v>140</v>
      </c>
      <c r="B506" s="1" t="str">
        <v>313 @ SOMERSET</v>
      </c>
      <c r="K506" s="6"/>
      <c r="L506" s="6"/>
      <c r="M506" s="7"/>
      <c r="U506" s="8"/>
      <c r="V506" s="8"/>
      <c r="W506" s="8"/>
      <c r="X506" s="9"/>
      <c r="Y506" s="6"/>
      <c r="Z506" s="8"/>
    </row>
    <row r="507" spans="1:26" x14ac:dyDescent="0.3">
      <c r="A507" s="1" t="s">
        <v>965</v>
      </c>
      <c r="B507" s="1" t="str">
        <v>CAUSEWAY POINT</v>
      </c>
      <c r="K507" s="6"/>
      <c r="L507" s="6"/>
      <c r="M507" s="7"/>
      <c r="U507" s="8"/>
      <c r="V507" s="8"/>
      <c r="W507" s="8"/>
      <c r="X507" s="9"/>
      <c r="Y507" s="6"/>
      <c r="Z507" s="8"/>
    </row>
    <row r="508" spans="1:26" x14ac:dyDescent="0.3">
      <c r="A508" s="1" t="s">
        <v>891</v>
      </c>
      <c r="B508" s="1" t="str">
        <v>NEX</v>
      </c>
      <c r="K508" s="6"/>
      <c r="L508" s="6"/>
      <c r="M508" s="7"/>
      <c r="U508" s="8"/>
      <c r="V508" s="8"/>
      <c r="W508" s="8"/>
      <c r="X508" s="9"/>
      <c r="Y508" s="6"/>
      <c r="Z508" s="8"/>
    </row>
    <row r="509" spans="1:26" x14ac:dyDescent="0.3">
      <c r="A509" s="1" t="s">
        <v>1037</v>
      </c>
      <c r="B509" s="1" t="str">
        <v>JURONG POINT</v>
      </c>
      <c r="K509" s="6"/>
      <c r="L509" s="6"/>
      <c r="M509" s="7"/>
      <c r="U509" s="8"/>
      <c r="V509" s="8"/>
      <c r="W509" s="8"/>
      <c r="X509" s="9"/>
      <c r="Y509" s="6"/>
      <c r="Z509" s="8"/>
    </row>
    <row r="510" spans="1:26" x14ac:dyDescent="0.3">
      <c r="A510" s="1" t="s">
        <v>1141</v>
      </c>
      <c r="B510" s="1" t="str">
        <v>JUNCTION 8 SHOPPING CENTRE</v>
      </c>
      <c r="K510" s="6"/>
      <c r="L510" s="6"/>
      <c r="M510" s="7"/>
      <c r="U510" s="8"/>
      <c r="V510" s="8"/>
      <c r="W510" s="8"/>
      <c r="X510" s="9"/>
      <c r="Y510" s="6"/>
      <c r="Z510" s="8"/>
    </row>
    <row r="511" spans="1:26" x14ac:dyDescent="0.3">
      <c r="A511" s="1" t="s">
        <v>1420</v>
      </c>
      <c r="B511" s="1" t="str">
        <v>TAMPINES MALL</v>
      </c>
      <c r="K511" s="6"/>
      <c r="L511" s="6"/>
      <c r="M511" s="7"/>
      <c r="U511" s="8"/>
      <c r="V511" s="8"/>
      <c r="W511" s="8"/>
      <c r="X511" s="9"/>
      <c r="Y511" s="6"/>
      <c r="Z511" s="8"/>
    </row>
    <row r="512" spans="1:26" x14ac:dyDescent="0.3">
      <c r="A512" s="1" t="s">
        <v>339</v>
      </c>
      <c r="B512" s="1" t="str">
        <v>THOMSON PLAZA</v>
      </c>
      <c r="K512" s="6"/>
      <c r="L512" s="6"/>
      <c r="M512" s="7"/>
      <c r="U512" s="8"/>
      <c r="V512" s="8"/>
      <c r="W512" s="8"/>
      <c r="X512" s="9"/>
      <c r="Y512" s="6"/>
      <c r="Z512" s="8"/>
    </row>
    <row r="513" spans="1:26" x14ac:dyDescent="0.3">
      <c r="A513" s="1" t="s">
        <v>315</v>
      </c>
      <c r="B513" s="1" t="str">
        <v>LOT ONE, SHOPPERS' MALL</v>
      </c>
      <c r="K513" s="6"/>
      <c r="L513" s="6"/>
      <c r="M513" s="7"/>
      <c r="U513" s="8"/>
      <c r="V513" s="8"/>
      <c r="W513" s="8"/>
      <c r="X513" s="9"/>
      <c r="Y513" s="6"/>
      <c r="Z513" s="8"/>
    </row>
    <row r="514" spans="1:26" x14ac:dyDescent="0.3">
      <c r="A514" s="1" t="s">
        <v>1682</v>
      </c>
      <c r="B514" s="1" t="str">
        <v>1 PASIR RIS CENTRAL STREET 3</v>
      </c>
      <c r="K514" s="6"/>
      <c r="L514" s="6"/>
      <c r="M514" s="7"/>
      <c r="U514" s="8"/>
      <c r="V514" s="8"/>
      <c r="W514" s="8"/>
      <c r="X514" s="9"/>
      <c r="Y514" s="6"/>
      <c r="Z514" s="8"/>
    </row>
    <row r="515" spans="1:26" x14ac:dyDescent="0.3">
      <c r="A515" s="1" t="s">
        <v>516</v>
      </c>
      <c r="B515" s="1" t="str">
        <v>COMPASS ONE</v>
      </c>
      <c r="K515" s="6"/>
      <c r="L515" s="6"/>
      <c r="M515" s="7"/>
      <c r="U515" s="8"/>
      <c r="V515" s="8"/>
      <c r="W515" s="8"/>
      <c r="X515" s="9"/>
      <c r="Y515" s="6"/>
      <c r="Z515" s="8"/>
    </row>
    <row r="516" spans="1:26" x14ac:dyDescent="0.3">
      <c r="A516" s="1" t="s">
        <v>1683</v>
      </c>
      <c r="B516" s="1" t="str">
        <v>930 YISHUN AVENUE 2</v>
      </c>
      <c r="K516" s="6"/>
      <c r="L516" s="6"/>
      <c r="M516" s="7"/>
      <c r="U516" s="8"/>
      <c r="V516" s="8"/>
      <c r="W516" s="8"/>
      <c r="X516" s="9"/>
      <c r="Y516" s="6"/>
      <c r="Z516" s="8"/>
    </row>
    <row r="517" spans="1:26" x14ac:dyDescent="0.3">
      <c r="A517" s="1" t="s">
        <v>1019</v>
      </c>
      <c r="B517" s="1" t="str">
        <v>WATERWAY POINT</v>
      </c>
      <c r="K517" s="6"/>
      <c r="L517" s="6"/>
      <c r="M517" s="7"/>
      <c r="U517" s="8"/>
      <c r="V517" s="8"/>
      <c r="W517" s="8"/>
      <c r="X517" s="9"/>
      <c r="Y517" s="6"/>
      <c r="Z517" s="8"/>
    </row>
    <row r="518" spans="1:26" x14ac:dyDescent="0.3">
      <c r="A518" s="1" t="s">
        <v>1079</v>
      </c>
      <c r="B518" s="1" t="str">
        <v>HOUGANG MALL</v>
      </c>
      <c r="K518" s="6"/>
      <c r="L518" s="6"/>
      <c r="M518" s="7"/>
      <c r="U518" s="8"/>
      <c r="V518" s="8"/>
      <c r="W518" s="8"/>
      <c r="X518" s="9"/>
      <c r="Y518" s="6"/>
      <c r="Z518" s="8"/>
    </row>
    <row r="519" spans="1:26" x14ac:dyDescent="0.3">
      <c r="A519" s="1" t="s">
        <v>1031</v>
      </c>
      <c r="B519" s="1" t="str">
        <v>BUKIT PANJANG PLAZA</v>
      </c>
      <c r="K519" s="6"/>
      <c r="L519" s="6"/>
      <c r="M519" s="7"/>
      <c r="U519" s="8"/>
      <c r="V519" s="8"/>
      <c r="W519" s="8"/>
      <c r="X519" s="9"/>
      <c r="Y519" s="6"/>
      <c r="Z519" s="8"/>
    </row>
    <row r="520" spans="1:26" x14ac:dyDescent="0.3">
      <c r="A520" s="1" t="s">
        <v>834</v>
      </c>
      <c r="B520" s="1" t="str">
        <v>BEDOK MALL</v>
      </c>
      <c r="K520" s="6"/>
      <c r="L520" s="6"/>
      <c r="M520" s="7"/>
      <c r="U520" s="8"/>
      <c r="V520" s="8"/>
      <c r="W520" s="8"/>
      <c r="X520" s="9"/>
      <c r="Y520" s="6"/>
      <c r="Z520" s="8"/>
    </row>
    <row r="521" spans="1:26" x14ac:dyDescent="0.3">
      <c r="A521" s="1" t="s">
        <v>1066</v>
      </c>
      <c r="B521" s="1" t="str">
        <v>ORCHARD CENTRAL</v>
      </c>
      <c r="K521" s="6"/>
      <c r="L521" s="6"/>
      <c r="M521" s="7"/>
      <c r="U521" s="8"/>
      <c r="V521" s="8"/>
      <c r="W521" s="8"/>
      <c r="X521" s="9"/>
      <c r="Y521" s="6"/>
      <c r="Z521" s="8"/>
    </row>
    <row r="522" spans="1:26" x14ac:dyDescent="0.3">
      <c r="A522" s="1" t="s">
        <v>814</v>
      </c>
      <c r="B522" s="1" t="str">
        <v>THE CLEMENTI MALL</v>
      </c>
      <c r="K522" s="6"/>
      <c r="L522" s="6"/>
      <c r="M522" s="7"/>
      <c r="U522" s="8"/>
      <c r="V522" s="8"/>
      <c r="W522" s="8"/>
      <c r="X522" s="9"/>
      <c r="Y522" s="6"/>
      <c r="Z522" s="8"/>
    </row>
    <row r="523" spans="1:26" x14ac:dyDescent="0.3">
      <c r="A523" s="1" t="s">
        <v>1536</v>
      </c>
      <c r="B523" s="1" t="str">
        <v>JCUBE</v>
      </c>
      <c r="K523" s="6"/>
      <c r="L523" s="6"/>
      <c r="M523" s="7"/>
      <c r="U523" s="8"/>
      <c r="V523" s="8"/>
      <c r="W523" s="8"/>
      <c r="X523" s="9"/>
      <c r="Y523" s="6"/>
      <c r="Z523" s="8"/>
    </row>
    <row r="524" spans="1:26" x14ac:dyDescent="0.3">
      <c r="A524" s="1" t="s">
        <v>573</v>
      </c>
      <c r="B524" s="1" t="str">
        <v>THE SELETAR MALL</v>
      </c>
      <c r="K524" s="6"/>
      <c r="L524" s="6"/>
      <c r="M524" s="7"/>
      <c r="U524" s="8"/>
      <c r="V524" s="8"/>
      <c r="W524" s="8"/>
      <c r="X524" s="9"/>
      <c r="Y524" s="6"/>
      <c r="Z524" s="8"/>
    </row>
    <row r="525" spans="1:26" x14ac:dyDescent="0.3">
      <c r="A525" s="1" t="s">
        <v>299</v>
      </c>
      <c r="B525" s="1" t="str">
        <v>SUN PLAZA</v>
      </c>
      <c r="K525" s="6"/>
      <c r="L525" s="6"/>
      <c r="M525" s="7"/>
      <c r="U525" s="8"/>
      <c r="V525" s="8"/>
      <c r="W525" s="8"/>
      <c r="X525" s="9"/>
      <c r="Y525" s="6"/>
      <c r="Z525" s="8"/>
    </row>
    <row r="526" spans="1:26" x14ac:dyDescent="0.3">
      <c r="A526" s="1" t="s">
        <v>857</v>
      </c>
      <c r="B526" s="1" t="str">
        <v>HILLION MALL</v>
      </c>
      <c r="K526" s="6"/>
      <c r="L526" s="6"/>
      <c r="M526" s="7"/>
      <c r="U526" s="8"/>
      <c r="V526" s="8"/>
      <c r="W526" s="8"/>
      <c r="X526" s="9"/>
      <c r="Y526" s="6"/>
      <c r="Z526" s="8"/>
    </row>
    <row r="527" spans="1:26" x14ac:dyDescent="0.3">
      <c r="A527" s="1" t="s">
        <v>335</v>
      </c>
      <c r="B527" s="1" t="str">
        <v>OASIS</v>
      </c>
      <c r="K527" s="6"/>
      <c r="L527" s="6"/>
      <c r="M527" s="7"/>
      <c r="U527" s="8"/>
      <c r="V527" s="8"/>
      <c r="W527" s="8"/>
      <c r="X527" s="9"/>
      <c r="Y527" s="6"/>
      <c r="Z527" s="8"/>
    </row>
    <row r="528" spans="1:26" x14ac:dyDescent="0.3">
      <c r="A528" s="1" t="s">
        <v>1011</v>
      </c>
      <c r="B528" s="1" t="str">
        <v>TELOK BLANGAH HOUSE</v>
      </c>
      <c r="K528" s="6"/>
      <c r="L528" s="6"/>
      <c r="M528" s="7"/>
      <c r="U528" s="8"/>
      <c r="V528" s="8"/>
      <c r="W528" s="8"/>
      <c r="X528" s="9"/>
      <c r="Y528" s="6"/>
      <c r="Z528" s="8"/>
    </row>
    <row r="529" spans="1:26" x14ac:dyDescent="0.3">
      <c r="A529" s="1" t="s">
        <v>1329</v>
      </c>
      <c r="B529" s="1" t="str">
        <v>DEPOT HEIGHTS SHOPPING CENTRE</v>
      </c>
      <c r="K529" s="6"/>
      <c r="L529" s="6"/>
      <c r="M529" s="7"/>
      <c r="U529" s="8"/>
      <c r="V529" s="8"/>
      <c r="W529" s="8"/>
      <c r="X529" s="9"/>
      <c r="Y529" s="6"/>
      <c r="Z529" s="8"/>
    </row>
    <row r="530" spans="1:26" x14ac:dyDescent="0.3">
      <c r="A530" s="1" t="s">
        <v>676</v>
      </c>
      <c r="B530" s="1" t="str">
        <v>MING ARCADE</v>
      </c>
      <c r="K530" s="6"/>
      <c r="L530" s="6"/>
      <c r="M530" s="7"/>
      <c r="U530" s="8"/>
      <c r="V530" s="8"/>
      <c r="W530" s="8"/>
      <c r="X530" s="9"/>
      <c r="Y530" s="6"/>
      <c r="Z530" s="8"/>
    </row>
    <row r="531" spans="1:26" x14ac:dyDescent="0.3">
      <c r="A531" s="1" t="s">
        <v>493</v>
      </c>
      <c r="B531" s="1" t="str">
        <v>UPPER SERANGOON SHOPPING CENTRE</v>
      </c>
      <c r="K531" s="6"/>
      <c r="L531" s="6"/>
      <c r="M531" s="7"/>
      <c r="U531" s="8"/>
      <c r="V531" s="8"/>
      <c r="W531" s="8"/>
      <c r="X531" s="9"/>
      <c r="Y531" s="6"/>
      <c r="Z531" s="8"/>
    </row>
    <row r="532" spans="1:26" x14ac:dyDescent="0.3">
      <c r="A532" s="1" t="s">
        <v>570</v>
      </c>
      <c r="B532" s="1" t="str">
        <v>DELFI ORCHARD</v>
      </c>
      <c r="K532" s="6"/>
      <c r="L532" s="6"/>
      <c r="M532" s="7"/>
      <c r="U532" s="8"/>
      <c r="V532" s="8"/>
      <c r="W532" s="8"/>
      <c r="X532" s="9"/>
      <c r="Y532" s="6"/>
      <c r="Z532" s="8"/>
    </row>
    <row r="533" spans="1:26" x14ac:dyDescent="0.3">
      <c r="A533" s="1" t="s">
        <v>1375</v>
      </c>
      <c r="B533" s="1" t="str">
        <v>SINGAPORE SHOPPING CENTRE</v>
      </c>
      <c r="K533" s="6"/>
      <c r="L533" s="6"/>
      <c r="M533" s="7"/>
      <c r="U533" s="8"/>
      <c r="V533" s="8"/>
      <c r="W533" s="8"/>
      <c r="X533" s="9"/>
      <c r="Y533" s="6"/>
      <c r="Z533" s="8"/>
    </row>
    <row r="534" spans="1:26" x14ac:dyDescent="0.3">
      <c r="A534" s="1" t="s">
        <v>769</v>
      </c>
      <c r="B534" s="1" t="str">
        <v>THE FLOW MALL</v>
      </c>
      <c r="K534" s="6"/>
      <c r="L534" s="6"/>
      <c r="M534" s="7"/>
      <c r="U534" s="8"/>
      <c r="V534" s="8"/>
      <c r="W534" s="8"/>
      <c r="X534" s="9"/>
      <c r="Y534" s="6"/>
      <c r="Z534" s="8"/>
    </row>
    <row r="535" spans="1:26" x14ac:dyDescent="0.3">
      <c r="A535" s="1" t="s">
        <v>819</v>
      </c>
      <c r="B535" s="1" t="str">
        <v>RUBIKON</v>
      </c>
      <c r="K535" s="6"/>
      <c r="L535" s="6"/>
      <c r="M535" s="7"/>
      <c r="U535" s="8"/>
      <c r="V535" s="8"/>
      <c r="W535" s="8"/>
      <c r="X535" s="9"/>
      <c r="Y535" s="6"/>
      <c r="Z535" s="8"/>
    </row>
    <row r="536" spans="1:26" x14ac:dyDescent="0.3">
      <c r="A536" s="1" t="s">
        <v>999</v>
      </c>
      <c r="B536" s="1" t="str">
        <v>LUCKY CHINATOWN</v>
      </c>
      <c r="K536" s="6"/>
      <c r="L536" s="6"/>
      <c r="M536" s="7"/>
      <c r="U536" s="8"/>
      <c r="V536" s="8"/>
      <c r="W536" s="8"/>
      <c r="X536" s="9"/>
      <c r="Y536" s="6"/>
      <c r="Z536" s="8"/>
    </row>
    <row r="537" spans="1:26" x14ac:dyDescent="0.3">
      <c r="A537" s="1" t="s">
        <v>1491</v>
      </c>
      <c r="B537" s="1" t="str">
        <v>BALMORAL PLAZA</v>
      </c>
      <c r="K537" s="6"/>
      <c r="L537" s="6"/>
      <c r="U537" s="8"/>
      <c r="V537" s="8"/>
      <c r="W537" s="8"/>
      <c r="X537" s="9"/>
      <c r="Y537" s="6"/>
      <c r="Z537" s="8"/>
    </row>
    <row r="538" spans="1:26" x14ac:dyDescent="0.3">
      <c r="A538" s="1" t="s">
        <v>1497</v>
      </c>
      <c r="B538" s="1" t="str">
        <v>OG BUILDING</v>
      </c>
      <c r="K538" s="6"/>
      <c r="L538" s="6"/>
      <c r="U538" s="8"/>
      <c r="V538" s="8"/>
      <c r="W538" s="8"/>
      <c r="X538" s="9"/>
      <c r="Y538" s="6"/>
      <c r="Z538" s="8"/>
    </row>
    <row r="539" spans="1:26" x14ac:dyDescent="0.3">
      <c r="A539" s="1" t="s">
        <v>544</v>
      </c>
      <c r="B539" s="1" t="str">
        <v>CUPPAGE PLAZA</v>
      </c>
      <c r="K539" s="6"/>
      <c r="L539" s="6"/>
      <c r="U539" s="8"/>
      <c r="V539" s="8"/>
      <c r="W539" s="8"/>
      <c r="X539" s="9"/>
      <c r="Y539" s="6"/>
      <c r="Z539" s="8"/>
    </row>
    <row r="540" spans="1:26" x14ac:dyDescent="0.3">
      <c r="A540" s="1" t="s">
        <v>1438</v>
      </c>
      <c r="B540" s="1" t="str">
        <v>BALESTIER PLAZA</v>
      </c>
      <c r="K540" s="6"/>
      <c r="L540" s="6"/>
      <c r="U540" s="8"/>
      <c r="V540" s="8"/>
      <c r="W540" s="8"/>
      <c r="X540" s="9"/>
      <c r="Y540" s="6"/>
      <c r="Z540" s="8"/>
    </row>
    <row r="541" spans="1:26" x14ac:dyDescent="0.3">
      <c r="A541" s="1" t="s">
        <v>792</v>
      </c>
      <c r="B541" s="1" t="str">
        <v>SCAPE</v>
      </c>
      <c r="K541" s="6"/>
      <c r="L541" s="6"/>
      <c r="U541" s="8"/>
      <c r="V541" s="8"/>
      <c r="W541" s="8"/>
      <c r="X541" s="9"/>
      <c r="Y541" s="6"/>
      <c r="Z541" s="8"/>
    </row>
    <row r="542" spans="1:26" x14ac:dyDescent="0.3">
      <c r="A542" s="1" t="s">
        <v>680</v>
      </c>
      <c r="B542" s="1" t="str">
        <v>SINGAPORE DISCOVERY CENTRE</v>
      </c>
      <c r="K542" s="6"/>
      <c r="L542" s="6"/>
      <c r="U542" s="8"/>
      <c r="V542" s="8"/>
      <c r="W542" s="8"/>
      <c r="X542" s="9"/>
      <c r="Y542" s="6"/>
      <c r="Z542" s="8"/>
    </row>
    <row r="543" spans="1:26" x14ac:dyDescent="0.3">
      <c r="A543" s="1" t="s">
        <v>174</v>
      </c>
      <c r="B543" s="1" t="str">
        <v>KATONG PLAZA</v>
      </c>
      <c r="K543" s="6"/>
      <c r="L543" s="6"/>
      <c r="U543" s="8"/>
      <c r="V543" s="8"/>
      <c r="W543" s="8"/>
      <c r="X543" s="9"/>
      <c r="Y543" s="6"/>
      <c r="Z543" s="8"/>
    </row>
    <row r="544" spans="1:26" x14ac:dyDescent="0.3">
      <c r="A544" s="1" t="s">
        <v>1254</v>
      </c>
      <c r="B544" s="1" t="str">
        <v>BUGIS CUBE</v>
      </c>
      <c r="K544" s="6"/>
      <c r="L544" s="6"/>
      <c r="U544" s="8"/>
      <c r="V544" s="8"/>
      <c r="W544" s="8"/>
      <c r="X544" s="9"/>
      <c r="Y544" s="6"/>
      <c r="Z544" s="8"/>
    </row>
    <row r="545" spans="1:26" x14ac:dyDescent="0.3">
      <c r="A545" s="1" t="s">
        <v>78</v>
      </c>
      <c r="B545" s="1" t="str">
        <v>SINGAPORE FLYER</v>
      </c>
      <c r="K545" s="6"/>
      <c r="L545" s="6"/>
      <c r="U545" s="8"/>
      <c r="V545" s="8"/>
      <c r="W545" s="8"/>
      <c r="X545" s="9"/>
      <c r="Y545" s="6"/>
      <c r="Z545" s="8"/>
    </row>
    <row r="546" spans="1:26" x14ac:dyDescent="0.3">
      <c r="A546" s="1" t="s">
        <v>1442</v>
      </c>
      <c r="B546" s="1" t="str">
        <v>THE MIDTOWN</v>
      </c>
      <c r="K546" s="6"/>
      <c r="L546" s="6"/>
      <c r="U546" s="8"/>
      <c r="V546" s="8"/>
      <c r="W546" s="8"/>
      <c r="X546" s="9"/>
      <c r="Y546" s="6"/>
      <c r="Z546" s="8"/>
    </row>
    <row r="547" spans="1:26" x14ac:dyDescent="0.3">
      <c r="A547" s="1" t="s">
        <v>210</v>
      </c>
      <c r="B547" s="1" t="str">
        <v>321 CLEMENTI</v>
      </c>
      <c r="K547" s="6"/>
      <c r="L547" s="6"/>
      <c r="U547" s="8"/>
      <c r="V547" s="8"/>
      <c r="W547" s="8"/>
      <c r="X547" s="9"/>
      <c r="Y547" s="6"/>
      <c r="Z547" s="8"/>
    </row>
    <row r="548" spans="1:26" x14ac:dyDescent="0.3">
      <c r="A548" s="1" t="s">
        <v>863</v>
      </c>
      <c r="B548" s="1" t="str">
        <v>ORCHARD SHOPPING CENTRE</v>
      </c>
      <c r="K548" s="6"/>
      <c r="L548" s="6"/>
      <c r="U548" s="8"/>
      <c r="V548" s="8"/>
      <c r="W548" s="8"/>
      <c r="X548" s="9"/>
      <c r="Y548" s="6"/>
      <c r="Z548" s="8"/>
    </row>
    <row r="549" spans="1:26" x14ac:dyDescent="0.3">
      <c r="A549" s="1" t="s">
        <v>1684</v>
      </c>
      <c r="B549" s="1" t="str">
        <v>230 STADIUM BOULEVARD</v>
      </c>
      <c r="K549" s="6"/>
      <c r="L549" s="6"/>
      <c r="U549" s="8"/>
      <c r="V549" s="8"/>
      <c r="W549" s="8"/>
      <c r="X549" s="9"/>
      <c r="Y549" s="6"/>
      <c r="Z549" s="8"/>
    </row>
    <row r="550" spans="1:26" x14ac:dyDescent="0.3">
      <c r="A550" s="1" t="s">
        <v>979</v>
      </c>
      <c r="B550" s="1" t="str">
        <v>ORCHARD GATEWAY @ EMERALD</v>
      </c>
      <c r="K550" s="6"/>
      <c r="L550" s="6"/>
      <c r="U550" s="8"/>
      <c r="V550" s="8"/>
      <c r="W550" s="8"/>
      <c r="X550" s="9"/>
      <c r="Y550" s="6"/>
      <c r="Z550" s="8"/>
    </row>
    <row r="551" spans="1:26" x14ac:dyDescent="0.3">
      <c r="A551" s="1" t="s">
        <v>468</v>
      </c>
      <c r="B551" s="1" t="str">
        <v>THE ORIENTAL PLAZA</v>
      </c>
      <c r="K551" s="6"/>
      <c r="L551" s="6"/>
      <c r="U551" s="8"/>
      <c r="V551" s="8"/>
      <c r="W551" s="8"/>
      <c r="X551" s="9"/>
      <c r="Y551" s="6"/>
      <c r="Z551" s="8"/>
    </row>
    <row r="552" spans="1:26" x14ac:dyDescent="0.3">
      <c r="A552" s="1" t="s">
        <v>198</v>
      </c>
      <c r="B552" s="1" t="str">
        <v>QUEENSWAY SHOPPING CENTRE/QUEENSWAY TOWER</v>
      </c>
      <c r="K552" s="6"/>
      <c r="L552" s="6"/>
      <c r="U552" s="8"/>
      <c r="V552" s="8"/>
      <c r="W552" s="8"/>
      <c r="X552" s="9"/>
      <c r="Y552" s="6"/>
      <c r="Z552" s="8"/>
    </row>
    <row r="553" spans="1:26" x14ac:dyDescent="0.3">
      <c r="A553" s="1" t="s">
        <v>1494</v>
      </c>
      <c r="B553" s="1" t="str">
        <v>JUNCTION NINE</v>
      </c>
      <c r="K553" s="6"/>
      <c r="L553" s="6"/>
      <c r="U553" s="8"/>
      <c r="V553" s="8"/>
      <c r="W553" s="8"/>
      <c r="X553" s="9"/>
      <c r="Y553" s="6"/>
      <c r="Z553" s="8"/>
    </row>
    <row r="554" spans="1:26" x14ac:dyDescent="0.3">
      <c r="A554" s="1" t="s">
        <v>1324</v>
      </c>
      <c r="B554" s="1" t="str">
        <v>MIDPOINT ORCHARD</v>
      </c>
      <c r="K554" s="6"/>
      <c r="L554" s="6"/>
      <c r="M554" s="7"/>
      <c r="U554" s="8"/>
      <c r="V554" s="8"/>
      <c r="W554" s="8"/>
      <c r="X554" s="9"/>
      <c r="Y554" s="6"/>
      <c r="Z554" s="8"/>
    </row>
    <row r="555" spans="1:26" x14ac:dyDescent="0.3">
      <c r="A555" s="1" t="s">
        <v>1416</v>
      </c>
      <c r="B555" s="1" t="str">
        <v>BALESTIER POINT</v>
      </c>
      <c r="K555" s="6"/>
      <c r="L555" s="6"/>
      <c r="M555" s="7"/>
      <c r="U555" s="8"/>
      <c r="V555" s="8"/>
      <c r="W555" s="9"/>
      <c r="X555" s="9"/>
      <c r="Y555" s="8"/>
      <c r="Z555" s="8"/>
    </row>
    <row r="556" spans="1:26" x14ac:dyDescent="0.3">
      <c r="A556" s="1" t="s">
        <v>1534</v>
      </c>
      <c r="B556" s="1" t="str">
        <v>BEDOK POINT</v>
      </c>
      <c r="K556" s="6"/>
      <c r="L556" s="6"/>
      <c r="M556" s="7"/>
      <c r="U556" s="8"/>
      <c r="V556" s="8"/>
      <c r="W556" s="8"/>
      <c r="X556" s="9"/>
      <c r="Y556" s="6"/>
      <c r="Z556" s="8"/>
    </row>
    <row r="557" spans="1:26" x14ac:dyDescent="0.3">
      <c r="A557" s="1" t="s">
        <v>778</v>
      </c>
      <c r="B557" s="1" t="str">
        <v>GRANDLINK SQUARE</v>
      </c>
      <c r="K557" s="6"/>
      <c r="L557" s="6"/>
      <c r="M557" s="7"/>
      <c r="U557" s="8"/>
      <c r="V557" s="8"/>
      <c r="W557" s="8"/>
      <c r="X557" s="9"/>
      <c r="Y557" s="6"/>
      <c r="Z557" s="8"/>
    </row>
    <row r="558" spans="1:26" x14ac:dyDescent="0.3">
      <c r="A558" s="1" t="s">
        <v>1531</v>
      </c>
      <c r="B558" s="1" t="str">
        <v>HOLLAND ROAD SHOPPING CENTRE</v>
      </c>
      <c r="K558" s="6"/>
      <c r="L558" s="6"/>
      <c r="M558" s="7"/>
      <c r="U558" s="8"/>
      <c r="V558" s="8"/>
      <c r="W558" s="8"/>
      <c r="X558" s="9"/>
      <c r="Y558" s="6"/>
      <c r="Z558" s="8"/>
    </row>
    <row r="559" spans="1:26" x14ac:dyDescent="0.3">
      <c r="A559" s="1" t="s">
        <v>1366</v>
      </c>
      <c r="B559" s="1" t="str">
        <v>THE WOODGROVE</v>
      </c>
      <c r="K559" s="6"/>
      <c r="L559" s="6"/>
      <c r="M559" s="7"/>
      <c r="U559" s="8"/>
      <c r="V559" s="8"/>
      <c r="W559" s="8"/>
      <c r="X559" s="9"/>
      <c r="Y559" s="6"/>
      <c r="Z559" s="8"/>
    </row>
    <row r="560" spans="1:26" x14ac:dyDescent="0.3">
      <c r="A560" s="1" t="s">
        <v>1685</v>
      </c>
      <c r="B560" s="1" t="str">
        <v>61 ANG MO KIO AVENUE 8</v>
      </c>
      <c r="K560" s="6"/>
      <c r="L560" s="6"/>
      <c r="M560" s="7"/>
      <c r="U560" s="8"/>
      <c r="V560" s="8"/>
      <c r="W560" s="8"/>
      <c r="X560" s="9"/>
      <c r="Y560" s="6"/>
      <c r="Z560" s="8"/>
    </row>
    <row r="561" spans="1:26" x14ac:dyDescent="0.3">
      <c r="A561" s="1" t="s">
        <v>955</v>
      </c>
      <c r="B561" s="1" t="str">
        <v>TAMAN JURONG SHOPPING CENTRE</v>
      </c>
      <c r="K561" s="6"/>
      <c r="L561" s="6"/>
      <c r="M561" s="7"/>
      <c r="U561" s="8"/>
      <c r="V561" s="8"/>
      <c r="W561" s="8"/>
      <c r="X561" s="9"/>
      <c r="Y561" s="6"/>
      <c r="Z561" s="8"/>
    </row>
    <row r="562" spans="1:26" x14ac:dyDescent="0.3">
      <c r="A562" s="1" t="s">
        <v>774</v>
      </c>
      <c r="B562" s="1" t="str">
        <v>DJIT SUN MALL</v>
      </c>
      <c r="K562" s="6"/>
      <c r="L562" s="6"/>
      <c r="M562" s="7"/>
      <c r="U562" s="8"/>
      <c r="V562" s="8"/>
      <c r="W562" s="8"/>
      <c r="X562" s="9"/>
      <c r="Y562" s="6"/>
      <c r="Z562" s="8"/>
    </row>
    <row r="563" spans="1:26" x14ac:dyDescent="0.3">
      <c r="A563" s="1" t="s">
        <v>621</v>
      </c>
      <c r="B563" s="1" t="str">
        <v>SEMBAWANG MART</v>
      </c>
      <c r="K563" s="6"/>
      <c r="L563" s="6"/>
      <c r="M563" s="7"/>
      <c r="U563" s="8"/>
      <c r="V563" s="8"/>
      <c r="W563" s="8"/>
      <c r="X563" s="9"/>
      <c r="Y563" s="6"/>
      <c r="Z563" s="8"/>
    </row>
    <row r="564" spans="1:26" x14ac:dyDescent="0.3">
      <c r="A564" s="1" t="s">
        <v>1309</v>
      </c>
      <c r="B564" s="1" t="str">
        <v>HOUGANG GREEN SHOPPING MALL</v>
      </c>
      <c r="K564" s="6"/>
      <c r="L564" s="6"/>
      <c r="M564" s="7"/>
      <c r="U564" s="8"/>
      <c r="V564" s="8"/>
      <c r="W564" s="8"/>
      <c r="X564" s="9"/>
      <c r="Y564" s="6"/>
      <c r="Z564" s="8"/>
    </row>
    <row r="565" spans="1:26" x14ac:dyDescent="0.3">
      <c r="A565" s="1" t="s">
        <v>1379</v>
      </c>
      <c r="B565" s="1" t="str">
        <v>SCOTTS SQUARE</v>
      </c>
      <c r="K565" s="6"/>
      <c r="L565" s="6"/>
      <c r="M565" s="7"/>
      <c r="U565" s="8"/>
      <c r="V565" s="8"/>
      <c r="W565" s="8"/>
      <c r="X565" s="9"/>
      <c r="Y565" s="6"/>
      <c r="Z565" s="8"/>
    </row>
    <row r="566" spans="1:26" x14ac:dyDescent="0.3">
      <c r="A566" s="1" t="s">
        <v>494</v>
      </c>
      <c r="B566" s="1" t="str">
        <v>RAFFLES HOLLAND V</v>
      </c>
      <c r="K566" s="6"/>
      <c r="L566" s="6"/>
      <c r="M566" s="7"/>
      <c r="U566" s="8"/>
      <c r="V566" s="8"/>
      <c r="W566" s="8"/>
      <c r="X566" s="9"/>
      <c r="Y566" s="6"/>
      <c r="Z566" s="8"/>
    </row>
    <row r="567" spans="1:26" x14ac:dyDescent="0.3">
      <c r="A567" s="1" t="s">
        <v>1328</v>
      </c>
      <c r="B567" s="1" t="str">
        <v>VISTA POINT</v>
      </c>
      <c r="K567" s="6"/>
      <c r="L567" s="6"/>
      <c r="M567" s="7"/>
      <c r="U567" s="8"/>
      <c r="V567" s="8"/>
      <c r="W567" s="8"/>
      <c r="X567" s="9"/>
      <c r="Y567" s="6"/>
      <c r="Z567" s="8"/>
    </row>
    <row r="568" spans="1:26" x14ac:dyDescent="0.3">
      <c r="A568" s="1" t="s">
        <v>771</v>
      </c>
      <c r="B568" s="1" t="str">
        <v>KAP</v>
      </c>
      <c r="K568" s="6"/>
      <c r="L568" s="6"/>
      <c r="M568" s="7"/>
      <c r="U568" s="8"/>
      <c r="V568" s="8"/>
      <c r="W568" s="8"/>
      <c r="X568" s="9"/>
      <c r="Y568" s="6"/>
      <c r="Z568" s="8"/>
    </row>
    <row r="569" spans="1:26" x14ac:dyDescent="0.3">
      <c r="A569" s="1" t="s">
        <v>728</v>
      </c>
      <c r="B569" s="1" t="str">
        <v>ALEXANDRA CENTRAL</v>
      </c>
      <c r="K569" s="6"/>
      <c r="L569" s="6"/>
      <c r="M569" s="7"/>
      <c r="U569" s="8"/>
      <c r="V569" s="8"/>
      <c r="W569" s="8"/>
      <c r="X569" s="9"/>
      <c r="Y569" s="6"/>
      <c r="Z569" s="8"/>
    </row>
    <row r="570" spans="1:26" x14ac:dyDescent="0.3">
      <c r="A570" s="1" t="s">
        <v>1480</v>
      </c>
      <c r="B570" s="1" t="str">
        <v>JUNCTION 10</v>
      </c>
      <c r="K570" s="6"/>
      <c r="L570" s="6"/>
      <c r="M570" s="7"/>
      <c r="U570" s="8"/>
      <c r="V570" s="8"/>
      <c r="W570" s="8"/>
      <c r="X570" s="9"/>
      <c r="Y570" s="6"/>
      <c r="Z570" s="8"/>
    </row>
    <row r="571" spans="1:26" x14ac:dyDescent="0.3">
      <c r="A571" s="1" t="s">
        <v>1445</v>
      </c>
      <c r="B571" s="1" t="str">
        <v>ANCHORPOINT SHOPPING CENTRE</v>
      </c>
      <c r="K571" s="6"/>
      <c r="L571" s="6"/>
      <c r="M571" s="7"/>
      <c r="U571" s="8"/>
      <c r="V571" s="8"/>
      <c r="W571" s="8"/>
      <c r="X571" s="9"/>
      <c r="Y571" s="6"/>
      <c r="Z571" s="8"/>
    </row>
    <row r="572" spans="1:26" x14ac:dyDescent="0.3">
      <c r="A572" s="1" t="s">
        <v>1543</v>
      </c>
      <c r="B572" s="1" t="str">
        <v>QUAYSIDE ISLE</v>
      </c>
      <c r="K572" s="6"/>
      <c r="L572" s="6"/>
      <c r="M572" s="7"/>
      <c r="U572" s="8"/>
      <c r="V572" s="8"/>
      <c r="W572" s="8"/>
      <c r="X572" s="9"/>
      <c r="Y572" s="6"/>
      <c r="Z572" s="8"/>
    </row>
    <row r="573" spans="1:26" x14ac:dyDescent="0.3">
      <c r="A573" s="1" t="s">
        <v>295</v>
      </c>
      <c r="B573" s="1" t="str">
        <v>YISHUN 10 CINEMA COMPLEX</v>
      </c>
      <c r="K573" s="6"/>
      <c r="L573" s="6"/>
      <c r="M573" s="7"/>
      <c r="U573" s="8"/>
      <c r="V573" s="8"/>
      <c r="W573" s="8"/>
      <c r="X573" s="9"/>
      <c r="Y573" s="6"/>
      <c r="Z573" s="8"/>
    </row>
    <row r="574" spans="1:26" x14ac:dyDescent="0.3">
      <c r="A574" s="1" t="s">
        <v>527</v>
      </c>
      <c r="B574" s="1" t="str">
        <v>HEARTLAND MALL- KOVAN</v>
      </c>
      <c r="K574" s="6"/>
      <c r="L574" s="6"/>
      <c r="M574" s="7"/>
      <c r="U574" s="8"/>
      <c r="V574" s="8"/>
      <c r="W574" s="8"/>
      <c r="X574" s="9"/>
      <c r="Y574" s="6"/>
      <c r="Z574" s="8"/>
    </row>
    <row r="575" spans="1:26" x14ac:dyDescent="0.3">
      <c r="A575" s="1" t="s">
        <v>1439</v>
      </c>
      <c r="B575" s="1" t="str">
        <v>YEWTEE POINT</v>
      </c>
      <c r="K575" s="6"/>
      <c r="L575" s="6"/>
      <c r="M575" s="7"/>
      <c r="U575" s="8"/>
      <c r="V575" s="8"/>
      <c r="W575" s="8"/>
      <c r="X575" s="9"/>
      <c r="Y575" s="6"/>
      <c r="Z575" s="8"/>
    </row>
    <row r="576" spans="1:26" x14ac:dyDescent="0.3">
      <c r="A576" s="1" t="s">
        <v>1686</v>
      </c>
      <c r="B576" s="1" t="str">
        <v>5 TAMPINES STREET 32</v>
      </c>
      <c r="K576" s="6"/>
      <c r="L576" s="6"/>
      <c r="M576" s="7"/>
      <c r="U576" s="8"/>
      <c r="V576" s="8"/>
      <c r="W576" s="8"/>
      <c r="X576" s="9"/>
      <c r="Y576" s="6"/>
      <c r="Z576" s="8"/>
    </row>
    <row r="577" spans="1:26" x14ac:dyDescent="0.3">
      <c r="A577" s="1" t="s">
        <v>327</v>
      </c>
      <c r="B577" s="1" t="str">
        <v>YEW TEE SQUARE</v>
      </c>
      <c r="K577" s="6"/>
      <c r="L577" s="6"/>
      <c r="M577" s="7"/>
      <c r="U577" s="8"/>
      <c r="V577" s="8"/>
      <c r="W577" s="8"/>
      <c r="X577" s="9"/>
      <c r="Y577" s="6"/>
      <c r="Z577" s="8"/>
    </row>
    <row r="578" spans="1:26" x14ac:dyDescent="0.3">
      <c r="A578" s="1" t="s">
        <v>991</v>
      </c>
      <c r="B578" s="1" t="str">
        <v>MYVILLAGE AT SERANGOON GARDEN</v>
      </c>
      <c r="K578" s="6"/>
      <c r="L578" s="6"/>
      <c r="M578" s="7"/>
      <c r="U578" s="8"/>
      <c r="V578" s="8"/>
      <c r="W578" s="8"/>
      <c r="X578" s="9"/>
      <c r="Y578" s="6"/>
      <c r="Z578" s="8"/>
    </row>
    <row r="579" spans="1:26" x14ac:dyDescent="0.3">
      <c r="A579" s="1" t="s">
        <v>659</v>
      </c>
      <c r="B579" s="1" t="str">
        <v>HOUGANG 1</v>
      </c>
      <c r="K579" s="6"/>
      <c r="L579" s="6"/>
      <c r="M579" s="7"/>
      <c r="U579" s="8"/>
      <c r="V579" s="8"/>
      <c r="W579" s="8"/>
      <c r="X579" s="9"/>
      <c r="Y579" s="6"/>
      <c r="Z579" s="8"/>
    </row>
    <row r="580" spans="1:26" x14ac:dyDescent="0.3">
      <c r="A580" s="1" t="s">
        <v>20</v>
      </c>
      <c r="B580" s="1" t="str">
        <v>RIVERVALE MALL</v>
      </c>
      <c r="K580" s="6"/>
      <c r="L580" s="6"/>
      <c r="M580" s="7"/>
      <c r="U580" s="8"/>
      <c r="V580" s="8"/>
      <c r="W580" s="8"/>
      <c r="X580" s="9"/>
      <c r="Y580" s="6"/>
      <c r="Z580" s="8"/>
    </row>
    <row r="581" spans="1:26" x14ac:dyDescent="0.3">
      <c r="A581" s="1" t="s">
        <v>67</v>
      </c>
      <c r="B581" s="1" t="str">
        <v>PUBLIC MANSIONS</v>
      </c>
      <c r="K581" s="6"/>
      <c r="L581" s="6"/>
      <c r="M581" s="7"/>
      <c r="U581" s="8"/>
      <c r="V581" s="8"/>
      <c r="W581" s="8"/>
      <c r="X581" s="9"/>
      <c r="Y581" s="6"/>
      <c r="Z581" s="8"/>
    </row>
    <row r="582" spans="1:26" x14ac:dyDescent="0.3">
      <c r="A582" s="1" t="s">
        <v>1297</v>
      </c>
      <c r="B582" s="1" t="str">
        <v>KITCHENER COMPLEX</v>
      </c>
      <c r="K582" s="6"/>
      <c r="L582" s="6"/>
      <c r="M582" s="7"/>
      <c r="U582" s="8"/>
      <c r="V582" s="8"/>
      <c r="W582" s="8"/>
      <c r="X582" s="9"/>
      <c r="Y582" s="6"/>
      <c r="Z582" s="8"/>
    </row>
    <row r="583" spans="1:26" x14ac:dyDescent="0.3">
      <c r="A583" s="1" t="s">
        <v>162</v>
      </c>
      <c r="B583" s="1" t="str">
        <v>ORCHARD TOWERS</v>
      </c>
      <c r="K583" s="6"/>
      <c r="L583" s="6"/>
      <c r="M583" s="7"/>
      <c r="U583" s="8"/>
      <c r="V583" s="8"/>
      <c r="W583" s="8"/>
      <c r="X583" s="9"/>
      <c r="Y583" s="6"/>
      <c r="Z583" s="8"/>
    </row>
    <row r="584" spans="1:26" x14ac:dyDescent="0.3">
      <c r="A584" s="1" t="s">
        <v>539</v>
      </c>
      <c r="B584" s="1" t="str">
        <v>THE HEEREN</v>
      </c>
      <c r="K584" s="6"/>
      <c r="L584" s="6"/>
      <c r="M584" s="7"/>
      <c r="U584" s="8"/>
      <c r="V584" s="8"/>
      <c r="W584" s="8"/>
      <c r="X584" s="9"/>
      <c r="Y584" s="6"/>
      <c r="Z584" s="8"/>
    </row>
    <row r="585" spans="1:26" x14ac:dyDescent="0.3">
      <c r="A585" s="1" t="s">
        <v>1522</v>
      </c>
      <c r="B585" s="1" t="str">
        <v>SIM LIM TOWER</v>
      </c>
      <c r="K585" s="6"/>
      <c r="L585" s="6"/>
      <c r="M585" s="7"/>
      <c r="U585" s="8"/>
      <c r="V585" s="8"/>
      <c r="W585" s="8"/>
      <c r="X585" s="9"/>
      <c r="Y585" s="6"/>
      <c r="Z585" s="8"/>
    </row>
    <row r="586" spans="1:26" x14ac:dyDescent="0.3">
      <c r="A586" s="1" t="s">
        <v>724</v>
      </c>
      <c r="B586" s="1" t="str">
        <v>CONCORDE HOTEL AND SHOPPING MALL</v>
      </c>
      <c r="K586" s="6"/>
      <c r="L586" s="6"/>
      <c r="M586" s="7"/>
      <c r="U586" s="8"/>
      <c r="V586" s="8"/>
      <c r="W586" s="8"/>
      <c r="X586" s="9"/>
      <c r="Y586" s="6"/>
      <c r="Z586" s="8"/>
    </row>
    <row r="587" spans="1:26" x14ac:dyDescent="0.3">
      <c r="A587" s="1" t="s">
        <v>677</v>
      </c>
      <c r="B587" s="1" t="str">
        <v>THE ADELPHI</v>
      </c>
      <c r="K587" s="6"/>
      <c r="L587" s="6"/>
      <c r="M587" s="7"/>
      <c r="U587" s="8"/>
      <c r="V587" s="8"/>
      <c r="W587" s="8"/>
      <c r="X587" s="9"/>
      <c r="Y587" s="6"/>
      <c r="Z587" s="8"/>
    </row>
    <row r="588" spans="1:26" x14ac:dyDescent="0.3">
      <c r="A588" s="1" t="s">
        <v>616</v>
      </c>
      <c r="B588" s="1" t="str">
        <v>PENINSULA PLAZA</v>
      </c>
      <c r="K588" s="6"/>
      <c r="L588" s="6"/>
      <c r="M588" s="7"/>
      <c r="U588" s="8"/>
      <c r="V588" s="8"/>
      <c r="W588" s="8"/>
      <c r="X588" s="9"/>
      <c r="Y588" s="6"/>
      <c r="Z588" s="8"/>
    </row>
    <row r="589" spans="1:26" x14ac:dyDescent="0.3">
      <c r="A589" s="1" t="s">
        <v>1504</v>
      </c>
      <c r="B589" s="1" t="str">
        <v>OG ALBERT COMPLEX</v>
      </c>
      <c r="K589" s="6"/>
      <c r="L589" s="6"/>
      <c r="M589" s="7"/>
      <c r="U589" s="8"/>
      <c r="V589" s="8"/>
      <c r="W589" s="8"/>
      <c r="X589" s="9"/>
      <c r="Y589" s="6"/>
      <c r="Z589" s="8"/>
    </row>
    <row r="590" spans="1:26" x14ac:dyDescent="0.3">
      <c r="A590" s="1" t="s">
        <v>180</v>
      </c>
      <c r="B590" s="1" t="str">
        <v>PALAIS RENAISSANCE</v>
      </c>
      <c r="K590" s="6"/>
      <c r="L590" s="6"/>
      <c r="M590" s="7"/>
      <c r="U590" s="8"/>
      <c r="V590" s="8"/>
      <c r="W590" s="8"/>
      <c r="X590" s="9"/>
      <c r="Y590" s="6"/>
      <c r="Z590" s="8"/>
    </row>
    <row r="591" spans="1:26" x14ac:dyDescent="0.3">
      <c r="A591" s="1" t="s">
        <v>1447</v>
      </c>
      <c r="B591" s="1" t="str">
        <v>PEOPLE'S PARK CENTRE</v>
      </c>
      <c r="K591" s="6"/>
      <c r="L591" s="6"/>
      <c r="M591" s="7"/>
      <c r="U591" s="8"/>
      <c r="V591" s="8"/>
      <c r="W591" s="8"/>
      <c r="X591" s="9"/>
      <c r="Y591" s="6"/>
      <c r="Z591" s="8"/>
    </row>
    <row r="592" spans="1:26" x14ac:dyDescent="0.3">
      <c r="A592" s="1" t="s">
        <v>256</v>
      </c>
      <c r="B592" s="1" t="str">
        <v>TANGLIN SHOPPING CENTRE</v>
      </c>
      <c r="K592" s="6"/>
      <c r="L592" s="6"/>
      <c r="M592" s="7"/>
      <c r="U592" s="8"/>
      <c r="V592" s="8"/>
      <c r="W592" s="8"/>
      <c r="X592" s="9"/>
      <c r="Y592" s="6"/>
      <c r="Z592" s="8"/>
    </row>
    <row r="593" spans="1:26" x14ac:dyDescent="0.3">
      <c r="A593" s="1" t="s">
        <v>555</v>
      </c>
      <c r="B593" s="1" t="str">
        <v>INCOME AT PRINSEP</v>
      </c>
      <c r="K593" s="6"/>
      <c r="L593" s="6"/>
      <c r="M593" s="7"/>
      <c r="U593" s="8"/>
      <c r="V593" s="8"/>
      <c r="W593" s="8"/>
      <c r="X593" s="9"/>
      <c r="Y593" s="6"/>
      <c r="Z593" s="8"/>
    </row>
    <row r="594" spans="1:26" x14ac:dyDescent="0.3">
      <c r="A594" s="1" t="s">
        <v>1546</v>
      </c>
      <c r="B594" s="1" t="str">
        <v>HEXACUBE</v>
      </c>
      <c r="K594" s="6"/>
      <c r="L594" s="6"/>
      <c r="M594" s="7"/>
      <c r="U594" s="8"/>
      <c r="V594" s="8"/>
      <c r="W594" s="8"/>
      <c r="X594" s="9"/>
      <c r="Y594" s="6"/>
      <c r="Z594" s="8"/>
    </row>
    <row r="595" spans="1:26" x14ac:dyDescent="0.3">
      <c r="A595" s="1" t="s">
        <v>218</v>
      </c>
      <c r="B595" s="1" t="str">
        <v>RB CAPITAL BUILDING</v>
      </c>
      <c r="K595" s="6"/>
      <c r="L595" s="6"/>
      <c r="M595" s="7"/>
      <c r="U595" s="8"/>
      <c r="V595" s="8"/>
      <c r="W595" s="8"/>
      <c r="X595" s="9"/>
      <c r="Y595" s="6"/>
      <c r="Z595" s="8"/>
    </row>
    <row r="596" spans="1:26" x14ac:dyDescent="0.3">
      <c r="A596" s="1" t="s">
        <v>203</v>
      </c>
      <c r="B596" s="1" t="str">
        <v>SEACARE BUILDING</v>
      </c>
      <c r="K596" s="6"/>
      <c r="L596" s="6"/>
      <c r="M596" s="7"/>
      <c r="U596" s="8"/>
      <c r="V596" s="8"/>
      <c r="W596" s="8"/>
      <c r="X596" s="9"/>
      <c r="Y596" s="6"/>
      <c r="Z596" s="8"/>
    </row>
    <row r="597" spans="1:26" x14ac:dyDescent="0.3">
      <c r="A597" s="1" t="s">
        <v>1336</v>
      </c>
      <c r="B597" s="1" t="str">
        <v>WILKIE EDGE</v>
      </c>
      <c r="K597" s="6"/>
      <c r="L597" s="6"/>
      <c r="M597" s="7"/>
      <c r="U597" s="8"/>
      <c r="V597" s="8"/>
      <c r="W597" s="8"/>
      <c r="X597" s="9"/>
      <c r="Y597" s="6"/>
      <c r="Z597" s="8"/>
    </row>
    <row r="598" spans="1:26" x14ac:dyDescent="0.3">
      <c r="A598" s="1" t="s">
        <v>1145</v>
      </c>
      <c r="B598" s="1" t="str">
        <v>IMM BUILDING</v>
      </c>
      <c r="K598" s="6"/>
      <c r="L598" s="6"/>
      <c r="M598" s="7"/>
      <c r="U598" s="8"/>
      <c r="V598" s="8"/>
      <c r="W598" s="8"/>
      <c r="X598" s="9"/>
      <c r="Y598" s="6"/>
      <c r="Z598" s="8"/>
    </row>
    <row r="599" spans="1:26" x14ac:dyDescent="0.3">
      <c r="A599" s="1" t="s">
        <v>1082</v>
      </c>
      <c r="B599" s="1" t="str">
        <v>SCOTTSWALK</v>
      </c>
      <c r="K599" s="6"/>
      <c r="L599" s="6"/>
      <c r="M599" s="7"/>
      <c r="U599" s="8"/>
      <c r="V599" s="8"/>
      <c r="W599" s="8"/>
      <c r="X599" s="9"/>
      <c r="Y599" s="6"/>
      <c r="Z599" s="8"/>
    </row>
    <row r="600" spans="1:26" x14ac:dyDescent="0.3">
      <c r="A600" s="1" t="s">
        <v>1134</v>
      </c>
      <c r="B600" s="1" t="str">
        <v>LIAT TOWERS</v>
      </c>
      <c r="K600" s="6"/>
      <c r="L600" s="6"/>
      <c r="M600" s="7"/>
      <c r="U600" s="8"/>
      <c r="V600" s="8"/>
      <c r="W600" s="8"/>
      <c r="X600" s="9"/>
      <c r="Y600" s="6"/>
      <c r="Z600" s="8"/>
    </row>
    <row r="601" spans="1:26" x14ac:dyDescent="0.3">
      <c r="A601" s="1" t="s">
        <v>421</v>
      </c>
      <c r="B601" s="1" t="str">
        <v>LINK@896</v>
      </c>
      <c r="K601" s="6"/>
      <c r="L601" s="6"/>
      <c r="M601" s="7"/>
      <c r="U601" s="8"/>
      <c r="V601" s="8"/>
      <c r="W601" s="8"/>
      <c r="X601" s="9"/>
      <c r="Y601" s="6"/>
      <c r="Z601" s="8"/>
    </row>
    <row r="602" spans="1:26" x14ac:dyDescent="0.3">
      <c r="A602" s="1" t="s">
        <v>1068</v>
      </c>
      <c r="B602" s="1" t="str">
        <v>TEKKA PLACE</v>
      </c>
      <c r="K602" s="6"/>
      <c r="L602" s="6"/>
      <c r="M602" s="7"/>
      <c r="U602" s="8"/>
      <c r="V602" s="8"/>
      <c r="W602" s="8"/>
      <c r="X602" s="9"/>
      <c r="Y602" s="6"/>
      <c r="Z602" s="8"/>
    </row>
    <row r="603" spans="1:26" x14ac:dyDescent="0.3">
      <c r="A603" s="1" t="s">
        <v>848</v>
      </c>
      <c r="B603" s="1" t="str">
        <v>FAR EAST SHOPPING CENTRE</v>
      </c>
      <c r="K603" s="6"/>
      <c r="L603" s="6"/>
      <c r="M603" s="7"/>
      <c r="U603" s="8"/>
      <c r="V603" s="8"/>
      <c r="W603" s="8"/>
      <c r="X603" s="9"/>
      <c r="Y603" s="6"/>
      <c r="Z603" s="8"/>
    </row>
    <row r="604" spans="1:26" x14ac:dyDescent="0.3">
      <c r="A604" s="1" t="s">
        <v>270</v>
      </c>
      <c r="B604" s="1" t="str">
        <v>THE ATRIUM @ ORCHARD</v>
      </c>
      <c r="K604" s="6"/>
      <c r="L604" s="6"/>
      <c r="M604" s="7"/>
      <c r="U604" s="8"/>
      <c r="V604" s="8"/>
      <c r="W604" s="8"/>
      <c r="X604" s="9"/>
      <c r="Y604" s="6"/>
      <c r="Z604" s="8"/>
    </row>
    <row r="605" spans="1:26" x14ac:dyDescent="0.3">
      <c r="A605" s="1" t="s">
        <v>737</v>
      </c>
      <c r="B605" s="1" t="str">
        <v>THE RIVERWALK</v>
      </c>
      <c r="K605" s="6"/>
      <c r="L605" s="6"/>
      <c r="M605" s="7"/>
      <c r="U605" s="8"/>
      <c r="V605" s="8"/>
      <c r="W605" s="8"/>
      <c r="X605" s="9"/>
      <c r="Y605" s="6"/>
      <c r="Z605" s="8"/>
    </row>
    <row r="606" spans="1:26" x14ac:dyDescent="0.3">
      <c r="A606" s="1" t="s">
        <v>845</v>
      </c>
      <c r="B606" s="1" t="str">
        <v>THE PLAZA</v>
      </c>
      <c r="K606" s="6"/>
      <c r="L606" s="6"/>
      <c r="M606" s="7"/>
      <c r="U606" s="8"/>
      <c r="V606" s="8"/>
      <c r="W606" s="8"/>
      <c r="X606" s="9"/>
      <c r="Y606" s="6"/>
      <c r="Z606" s="8"/>
    </row>
    <row r="607" spans="1:26" x14ac:dyDescent="0.3">
      <c r="A607" s="1" t="s">
        <v>1123</v>
      </c>
      <c r="B607" s="1" t="str">
        <v>MACPHERSON MALL</v>
      </c>
      <c r="K607" s="6"/>
      <c r="L607" s="6"/>
      <c r="M607" s="7"/>
      <c r="U607" s="8"/>
      <c r="V607" s="8"/>
      <c r="W607" s="8"/>
      <c r="X607" s="9"/>
      <c r="Y607" s="6"/>
      <c r="Z607" s="8"/>
    </row>
    <row r="608" spans="1:26" x14ac:dyDescent="0.3">
      <c r="A608" s="1" t="s">
        <v>22</v>
      </c>
      <c r="B608" s="1" t="str">
        <v>UNITED SQUARE</v>
      </c>
      <c r="K608" s="6"/>
      <c r="L608" s="6"/>
      <c r="M608" s="7"/>
      <c r="U608" s="8"/>
      <c r="V608" s="8"/>
      <c r="W608" s="8"/>
      <c r="X608" s="9"/>
      <c r="Y608" s="6"/>
      <c r="Z608" s="8"/>
    </row>
    <row r="609" spans="1:26" x14ac:dyDescent="0.3">
      <c r="A609" s="1" t="s">
        <v>137</v>
      </c>
      <c r="B609" s="1" t="str">
        <v>WHEELOCK PLACE</v>
      </c>
      <c r="K609" s="6"/>
      <c r="L609" s="6"/>
      <c r="M609" s="7"/>
      <c r="U609" s="8"/>
      <c r="V609" s="8"/>
      <c r="W609" s="8"/>
      <c r="X609" s="9"/>
      <c r="Y609" s="6"/>
      <c r="Z609" s="8"/>
    </row>
    <row r="610" spans="1:26" x14ac:dyDescent="0.3">
      <c r="A610" s="1" t="s">
        <v>563</v>
      </c>
      <c r="B610" s="1" t="str">
        <v>GREAT WORLD CITY</v>
      </c>
      <c r="K610" s="6"/>
      <c r="L610" s="6"/>
      <c r="M610" s="7"/>
      <c r="U610" s="8"/>
      <c r="V610" s="8"/>
      <c r="W610" s="8"/>
      <c r="X610" s="9"/>
      <c r="Y610" s="6"/>
      <c r="Z610" s="8"/>
    </row>
    <row r="611" spans="1:26" x14ac:dyDescent="0.3">
      <c r="A611" s="1" t="s">
        <v>568</v>
      </c>
      <c r="B611" s="1" t="str">
        <v>HILTON INTERNATIONAL SINGAPORE</v>
      </c>
      <c r="K611" s="6"/>
      <c r="L611" s="6"/>
      <c r="M611" s="7"/>
      <c r="U611" s="8"/>
      <c r="V611" s="8"/>
      <c r="W611" s="8"/>
      <c r="X611" s="9"/>
      <c r="Y611" s="6"/>
      <c r="Z611" s="8"/>
    </row>
    <row r="612" spans="1:26" x14ac:dyDescent="0.3">
      <c r="A612" s="1" t="s">
        <v>1246</v>
      </c>
      <c r="B612" s="1" t="str">
        <v>NGEE ANN CITY</v>
      </c>
      <c r="K612" s="6"/>
      <c r="L612" s="6"/>
      <c r="M612" s="7"/>
      <c r="U612" s="8"/>
      <c r="V612" s="8"/>
      <c r="W612" s="8"/>
      <c r="X612" s="9"/>
      <c r="Y612" s="6"/>
      <c r="Z612" s="8"/>
    </row>
    <row r="613" spans="1:26" x14ac:dyDescent="0.3">
      <c r="A613" s="1" t="s">
        <v>945</v>
      </c>
      <c r="B613" s="1" t="str">
        <v>RIVERSIDE POINT</v>
      </c>
      <c r="K613" s="6"/>
      <c r="L613" s="6"/>
      <c r="M613" s="7"/>
      <c r="U613" s="8"/>
      <c r="V613" s="8"/>
      <c r="W613" s="8"/>
      <c r="X613" s="9"/>
      <c r="Y613" s="6"/>
      <c r="Z613" s="8"/>
    </row>
    <row r="614" spans="1:26" x14ac:dyDescent="0.3">
      <c r="A614" s="1" t="s">
        <v>860</v>
      </c>
      <c r="B614" s="1" t="str">
        <v>FUNAN</v>
      </c>
      <c r="K614" s="6"/>
      <c r="L614" s="6"/>
      <c r="M614" s="7"/>
      <c r="U614" s="8"/>
      <c r="V614" s="8"/>
      <c r="W614" s="8"/>
      <c r="X614" s="9"/>
      <c r="Y614" s="6"/>
      <c r="Z614" s="8"/>
    </row>
    <row r="615" spans="1:26" x14ac:dyDescent="0.3">
      <c r="A615" s="1" t="s">
        <v>266</v>
      </c>
      <c r="B615" s="1" t="str">
        <v>AMARA SINGAPORE</v>
      </c>
      <c r="K615" s="6"/>
      <c r="L615" s="6"/>
      <c r="M615" s="7"/>
      <c r="U615" s="8"/>
      <c r="V615" s="8"/>
      <c r="W615" s="8"/>
      <c r="X615" s="9"/>
      <c r="Y615" s="6"/>
      <c r="Z615" s="8"/>
    </row>
    <row r="616" spans="1:26" x14ac:dyDescent="0.3">
      <c r="A616" s="1" t="s">
        <v>359</v>
      </c>
      <c r="B616" s="1" t="str">
        <v>ORCHARD GATEWAY</v>
      </c>
      <c r="K616" s="6"/>
      <c r="L616" s="6"/>
      <c r="M616" s="7"/>
      <c r="U616" s="8"/>
      <c r="V616" s="8"/>
      <c r="W616" s="8"/>
      <c r="X616" s="9"/>
      <c r="Y616" s="6"/>
      <c r="Z616" s="8"/>
    </row>
    <row r="617" spans="1:26" x14ac:dyDescent="0.3">
      <c r="A617" s="1" t="s">
        <v>228</v>
      </c>
      <c r="B617" s="1" t="str">
        <v>PACIFIC PLAZA</v>
      </c>
      <c r="K617" s="6"/>
      <c r="L617" s="6"/>
      <c r="M617" s="7"/>
      <c r="U617" s="8"/>
      <c r="V617" s="8"/>
      <c r="W617" s="8"/>
      <c r="X617" s="9"/>
      <c r="Y617" s="6"/>
      <c r="Z617" s="8"/>
    </row>
    <row r="618" spans="1:26" x14ac:dyDescent="0.3">
      <c r="A618" s="1" t="s">
        <v>72</v>
      </c>
      <c r="B618" s="1" t="str">
        <v>CHINATOWN POINT</v>
      </c>
      <c r="K618" s="6"/>
      <c r="L618" s="6"/>
      <c r="M618" s="7"/>
      <c r="U618" s="8"/>
      <c r="V618" s="8"/>
      <c r="W618" s="8"/>
      <c r="X618" s="9"/>
      <c r="Y618" s="6"/>
      <c r="Z618" s="8"/>
    </row>
    <row r="619" spans="1:26" x14ac:dyDescent="0.3">
      <c r="A619" s="1" t="s">
        <v>194</v>
      </c>
      <c r="B619" s="1" t="str">
        <v>FORUM</v>
      </c>
      <c r="K619" s="6"/>
      <c r="L619" s="6"/>
      <c r="M619" s="7"/>
      <c r="U619" s="8"/>
      <c r="V619" s="8"/>
      <c r="W619" s="8"/>
      <c r="X619" s="9"/>
      <c r="Y619" s="6"/>
      <c r="Z619" s="8"/>
    </row>
    <row r="620" spans="1:26" x14ac:dyDescent="0.3">
      <c r="A620" s="1" t="s">
        <v>1485</v>
      </c>
      <c r="B620" s="1" t="str">
        <v>GOLDHILL PLAZA</v>
      </c>
      <c r="K620" s="6"/>
      <c r="L620" s="6"/>
      <c r="M620" s="7"/>
      <c r="U620" s="8"/>
      <c r="V620" s="8"/>
      <c r="W620" s="8"/>
      <c r="X620" s="9"/>
      <c r="Y620" s="6"/>
      <c r="Z620" s="8"/>
    </row>
    <row r="621" spans="1:26" x14ac:dyDescent="0.3">
      <c r="A621" s="1" t="s">
        <v>633</v>
      </c>
      <c r="B621" s="1" t="str">
        <v>SQUARE 2</v>
      </c>
      <c r="K621" s="6"/>
      <c r="L621" s="6"/>
      <c r="M621" s="7"/>
      <c r="U621" s="8"/>
      <c r="V621" s="8"/>
      <c r="W621" s="8"/>
      <c r="X621" s="9"/>
      <c r="Y621" s="6"/>
      <c r="Z621" s="8"/>
    </row>
    <row r="622" spans="1:26" x14ac:dyDescent="0.3">
      <c r="A622" s="1" t="s">
        <v>1395</v>
      </c>
      <c r="B622" s="1" t="str">
        <v>BRIGHT VISION HOSPITAL</v>
      </c>
      <c r="K622" s="6"/>
      <c r="L622" s="6"/>
      <c r="M622" s="7"/>
      <c r="U622" s="8"/>
      <c r="V622" s="8"/>
      <c r="W622" s="8"/>
      <c r="X622" s="9"/>
      <c r="Y622" s="6"/>
      <c r="Z622" s="8"/>
    </row>
    <row r="623" spans="1:26" x14ac:dyDescent="0.3">
      <c r="A623" s="1" t="s">
        <v>1382</v>
      </c>
      <c r="B623" s="1" t="str">
        <v>ANG MO KIO COMMUNITY HOSPITAL</v>
      </c>
      <c r="K623" s="6"/>
      <c r="L623" s="6"/>
      <c r="M623" s="7"/>
      <c r="U623" s="8"/>
      <c r="V623" s="8"/>
      <c r="W623" s="8"/>
      <c r="X623" s="9"/>
      <c r="Y623" s="6"/>
      <c r="Z623" s="8"/>
    </row>
    <row r="624" spans="1:26" x14ac:dyDescent="0.3">
      <c r="A624" s="1" t="s">
        <v>1745</v>
      </c>
      <c r="B624" s="1" t="str">
        <v>1 JURONG EAST STREET 21</v>
      </c>
      <c r="K624" s="6"/>
      <c r="L624" s="6"/>
      <c r="M624" s="7"/>
      <c r="U624" s="8"/>
      <c r="V624" s="8"/>
      <c r="W624" s="8"/>
      <c r="X624" s="9"/>
      <c r="Y624" s="6"/>
      <c r="Z624" s="8"/>
    </row>
    <row r="625" spans="1:26" x14ac:dyDescent="0.3">
      <c r="A625" s="1" t="s">
        <v>893</v>
      </c>
      <c r="B625" s="1" t="str">
        <v>RAFFLES HOSPITAL</v>
      </c>
      <c r="K625" s="6"/>
      <c r="L625" s="6"/>
      <c r="M625" s="7"/>
      <c r="U625" s="8"/>
      <c r="V625" s="8"/>
      <c r="W625" s="8"/>
      <c r="X625" s="9"/>
      <c r="Y625" s="6"/>
      <c r="Z625" s="8"/>
    </row>
    <row r="626" spans="1:26" x14ac:dyDescent="0.3">
      <c r="A626" s="1" t="s">
        <v>940</v>
      </c>
      <c r="B626" s="1" t="str">
        <v>SENGKANG GENERAL HOSPITAL</v>
      </c>
      <c r="K626" s="6"/>
      <c r="L626" s="6"/>
      <c r="M626" s="7"/>
      <c r="U626" s="8"/>
      <c r="V626" s="8"/>
      <c r="W626" s="8"/>
      <c r="X626" s="9"/>
      <c r="Y626" s="6"/>
      <c r="Z626" s="8"/>
    </row>
    <row r="627" spans="1:26" x14ac:dyDescent="0.3">
      <c r="A627" s="1" t="s">
        <v>730</v>
      </c>
      <c r="B627" s="1" t="str">
        <v>THOMSON MEDICAL CENTRE</v>
      </c>
      <c r="K627" s="6"/>
      <c r="L627" s="6"/>
      <c r="M627" s="7"/>
      <c r="U627" s="8"/>
      <c r="V627" s="8"/>
      <c r="W627" s="8"/>
      <c r="X627" s="9"/>
      <c r="Y627" s="6"/>
      <c r="Z627" s="8"/>
    </row>
    <row r="628" spans="1:26" x14ac:dyDescent="0.3">
      <c r="A628" s="1" t="s">
        <v>854</v>
      </c>
      <c r="B628" s="1" t="str">
        <v>MOUNT ALVERNIA HOSPITAL</v>
      </c>
      <c r="K628" s="6"/>
      <c r="L628" s="6"/>
      <c r="M628" s="7"/>
      <c r="U628" s="8"/>
      <c r="V628" s="8"/>
      <c r="W628" s="8"/>
      <c r="X628" s="9"/>
      <c r="Y628" s="6"/>
      <c r="Z628" s="8"/>
    </row>
    <row r="629" spans="1:26" x14ac:dyDescent="0.3">
      <c r="A629" s="1" t="s">
        <v>112</v>
      </c>
      <c r="B629" s="1" t="str">
        <v>KHOO TECK PUAT HOSPITAL</v>
      </c>
      <c r="K629" s="6"/>
      <c r="L629" s="6"/>
      <c r="M629" s="7"/>
      <c r="U629" s="8"/>
      <c r="V629" s="8"/>
      <c r="W629" s="8"/>
      <c r="X629" s="9"/>
      <c r="Y629" s="6"/>
      <c r="Z629" s="8"/>
    </row>
    <row r="630" spans="1:26" x14ac:dyDescent="0.3">
      <c r="A630" s="1" t="s">
        <v>305</v>
      </c>
      <c r="B630" s="1" t="str">
        <v>TAN TOCK SENG HOSPITAL</v>
      </c>
      <c r="K630" s="6"/>
      <c r="L630" s="6"/>
      <c r="M630" s="7"/>
      <c r="U630" s="8"/>
      <c r="V630" s="8"/>
      <c r="W630" s="8"/>
      <c r="X630" s="9"/>
      <c r="Y630" s="6"/>
      <c r="Z630" s="8"/>
    </row>
    <row r="631" spans="1:26" x14ac:dyDescent="0.3">
      <c r="A631" s="1" t="s">
        <v>1089</v>
      </c>
      <c r="B631" s="1" t="str">
        <v>MOUNT ELIZABETH HOSPITAL</v>
      </c>
      <c r="K631" s="6"/>
      <c r="L631" s="6"/>
      <c r="M631" s="7"/>
      <c r="U631" s="8"/>
      <c r="V631" s="8"/>
      <c r="W631" s="8"/>
      <c r="X631" s="9"/>
      <c r="Y631" s="6"/>
      <c r="Z631" s="8"/>
    </row>
    <row r="632" spans="1:26" x14ac:dyDescent="0.3">
      <c r="A632" s="1" t="s">
        <v>1746</v>
      </c>
      <c r="B632" s="1" t="str">
        <v>38 IRRAWADDY ROAD</v>
      </c>
      <c r="K632" s="6"/>
      <c r="L632" s="6"/>
      <c r="M632" s="7"/>
      <c r="U632" s="8"/>
      <c r="V632" s="8"/>
      <c r="W632" s="8"/>
      <c r="X632" s="9"/>
      <c r="Y632" s="6"/>
      <c r="Z632" s="8"/>
    </row>
    <row r="633" spans="1:26" x14ac:dyDescent="0.3">
      <c r="A633" s="1" t="s">
        <v>102</v>
      </c>
      <c r="B633" s="1" t="str">
        <v>CHANGI GENERAL HOSPITAL</v>
      </c>
      <c r="K633" s="6"/>
      <c r="L633" s="6"/>
      <c r="M633" s="7"/>
      <c r="U633" s="8"/>
      <c r="V633" s="8"/>
      <c r="W633" s="8"/>
      <c r="X633" s="9"/>
      <c r="Y633" s="6"/>
      <c r="Z633" s="8"/>
    </row>
    <row r="634" spans="1:26" x14ac:dyDescent="0.3">
      <c r="A634" s="1" t="s">
        <v>83</v>
      </c>
      <c r="B634" s="1" t="str">
        <v>KK WOMEN'S AND CHILDREN'S HOSPITAL</v>
      </c>
      <c r="K634" s="6"/>
      <c r="L634" s="6"/>
      <c r="M634" s="7"/>
      <c r="U634" s="8"/>
      <c r="V634" s="8"/>
      <c r="W634" s="8"/>
      <c r="X634" s="9"/>
      <c r="Y634" s="6"/>
      <c r="Z634" s="8"/>
    </row>
    <row r="635" spans="1:26" x14ac:dyDescent="0.3">
      <c r="A635" s="1" t="s">
        <v>1576</v>
      </c>
      <c r="B635" s="1" t="str">
        <v>PARKWAY EAST HOSPITAL</v>
      </c>
      <c r="K635" s="6"/>
      <c r="L635" s="6"/>
      <c r="M635" s="7"/>
      <c r="U635" s="8"/>
      <c r="V635" s="8"/>
      <c r="W635" s="8"/>
      <c r="X635" s="9"/>
      <c r="Y635" s="6"/>
      <c r="Z635" s="8"/>
    </row>
    <row r="636" spans="1:26" x14ac:dyDescent="0.3">
      <c r="A636" s="1" t="s">
        <v>663</v>
      </c>
      <c r="B636" s="1" t="str">
        <v>GLENEAGLES HOSPITAL</v>
      </c>
      <c r="K636" s="6"/>
      <c r="L636" s="6"/>
      <c r="M636" s="7"/>
      <c r="U636" s="8"/>
      <c r="V636" s="8"/>
      <c r="W636" s="8"/>
      <c r="X636" s="9"/>
      <c r="Y636" s="6"/>
      <c r="Z636" s="8"/>
    </row>
    <row r="637" spans="1:26" x14ac:dyDescent="0.3">
      <c r="A637" s="1" t="s">
        <v>97</v>
      </c>
      <c r="B637" s="1" t="str">
        <v>SINGAPORE GENERAL HOSPITAL</v>
      </c>
      <c r="K637" s="6"/>
      <c r="L637" s="6"/>
      <c r="M637" s="7"/>
      <c r="U637" s="8"/>
      <c r="V637" s="8"/>
      <c r="W637" s="8"/>
      <c r="X637" s="9"/>
      <c r="Y637" s="6"/>
      <c r="Z637" s="8"/>
    </row>
    <row r="638" spans="1:26" x14ac:dyDescent="0.3">
      <c r="A638" s="1" t="s">
        <v>820</v>
      </c>
      <c r="B638" s="1" t="str">
        <v>GLENEAGLES MEDICAL CENTRE</v>
      </c>
      <c r="K638" s="6"/>
      <c r="L638" s="6"/>
      <c r="M638" s="7"/>
      <c r="U638" s="8"/>
      <c r="V638" s="8"/>
      <c r="W638" s="8"/>
      <c r="X638" s="9"/>
      <c r="Y638" s="6"/>
      <c r="Z638" s="8"/>
    </row>
    <row r="639" spans="1:26" x14ac:dyDescent="0.3">
      <c r="A639" s="1" t="s">
        <v>410</v>
      </c>
      <c r="B639" s="1" t="str">
        <v>NATIONAL SKIN CENTRE</v>
      </c>
      <c r="K639" s="6"/>
      <c r="L639" s="6"/>
      <c r="M639" s="7"/>
      <c r="U639" s="8"/>
      <c r="V639" s="8"/>
      <c r="W639" s="8"/>
      <c r="X639" s="9"/>
      <c r="Y639" s="6"/>
      <c r="Z639" s="8"/>
    </row>
    <row r="640" spans="1:26" x14ac:dyDescent="0.3">
      <c r="A640" s="1" t="s">
        <v>102</v>
      </c>
      <c r="B640" s="1" t="str">
        <v>CHANGI GENERAL HOSPITAL</v>
      </c>
      <c r="K640" s="6"/>
      <c r="L640" s="6"/>
      <c r="M640" s="7"/>
      <c r="U640" s="8"/>
      <c r="V640" s="8"/>
      <c r="W640" s="8"/>
      <c r="X640" s="9"/>
      <c r="Y640" s="6"/>
      <c r="Z640" s="8"/>
    </row>
    <row r="641" spans="1:26" x14ac:dyDescent="0.3">
      <c r="A641" s="1" t="s">
        <v>993</v>
      </c>
      <c r="B641" s="1" t="str">
        <v>NUH MEDICAL CENTRE</v>
      </c>
      <c r="K641" s="6"/>
      <c r="L641" s="6"/>
      <c r="M641" s="7"/>
      <c r="U641" s="8"/>
      <c r="V641" s="8"/>
      <c r="W641" s="8"/>
      <c r="X641" s="9"/>
      <c r="Y641" s="6"/>
      <c r="Z641" s="8"/>
    </row>
    <row r="642" spans="1:26" x14ac:dyDescent="0.3">
      <c r="A642" s="1" t="s">
        <v>114</v>
      </c>
      <c r="B642" s="1" t="str">
        <v>NATIONAL DENTAL CENTRE</v>
      </c>
      <c r="K642" s="6"/>
      <c r="L642" s="6"/>
      <c r="M642" s="7"/>
      <c r="U642" s="8"/>
      <c r="V642" s="8"/>
      <c r="W642" s="8"/>
      <c r="X642" s="9"/>
      <c r="Y642" s="6"/>
      <c r="Z642" s="8"/>
    </row>
    <row r="643" spans="1:26" x14ac:dyDescent="0.3">
      <c r="A643" s="1" t="s">
        <v>93</v>
      </c>
      <c r="B643" s="1" t="str">
        <v>NATIONAL HEART CENTRE OF SINGAPORE</v>
      </c>
      <c r="K643" s="6"/>
      <c r="L643" s="6"/>
      <c r="M643" s="7"/>
      <c r="U643" s="8"/>
      <c r="V643" s="8"/>
      <c r="W643" s="8"/>
      <c r="X643" s="9"/>
      <c r="Y643" s="6"/>
      <c r="Z643" s="8"/>
    </row>
    <row r="644" spans="1:26" x14ac:dyDescent="0.3">
      <c r="A644" s="1" t="s">
        <v>1109</v>
      </c>
      <c r="B644" s="1" t="str">
        <v>SINGAPORE NATIONAL EYE CENTRE</v>
      </c>
      <c r="K644" s="6"/>
      <c r="L644" s="6"/>
      <c r="M644" s="7"/>
      <c r="U644" s="8"/>
      <c r="V644" s="8"/>
      <c r="W644" s="8"/>
      <c r="X644" s="9"/>
      <c r="Y644" s="6"/>
      <c r="Z644" s="8"/>
    </row>
    <row r="645" spans="1:26" x14ac:dyDescent="0.3">
      <c r="A645" s="1" t="s">
        <v>850</v>
      </c>
      <c r="B645" s="1" t="str">
        <v>ACADEMIA</v>
      </c>
      <c r="K645" s="6"/>
      <c r="L645" s="6"/>
      <c r="M645" s="7"/>
      <c r="U645" s="8"/>
      <c r="V645" s="8"/>
      <c r="W645" s="8"/>
      <c r="X645" s="9"/>
      <c r="Y645" s="6"/>
      <c r="Z645" s="8"/>
    </row>
    <row r="646" spans="1:26" x14ac:dyDescent="0.3">
      <c r="A646" s="1" t="s">
        <v>113</v>
      </c>
      <c r="B646" s="1" t="str">
        <v>NATIONAL CANCER CENTRE</v>
      </c>
      <c r="K646" s="6"/>
      <c r="L646" s="6"/>
      <c r="M646" s="7"/>
      <c r="U646" s="8"/>
      <c r="V646" s="8"/>
      <c r="W646" s="8"/>
      <c r="X646" s="9"/>
      <c r="Y646" s="6"/>
      <c r="Z646" s="8"/>
    </row>
    <row r="647" spans="1:26" x14ac:dyDescent="0.3">
      <c r="A647" s="1" t="s">
        <v>630</v>
      </c>
      <c r="B647" s="1" t="str">
        <v>PIONEER POLYCLINIC</v>
      </c>
      <c r="K647" s="6"/>
      <c r="L647" s="6"/>
      <c r="M647" s="7"/>
      <c r="U647" s="8"/>
      <c r="V647" s="8"/>
      <c r="W647" s="8"/>
      <c r="X647" s="9"/>
      <c r="Y647" s="6"/>
      <c r="Z647" s="8"/>
    </row>
    <row r="648" spans="1:26" x14ac:dyDescent="0.3">
      <c r="A648" s="1" t="s">
        <v>589</v>
      </c>
      <c r="B648" s="1" t="str">
        <v>GEYLANG POLYCLINIC</v>
      </c>
      <c r="K648" s="6"/>
      <c r="L648" s="6"/>
      <c r="M648" s="7"/>
      <c r="U648" s="8"/>
      <c r="V648" s="8"/>
      <c r="W648" s="8"/>
      <c r="X648" s="9"/>
      <c r="Y648" s="6"/>
      <c r="Z648" s="8"/>
    </row>
    <row r="649" spans="1:26" x14ac:dyDescent="0.3">
      <c r="A649" s="1" t="s">
        <v>628</v>
      </c>
      <c r="B649" s="1" t="str">
        <v>BUKIT BATOK POLYCLINIC</v>
      </c>
      <c r="K649" s="6"/>
      <c r="L649" s="6"/>
      <c r="M649" s="7"/>
      <c r="U649" s="8"/>
      <c r="V649" s="8"/>
      <c r="W649" s="8"/>
      <c r="X649" s="9"/>
      <c r="Y649" s="6"/>
      <c r="Z649" s="8"/>
    </row>
    <row r="650" spans="1:26" x14ac:dyDescent="0.3">
      <c r="A650" s="1" t="s">
        <v>1580</v>
      </c>
      <c r="B650" s="1" t="str">
        <v>TAMPINES POLYCLINIC</v>
      </c>
      <c r="K650" s="6"/>
      <c r="L650" s="6"/>
      <c r="M650" s="7"/>
      <c r="U650" s="8"/>
      <c r="V650" s="8"/>
      <c r="W650" s="8"/>
      <c r="X650" s="9"/>
      <c r="Y650" s="6"/>
      <c r="Z650" s="8"/>
    </row>
    <row r="651" spans="1:26" x14ac:dyDescent="0.3">
      <c r="A651" s="1" t="s">
        <v>584</v>
      </c>
      <c r="B651" s="1" t="str">
        <v>SATA COMMHEALTH BUILDING</v>
      </c>
      <c r="K651" s="6"/>
      <c r="L651" s="6"/>
      <c r="M651" s="7"/>
      <c r="U651" s="8"/>
      <c r="V651" s="8"/>
      <c r="W651" s="8"/>
      <c r="X651" s="9"/>
      <c r="Y651" s="6"/>
      <c r="Z651" s="8"/>
    </row>
    <row r="652" spans="1:26" x14ac:dyDescent="0.3">
      <c r="A652" s="1" t="s">
        <v>626</v>
      </c>
      <c r="B652" s="1" t="str">
        <v>CHOA CHU KANG POLYCLINIC</v>
      </c>
      <c r="K652" s="6"/>
      <c r="L652" s="6"/>
      <c r="M652" s="7"/>
      <c r="U652" s="8"/>
      <c r="V652" s="8"/>
      <c r="W652" s="8"/>
      <c r="X652" s="9"/>
      <c r="Y652" s="6"/>
      <c r="Z652" s="8"/>
    </row>
    <row r="653" spans="1:26" x14ac:dyDescent="0.3">
      <c r="A653" s="1" t="s">
        <v>489</v>
      </c>
      <c r="B653" s="1" t="str">
        <v>THONG CHAI BUILDING</v>
      </c>
      <c r="K653" s="6"/>
      <c r="L653" s="6"/>
      <c r="M653" s="7"/>
      <c r="U653" s="8"/>
      <c r="V653" s="8"/>
      <c r="W653" s="8"/>
      <c r="X653" s="9"/>
      <c r="Y653" s="6"/>
      <c r="Z653" s="8"/>
    </row>
    <row r="654" spans="1:26" x14ac:dyDescent="0.3">
      <c r="A654" s="1" t="s">
        <v>588</v>
      </c>
      <c r="B654" s="1" t="str">
        <v>WOODLANDS POLYCLINIC</v>
      </c>
      <c r="K654" s="6"/>
      <c r="L654" s="6"/>
      <c r="M654" s="7"/>
      <c r="U654" s="8"/>
      <c r="V654" s="8"/>
      <c r="W654" s="8"/>
      <c r="X654" s="9"/>
      <c r="Y654" s="6"/>
      <c r="Z654" s="8"/>
    </row>
    <row r="655" spans="1:26" x14ac:dyDescent="0.3">
      <c r="A655" s="1" t="s">
        <v>590</v>
      </c>
      <c r="B655" s="1" t="str">
        <v>HOUGANG POLYCLINIC</v>
      </c>
      <c r="K655" s="6"/>
      <c r="L655" s="6"/>
      <c r="M655" s="7"/>
      <c r="U655" s="8"/>
      <c r="V655" s="8"/>
      <c r="W655" s="8"/>
      <c r="X655" s="9"/>
      <c r="Y655" s="6"/>
      <c r="Z655" s="8"/>
    </row>
    <row r="656" spans="1:26" x14ac:dyDescent="0.3">
      <c r="A656" s="1" t="s">
        <v>111</v>
      </c>
      <c r="B656" s="1" t="str">
        <v>CAMDEN CENTRE</v>
      </c>
      <c r="K656" s="6"/>
      <c r="L656" s="6"/>
      <c r="M656" s="7"/>
      <c r="U656" s="8"/>
      <c r="V656" s="8"/>
      <c r="W656" s="8"/>
      <c r="X656" s="9"/>
      <c r="Y656" s="6"/>
      <c r="Z656" s="8"/>
    </row>
    <row r="657" spans="1:26" x14ac:dyDescent="0.3">
      <c r="A657" s="1" t="s">
        <v>591</v>
      </c>
      <c r="B657" s="1" t="str">
        <v>ANG MO KIO POLYCLINIC</v>
      </c>
      <c r="K657" s="6"/>
      <c r="L657" s="6"/>
      <c r="M657" s="7"/>
      <c r="U657" s="8"/>
      <c r="V657" s="8"/>
      <c r="W657" s="8"/>
      <c r="X657" s="9"/>
      <c r="Y657" s="6"/>
      <c r="Z657" s="8"/>
    </row>
    <row r="658" spans="1:26" x14ac:dyDescent="0.3">
      <c r="A658" s="1" t="s">
        <v>487</v>
      </c>
      <c r="B658" s="1" t="str">
        <v>SAINT JOSEPH'S HOME</v>
      </c>
      <c r="K658" s="6"/>
      <c r="L658" s="6"/>
      <c r="M658" s="7"/>
      <c r="U658" s="8"/>
      <c r="V658" s="8"/>
      <c r="W658" s="8"/>
      <c r="X658" s="9"/>
      <c r="Y658" s="6"/>
      <c r="Z658" s="8"/>
    </row>
    <row r="659" spans="1:26" x14ac:dyDescent="0.3">
      <c r="A659" s="1" t="s">
        <v>1747</v>
      </c>
      <c r="B659" s="1" t="str">
        <v>551 YISHUN RING ROAD</v>
      </c>
      <c r="K659" s="6"/>
      <c r="L659" s="6"/>
      <c r="M659" s="7"/>
      <c r="U659" s="8"/>
      <c r="V659" s="8"/>
      <c r="W659" s="8"/>
      <c r="X659" s="9"/>
      <c r="Y659" s="6"/>
      <c r="Z659" s="8"/>
    </row>
    <row r="660" spans="1:26" x14ac:dyDescent="0.3">
      <c r="A660" s="1" t="s">
        <v>1748</v>
      </c>
      <c r="B660" s="1" t="str">
        <v>10 ANG MO KIO AVENUE 8</v>
      </c>
      <c r="K660" s="6"/>
      <c r="L660" s="6"/>
      <c r="M660" s="7"/>
      <c r="U660" s="8"/>
      <c r="V660" s="8"/>
      <c r="W660" s="8"/>
      <c r="X660" s="9"/>
      <c r="Y660" s="6"/>
      <c r="Z660" s="8"/>
    </row>
    <row r="661" spans="1:26" x14ac:dyDescent="0.3">
      <c r="A661" s="1" t="s">
        <v>1749</v>
      </c>
      <c r="B661" s="1" t="str">
        <v>70 BUANGKOK VIEW</v>
      </c>
      <c r="K661" s="6"/>
      <c r="L661" s="6"/>
      <c r="M661" s="7"/>
      <c r="U661" s="8"/>
      <c r="V661" s="8"/>
      <c r="W661" s="8"/>
      <c r="X661" s="9"/>
      <c r="Y661" s="6"/>
      <c r="Z661" s="8"/>
    </row>
    <row r="662" spans="1:26" x14ac:dyDescent="0.3">
      <c r="A662" s="1" t="s">
        <v>1750</v>
      </c>
      <c r="B662" s="1" t="str">
        <v>20 WOODLANDS STREET 82</v>
      </c>
      <c r="K662" s="6"/>
      <c r="L662" s="6"/>
      <c r="M662" s="7"/>
      <c r="U662" s="8"/>
      <c r="V662" s="8"/>
      <c r="W662" s="8"/>
      <c r="X662" s="9"/>
      <c r="Y662" s="6"/>
      <c r="Z662" s="8"/>
    </row>
    <row r="663" spans="1:26" x14ac:dyDescent="0.3">
      <c r="A663" s="1" t="s">
        <v>921</v>
      </c>
      <c r="B663" s="1" t="str">
        <v>WOODLANDS CARE HOME</v>
      </c>
      <c r="K663" s="6"/>
      <c r="L663" s="6"/>
      <c r="M663" s="7"/>
      <c r="U663" s="8"/>
      <c r="V663" s="8"/>
      <c r="W663" s="8"/>
      <c r="X663" s="9"/>
      <c r="Y663" s="6"/>
      <c r="Z663" s="8"/>
    </row>
    <row r="664" spans="1:26" x14ac:dyDescent="0.3">
      <c r="A664" s="1" t="s">
        <v>85</v>
      </c>
      <c r="B664" s="1" t="str">
        <v>INSTITUTE OF MENTAL HEALTH</v>
      </c>
      <c r="K664" s="6"/>
      <c r="L664" s="6"/>
      <c r="M664" s="7"/>
      <c r="U664" s="8"/>
      <c r="V664" s="8"/>
      <c r="W664" s="8"/>
      <c r="X664" s="9"/>
      <c r="Y664" s="6"/>
      <c r="Z664" s="8"/>
    </row>
    <row r="665" spans="1:26" x14ac:dyDescent="0.3">
      <c r="A665" s="1" t="s">
        <v>1751</v>
      </c>
      <c r="B665" s="1" t="str">
        <v>205 JALAN KAYU</v>
      </c>
      <c r="K665" s="6"/>
      <c r="L665" s="6"/>
      <c r="M665" s="7"/>
      <c r="U665" s="8"/>
      <c r="V665" s="8"/>
      <c r="W665" s="8"/>
      <c r="X665" s="9"/>
      <c r="Y665" s="6"/>
      <c r="Z665" s="8"/>
    </row>
    <row r="666" spans="1:26" x14ac:dyDescent="0.3">
      <c r="A666" s="1" t="s">
        <v>780</v>
      </c>
      <c r="B666" s="1" t="str">
        <v>APEX HARMONY LODGE</v>
      </c>
      <c r="K666" s="6"/>
      <c r="L666" s="6"/>
      <c r="M666" s="7"/>
      <c r="U666" s="8"/>
      <c r="V666" s="8"/>
      <c r="W666" s="8"/>
      <c r="X666" s="9"/>
      <c r="Y666" s="6"/>
      <c r="Z666" s="8"/>
    </row>
    <row r="667" spans="1:26" x14ac:dyDescent="0.3">
      <c r="A667" s="1" t="s">
        <v>571</v>
      </c>
      <c r="B667" s="1" t="str">
        <v>BRIGHT HILL EVERGREEN HOME</v>
      </c>
      <c r="K667" s="6"/>
      <c r="L667" s="6"/>
      <c r="M667" s="7"/>
      <c r="U667" s="8"/>
      <c r="V667" s="8"/>
      <c r="W667" s="8"/>
      <c r="X667" s="9"/>
      <c r="Y667" s="6"/>
      <c r="Z667" s="8"/>
    </row>
    <row r="668" spans="1:26" x14ac:dyDescent="0.3">
      <c r="A668" s="1" t="s">
        <v>1752</v>
      </c>
      <c r="B668" s="1" t="str">
        <v>91 YISHUN CENTRAL</v>
      </c>
      <c r="K668" s="6"/>
      <c r="L668" s="6"/>
      <c r="M668" s="7"/>
      <c r="U668" s="8"/>
      <c r="V668" s="8"/>
      <c r="W668" s="8"/>
      <c r="X668" s="9"/>
      <c r="Y668" s="6"/>
      <c r="Z668" s="8"/>
    </row>
    <row r="669" spans="1:26" x14ac:dyDescent="0.3">
      <c r="A669" s="1" t="s">
        <v>1753</v>
      </c>
      <c r="B669" s="1" t="str">
        <v>9 CHOA CHU KANG AVENUE 4</v>
      </c>
      <c r="K669" s="6"/>
      <c r="L669" s="6"/>
      <c r="M669" s="7"/>
      <c r="U669" s="8"/>
      <c r="V669" s="8"/>
      <c r="W669" s="8"/>
      <c r="X669" s="9"/>
      <c r="Y669" s="6"/>
      <c r="Z669" s="8"/>
    </row>
    <row r="670" spans="1:26" x14ac:dyDescent="0.3">
      <c r="A670" s="1" t="s">
        <v>520</v>
      </c>
      <c r="B670" s="1" t="str">
        <v>JAMIYAH NURSING HOME</v>
      </c>
      <c r="K670" s="6"/>
      <c r="L670" s="6"/>
      <c r="M670" s="7"/>
      <c r="U670" s="8"/>
      <c r="V670" s="8"/>
      <c r="W670" s="8"/>
      <c r="X670" s="9"/>
      <c r="Y670" s="6"/>
      <c r="Z670" s="8"/>
    </row>
    <row r="671" spans="1:26" x14ac:dyDescent="0.3">
      <c r="A671" s="1" t="s">
        <v>920</v>
      </c>
      <c r="B671" s="1" t="str">
        <v>SWAMI HOME FOR THE AGED</v>
      </c>
      <c r="K671" s="6"/>
      <c r="L671" s="6"/>
      <c r="M671" s="7"/>
      <c r="U671" s="8"/>
      <c r="V671" s="8"/>
      <c r="W671" s="8"/>
      <c r="X671" s="9"/>
      <c r="Y671" s="6"/>
      <c r="Z671" s="8"/>
    </row>
    <row r="672" spans="1:26" x14ac:dyDescent="0.3">
      <c r="A672" s="1" t="s">
        <v>521</v>
      </c>
      <c r="B672" s="1" t="str">
        <v>ST. ANDREW'S NURSING HOME (QUEENSTOWN)</v>
      </c>
      <c r="K672" s="6"/>
      <c r="L672" s="6"/>
      <c r="M672" s="7"/>
      <c r="U672" s="8"/>
      <c r="V672" s="8"/>
      <c r="W672" s="8"/>
      <c r="X672" s="9"/>
      <c r="Y672" s="6"/>
      <c r="Z672" s="8"/>
    </row>
    <row r="673" spans="1:26" x14ac:dyDescent="0.3">
      <c r="A673" s="1" t="s">
        <v>988</v>
      </c>
      <c r="B673" s="1" t="str">
        <v>TAMPINES CARE HOME</v>
      </c>
      <c r="K673" s="6"/>
      <c r="L673" s="6"/>
      <c r="M673" s="7"/>
      <c r="U673" s="8"/>
      <c r="V673" s="8"/>
      <c r="W673" s="8"/>
      <c r="X673" s="9"/>
      <c r="Y673" s="6"/>
      <c r="Z673" s="8"/>
    </row>
    <row r="674" spans="1:26" x14ac:dyDescent="0.3">
      <c r="A674" s="1" t="s">
        <v>481</v>
      </c>
      <c r="B674" s="1" t="str">
        <v>ST. ANDREW'S NURSING HOME (HENDERSON)</v>
      </c>
      <c r="K674" s="6"/>
      <c r="L674" s="6"/>
      <c r="M674" s="7"/>
      <c r="U674" s="8"/>
      <c r="V674" s="8"/>
      <c r="W674" s="8"/>
      <c r="X674" s="9"/>
      <c r="Y674" s="6"/>
      <c r="Z674" s="8"/>
    </row>
    <row r="675" spans="1:26" x14ac:dyDescent="0.3">
      <c r="A675" s="1" t="s">
        <v>467</v>
      </c>
      <c r="B675" s="1" t="str">
        <v>THONG TECK HOME FOR SENIOR CITIZENS</v>
      </c>
      <c r="K675" s="6"/>
      <c r="L675" s="6"/>
      <c r="M675" s="7"/>
      <c r="U675" s="8"/>
      <c r="V675" s="8"/>
      <c r="W675" s="8"/>
      <c r="X675" s="9"/>
      <c r="Y675" s="6"/>
      <c r="Z675" s="8"/>
    </row>
    <row r="676" spans="1:26" x14ac:dyDescent="0.3">
      <c r="A676" s="1" t="s">
        <v>95</v>
      </c>
      <c r="B676" s="1" t="str">
        <v>KWONG WAI SHIU HOSPITAL</v>
      </c>
      <c r="K676" s="6"/>
      <c r="L676" s="6"/>
      <c r="M676" s="7"/>
      <c r="U676" s="8"/>
      <c r="V676" s="8"/>
      <c r="W676" s="8"/>
      <c r="X676" s="9"/>
      <c r="Y676" s="6"/>
      <c r="Z676" s="8"/>
    </row>
    <row r="677" spans="1:26" x14ac:dyDescent="0.3">
      <c r="A677" s="1" t="s">
        <v>1021</v>
      </c>
      <c r="B677" s="1" t="str">
        <v>NTUC HEALTH (CHAI CHEE)</v>
      </c>
      <c r="K677" s="6"/>
      <c r="L677" s="6"/>
      <c r="M677" s="7"/>
      <c r="U677" s="8"/>
      <c r="V677" s="8"/>
      <c r="W677" s="8"/>
      <c r="X677" s="9"/>
      <c r="Y677" s="6"/>
      <c r="Z677" s="8"/>
    </row>
    <row r="678" spans="1:26" x14ac:dyDescent="0.3">
      <c r="A678" s="1" t="s">
        <v>1060</v>
      </c>
      <c r="B678" s="1" t="str">
        <v>SOCIETY FOR THE AGED SICK</v>
      </c>
      <c r="K678" s="6"/>
      <c r="L678" s="6"/>
      <c r="M678" s="7"/>
      <c r="U678" s="8"/>
      <c r="V678" s="8"/>
      <c r="W678" s="8"/>
      <c r="X678" s="9"/>
      <c r="Y678" s="6"/>
      <c r="Z678" s="8"/>
    </row>
    <row r="679" spans="1:26" x14ac:dyDescent="0.3">
      <c r="A679" s="1" t="s">
        <v>1754</v>
      </c>
      <c r="B679" s="1" t="str">
        <v>5 POH HUAT ROAD</v>
      </c>
      <c r="K679" s="6"/>
      <c r="L679" s="6"/>
      <c r="M679" s="7"/>
      <c r="U679" s="8"/>
      <c r="V679" s="8"/>
      <c r="W679" s="8"/>
      <c r="X679" s="9"/>
      <c r="Y679" s="6"/>
      <c r="Z679" s="8"/>
    </row>
    <row r="680" spans="1:26" x14ac:dyDescent="0.3">
      <c r="A680" s="1" t="s">
        <v>389</v>
      </c>
      <c r="B680" s="1" t="str">
        <v>LIONS HOME FOR THE ELDERS (BISHAN)</v>
      </c>
      <c r="K680" s="6"/>
      <c r="L680" s="6"/>
      <c r="M680" s="7"/>
      <c r="U680" s="8"/>
      <c r="V680" s="8"/>
      <c r="W680" s="8"/>
      <c r="X680" s="9"/>
      <c r="Y680" s="6"/>
      <c r="Z680" s="8"/>
    </row>
    <row r="681" spans="1:26" x14ac:dyDescent="0.3">
      <c r="A681" s="1" t="s">
        <v>1755</v>
      </c>
      <c r="B681" s="1" t="str">
        <v>11 TAMPINES STREET 44</v>
      </c>
      <c r="K681" s="6"/>
      <c r="L681" s="6"/>
      <c r="M681" s="7"/>
      <c r="U681" s="8"/>
      <c r="V681" s="8"/>
      <c r="W681" s="8"/>
      <c r="X681" s="9"/>
      <c r="Y681" s="6"/>
      <c r="Z681" s="8"/>
    </row>
    <row r="682" spans="1:26" x14ac:dyDescent="0.3">
      <c r="A682" s="1" t="s">
        <v>846</v>
      </c>
      <c r="B682" s="1" t="str">
        <v>ASSISI HOSPICE</v>
      </c>
      <c r="K682" s="6"/>
      <c r="L682" s="6"/>
      <c r="M682" s="7"/>
      <c r="U682" s="8"/>
      <c r="V682" s="8"/>
      <c r="W682" s="8"/>
      <c r="X682" s="9"/>
      <c r="Y682" s="6"/>
      <c r="Z682" s="8"/>
    </row>
    <row r="683" spans="1:26" x14ac:dyDescent="0.3">
      <c r="A683" s="1" t="s">
        <v>1756</v>
      </c>
      <c r="B683" s="1" t="str">
        <v>48 HOUGANG AVENUE 8</v>
      </c>
      <c r="K683" s="6"/>
      <c r="L683" s="6"/>
      <c r="M683" s="7"/>
      <c r="U683" s="8"/>
      <c r="V683" s="8"/>
      <c r="W683" s="8"/>
      <c r="X683" s="9"/>
      <c r="Y683" s="6"/>
      <c r="Z683" s="8"/>
    </row>
    <row r="684" spans="1:26" x14ac:dyDescent="0.3">
      <c r="A684" s="1" t="s">
        <v>518</v>
      </c>
      <c r="B684" s="1" t="str">
        <v>NTUC HEALTH (GEYLANG EAST)</v>
      </c>
      <c r="K684" s="6"/>
      <c r="L684" s="6"/>
      <c r="M684" s="7"/>
      <c r="U684" s="8"/>
      <c r="V684" s="8"/>
      <c r="W684" s="8"/>
      <c r="X684" s="9"/>
      <c r="Y684" s="6"/>
      <c r="Z684" s="8"/>
    </row>
    <row r="685" spans="1:26" x14ac:dyDescent="0.3">
      <c r="A685" s="1" t="s">
        <v>1088</v>
      </c>
      <c r="B685" s="1" t="str">
        <v>NTUC HEALTH (JURONG WEST)</v>
      </c>
      <c r="K685" s="6"/>
      <c r="L685" s="6"/>
      <c r="M685" s="7"/>
      <c r="U685" s="8"/>
      <c r="V685" s="8"/>
      <c r="W685" s="8"/>
      <c r="X685" s="9"/>
      <c r="Y685" s="6"/>
      <c r="Z685" s="8"/>
    </row>
    <row r="686" spans="1:26" x14ac:dyDescent="0.3">
      <c r="A686" s="1" t="s">
        <v>1014</v>
      </c>
      <c r="B686" s="1" t="str">
        <v>ALL SAINTS HOME (JURONG EAST)</v>
      </c>
      <c r="K686" s="6"/>
      <c r="L686" s="6"/>
      <c r="M686" s="7"/>
      <c r="U686" s="8"/>
      <c r="V686" s="8"/>
      <c r="W686" s="8"/>
      <c r="X686" s="9"/>
      <c r="Y686" s="6"/>
      <c r="Z686" s="8"/>
    </row>
    <row r="687" spans="1:26" x14ac:dyDescent="0.3">
      <c r="A687" s="1" t="s">
        <v>1757</v>
      </c>
      <c r="B687" s="1" t="str">
        <v>2 BUKIT BATOK STREET 11</v>
      </c>
      <c r="K687" s="6"/>
      <c r="L687" s="6"/>
      <c r="M687" s="7"/>
      <c r="U687" s="8"/>
      <c r="V687" s="8"/>
      <c r="W687" s="8"/>
      <c r="X687" s="9"/>
      <c r="Y687" s="6"/>
      <c r="Z687" s="8"/>
    </row>
    <row r="688" spans="1:26" x14ac:dyDescent="0.3">
      <c r="A688" s="1" t="s">
        <v>581</v>
      </c>
      <c r="B688" s="1" t="str">
        <v>RENCI @ BUKIT BATOK ST. 52</v>
      </c>
      <c r="K688" s="6"/>
      <c r="L688" s="6"/>
      <c r="M688" s="7"/>
      <c r="U688" s="8"/>
      <c r="V688" s="8"/>
      <c r="W688" s="8"/>
      <c r="X688" s="9"/>
      <c r="Y688" s="6"/>
      <c r="Z688" s="8"/>
    </row>
    <row r="689" spans="1:26" x14ac:dyDescent="0.3">
      <c r="A689" s="1" t="s">
        <v>1023</v>
      </c>
      <c r="B689" s="1" t="str">
        <v>YISHUN COMMUNITY HOSPITAL</v>
      </c>
      <c r="K689" s="6"/>
      <c r="L689" s="6"/>
      <c r="M689" s="7"/>
      <c r="U689" s="8"/>
      <c r="V689" s="8"/>
      <c r="W689" s="8"/>
      <c r="X689" s="9"/>
      <c r="Y689" s="6"/>
      <c r="Z689" s="8"/>
    </row>
    <row r="690" spans="1:26" x14ac:dyDescent="0.3">
      <c r="A690" s="1" t="s">
        <v>1758</v>
      </c>
      <c r="B690" s="1" t="str">
        <v>71 IRRAWADDY ROAD</v>
      </c>
      <c r="K690" s="6"/>
      <c r="L690" s="6"/>
      <c r="M690" s="7"/>
      <c r="U690" s="8"/>
      <c r="V690" s="8"/>
      <c r="W690" s="8"/>
      <c r="X690" s="9"/>
      <c r="Y690" s="6"/>
      <c r="Z690" s="8"/>
    </row>
    <row r="691" spans="1:26" x14ac:dyDescent="0.3">
      <c r="A691" s="1" t="s">
        <v>58</v>
      </c>
      <c r="B691" s="1" t="str">
        <v>SAINT ANDREW'S COMMUNITY HOSPITAL</v>
      </c>
      <c r="K691" s="6"/>
      <c r="L691" s="6"/>
      <c r="M691" s="7"/>
      <c r="U691" s="8"/>
      <c r="V691" s="8"/>
      <c r="W691" s="8"/>
      <c r="X691" s="9"/>
      <c r="Y691" s="6"/>
      <c r="Z691" s="8"/>
    </row>
    <row r="692" spans="1:26" x14ac:dyDescent="0.3">
      <c r="A692" s="1" t="s">
        <v>1724</v>
      </c>
      <c r="B692" s="1" t="str">
        <v>149 SIMS DRIVE</v>
      </c>
      <c r="K692" s="6"/>
      <c r="L692" s="6"/>
      <c r="M692" s="7"/>
      <c r="U692" s="8"/>
      <c r="V692" s="8"/>
      <c r="W692" s="8"/>
      <c r="X692" s="9"/>
      <c r="Y692" s="6"/>
      <c r="Z692" s="8"/>
    </row>
    <row r="693" spans="1:26" x14ac:dyDescent="0.3">
      <c r="A693" s="1" t="s">
        <v>844</v>
      </c>
      <c r="B693" s="1" t="str">
        <v>NATIONAL INSTITUTE OF EDUCATION</v>
      </c>
      <c r="K693" s="6"/>
      <c r="L693" s="6"/>
      <c r="M693" s="7"/>
      <c r="U693" s="8"/>
      <c r="V693" s="8"/>
      <c r="W693" s="8"/>
      <c r="X693" s="9"/>
      <c r="Y693" s="6"/>
      <c r="Z693" s="8"/>
    </row>
    <row r="694" spans="1:26" x14ac:dyDescent="0.3">
      <c r="A694" s="1" t="s">
        <v>1725</v>
      </c>
      <c r="B694" s="1" t="str">
        <v>29B TAMPINES AVENUE 1</v>
      </c>
      <c r="K694" s="6"/>
      <c r="L694" s="6"/>
      <c r="M694" s="7"/>
      <c r="U694" s="8"/>
      <c r="V694" s="8"/>
      <c r="W694" s="8"/>
      <c r="X694" s="9"/>
      <c r="Y694" s="6"/>
      <c r="Z694" s="8"/>
    </row>
    <row r="695" spans="1:26" x14ac:dyDescent="0.3">
      <c r="A695" s="1" t="s">
        <v>948</v>
      </c>
      <c r="B695" s="1" t="str">
        <v>FOUR ACRES SINGAPORE</v>
      </c>
      <c r="K695" s="6"/>
      <c r="L695" s="6"/>
      <c r="M695" s="7"/>
      <c r="U695" s="8"/>
      <c r="V695" s="8"/>
      <c r="W695" s="8"/>
      <c r="X695" s="9"/>
      <c r="Y695" s="6"/>
      <c r="Z695" s="8"/>
    </row>
    <row r="696" spans="1:26" x14ac:dyDescent="0.3">
      <c r="A696" s="1" t="s">
        <v>1726</v>
      </c>
      <c r="B696" s="1" t="str">
        <v>510 DOVER ROAD</v>
      </c>
      <c r="K696" s="6"/>
      <c r="L696" s="6"/>
      <c r="M696" s="7"/>
      <c r="U696" s="8"/>
      <c r="V696" s="8"/>
      <c r="W696" s="8"/>
      <c r="X696" s="9"/>
      <c r="Y696" s="6"/>
      <c r="Z696" s="8"/>
    </row>
    <row r="697" spans="1:26" x14ac:dyDescent="0.3">
      <c r="A697" s="1" t="s">
        <v>108</v>
      </c>
      <c r="B697" s="1" t="str">
        <v>SINGAPORE INSTITUTE OF MANAGEMENT</v>
      </c>
      <c r="K697" s="6"/>
      <c r="L697" s="6"/>
      <c r="M697" s="7"/>
      <c r="U697" s="8"/>
      <c r="V697" s="8"/>
      <c r="W697" s="8"/>
      <c r="X697" s="9"/>
      <c r="Y697" s="6"/>
      <c r="Z697" s="8"/>
    </row>
    <row r="698" spans="1:26" x14ac:dyDescent="0.3">
      <c r="A698" s="1" t="s">
        <v>1058</v>
      </c>
      <c r="B698" s="1" t="str">
        <v>SINGAPORE MANAGEMENT UNIVERSITY</v>
      </c>
      <c r="K698" s="6"/>
      <c r="L698" s="6"/>
      <c r="M698" s="7"/>
      <c r="U698" s="8"/>
      <c r="V698" s="8"/>
      <c r="W698" s="8"/>
      <c r="X698" s="9"/>
      <c r="Y698" s="6"/>
      <c r="Z698" s="8"/>
    </row>
    <row r="699" spans="1:26" x14ac:dyDescent="0.3">
      <c r="A699" s="1" t="s">
        <v>1727</v>
      </c>
      <c r="B699" s="1" t="str">
        <v>461 CLEMENTI ROAD</v>
      </c>
      <c r="K699" s="6"/>
      <c r="L699" s="6"/>
      <c r="U699" s="8"/>
      <c r="V699" s="8"/>
      <c r="W699" s="8"/>
      <c r="X699" s="9"/>
      <c r="Y699" s="6"/>
      <c r="Z699" s="8"/>
    </row>
    <row r="700" spans="1:26" x14ac:dyDescent="0.3">
      <c r="A700" s="1" t="s">
        <v>1386</v>
      </c>
      <c r="B700" s="1" t="str">
        <v>SINGAPORE UNIVERSITY OF TECHNOLOGY AND DESIGN</v>
      </c>
      <c r="K700" s="6"/>
      <c r="L700" s="6"/>
      <c r="U700" s="8"/>
      <c r="V700" s="8"/>
      <c r="W700" s="8"/>
      <c r="X700" s="9"/>
      <c r="Y700" s="6"/>
      <c r="Z700" s="8"/>
    </row>
    <row r="701" spans="1:26" x14ac:dyDescent="0.3">
      <c r="A701" s="1" t="s">
        <v>1728</v>
      </c>
      <c r="B701" s="1" t="str">
        <v>10 DOVER DRIVE</v>
      </c>
      <c r="K701" s="6"/>
      <c r="L701" s="6"/>
      <c r="U701" s="8"/>
      <c r="V701" s="8"/>
      <c r="W701" s="8"/>
      <c r="X701" s="9"/>
      <c r="Y701" s="6"/>
      <c r="Z701" s="8"/>
    </row>
    <row r="702" spans="1:26" x14ac:dyDescent="0.3">
      <c r="A702" s="1" t="s">
        <v>1729</v>
      </c>
      <c r="B702" s="1" t="str">
        <v>11 MANDALAY ROAD</v>
      </c>
      <c r="K702" s="6"/>
      <c r="L702" s="6"/>
      <c r="U702" s="8"/>
      <c r="V702" s="8"/>
      <c r="W702" s="8"/>
      <c r="X702" s="9"/>
      <c r="Y702" s="6"/>
      <c r="Z702" s="8"/>
    </row>
    <row r="703" spans="1:26" x14ac:dyDescent="0.3">
      <c r="A703" s="1" t="s">
        <v>1204</v>
      </c>
      <c r="B703" s="1" t="str">
        <v>NATIONAL UNIVERSITY OF SINGAPORE</v>
      </c>
      <c r="K703" s="6"/>
      <c r="L703" s="6"/>
      <c r="U703" s="8"/>
      <c r="V703" s="8"/>
      <c r="W703" s="8"/>
      <c r="X703" s="9"/>
      <c r="Y703" s="6"/>
      <c r="Z703" s="8"/>
    </row>
    <row r="704" spans="1:26" x14ac:dyDescent="0.3">
      <c r="A704" s="1" t="s">
        <v>1730</v>
      </c>
      <c r="B704" s="1" t="str">
        <v>469A BUKIT TIMAH ROAD</v>
      </c>
      <c r="K704" s="6"/>
      <c r="L704" s="6"/>
      <c r="U704" s="8"/>
      <c r="V704" s="8"/>
      <c r="W704" s="8"/>
      <c r="X704" s="9"/>
      <c r="Y704" s="6"/>
      <c r="Z704" s="8"/>
    </row>
    <row r="705" spans="1:26" x14ac:dyDescent="0.3">
      <c r="A705" s="1" t="s">
        <v>120</v>
      </c>
      <c r="B705" s="1" t="str">
        <v>NANYANG TECHNOLOGICAL UNIVERSITY</v>
      </c>
      <c r="K705" s="6"/>
      <c r="L705" s="6"/>
      <c r="U705" s="8"/>
      <c r="V705" s="8"/>
      <c r="W705" s="8"/>
      <c r="X705" s="9"/>
      <c r="Y705" s="6"/>
      <c r="Z705" s="8"/>
    </row>
    <row r="706" spans="1:26" x14ac:dyDescent="0.3">
      <c r="A706" s="1" t="s">
        <v>1731</v>
      </c>
      <c r="B706" s="1" t="str">
        <v>11 SCIENCE PARK ROAD</v>
      </c>
      <c r="K706" s="6"/>
      <c r="L706" s="6"/>
      <c r="U706" s="8"/>
      <c r="V706" s="8"/>
      <c r="W706" s="8"/>
      <c r="X706" s="9"/>
      <c r="Y706" s="6"/>
      <c r="Z706" s="8"/>
    </row>
    <row r="707" spans="1:26" x14ac:dyDescent="0.3">
      <c r="A707" s="1" t="s">
        <v>80</v>
      </c>
      <c r="B707" s="1" t="str">
        <v>NGEE ANN POLYTECHNIC</v>
      </c>
      <c r="K707" s="6"/>
      <c r="L707" s="6"/>
      <c r="U707" s="8"/>
      <c r="V707" s="8"/>
      <c r="W707" s="8"/>
      <c r="X707" s="9"/>
      <c r="Y707" s="6"/>
      <c r="Z707" s="8"/>
    </row>
    <row r="708" spans="1:26" x14ac:dyDescent="0.3">
      <c r="A708" s="1" t="s">
        <v>261</v>
      </c>
      <c r="B708" s="1" t="str">
        <v>ITE COLLEGE EAST</v>
      </c>
      <c r="K708" s="6"/>
      <c r="L708" s="6"/>
      <c r="U708" s="8"/>
      <c r="V708" s="8"/>
      <c r="W708" s="8"/>
      <c r="X708" s="9"/>
      <c r="Y708" s="6"/>
      <c r="Z708" s="8"/>
    </row>
    <row r="709" spans="1:26" x14ac:dyDescent="0.3">
      <c r="A709" s="1" t="s">
        <v>259</v>
      </c>
      <c r="B709" s="1" t="str">
        <v>ITE COLLEGE CENTRAL</v>
      </c>
      <c r="K709" s="6"/>
      <c r="L709" s="6"/>
      <c r="U709" s="8"/>
      <c r="V709" s="8"/>
      <c r="W709" s="8"/>
      <c r="X709" s="9"/>
      <c r="Y709" s="6"/>
      <c r="Z709" s="8"/>
    </row>
    <row r="710" spans="1:26" x14ac:dyDescent="0.3">
      <c r="A710" s="1" t="s">
        <v>615</v>
      </c>
      <c r="B710" s="1" t="str">
        <v>SINGAPORE POLYTECHNIC</v>
      </c>
      <c r="K710" s="6"/>
      <c r="L710" s="6"/>
      <c r="U710" s="8"/>
      <c r="V710" s="8"/>
      <c r="W710" s="8"/>
      <c r="X710" s="9"/>
      <c r="Y710" s="6"/>
      <c r="Z710" s="8"/>
    </row>
    <row r="711" spans="1:26" x14ac:dyDescent="0.3">
      <c r="A711" s="1" t="s">
        <v>87</v>
      </c>
      <c r="B711" s="1" t="str">
        <v>TEMASEK POLYTECHNIC</v>
      </c>
      <c r="K711" s="6"/>
      <c r="L711" s="6"/>
      <c r="U711" s="8"/>
      <c r="V711" s="8"/>
      <c r="W711" s="8"/>
      <c r="X711" s="9"/>
      <c r="Y711" s="6"/>
      <c r="Z711" s="8"/>
    </row>
    <row r="712" spans="1:26" x14ac:dyDescent="0.3">
      <c r="A712" s="1" t="s">
        <v>288</v>
      </c>
      <c r="B712" s="1" t="str">
        <v>ITE COLLEGE WEST</v>
      </c>
      <c r="K712" s="6"/>
      <c r="L712" s="6"/>
      <c r="M712" s="7"/>
      <c r="U712" s="8"/>
      <c r="V712" s="8"/>
      <c r="W712" s="8"/>
      <c r="X712" s="9"/>
      <c r="Y712" s="6"/>
      <c r="Z712" s="8"/>
    </row>
    <row r="713" spans="1:26" x14ac:dyDescent="0.3">
      <c r="A713" s="1" t="s">
        <v>1065</v>
      </c>
      <c r="B713" s="1" t="str">
        <v>REPUBLIC POLYTECHNIC</v>
      </c>
      <c r="K713" s="6"/>
      <c r="L713" s="6"/>
      <c r="M713" s="7"/>
      <c r="U713" s="8"/>
      <c r="V713" s="8"/>
      <c r="W713" s="8"/>
      <c r="X713" s="9"/>
      <c r="Y713" s="6"/>
      <c r="Z713" s="8"/>
    </row>
    <row r="714" spans="1:26" x14ac:dyDescent="0.3">
      <c r="A714" s="1" t="s">
        <v>368</v>
      </c>
      <c r="B714" s="1" t="str">
        <v>NANYANG POLYTECHNIC</v>
      </c>
      <c r="K714" s="6"/>
      <c r="L714" s="6"/>
      <c r="M714" s="7"/>
      <c r="U714" s="8"/>
      <c r="V714" s="8"/>
      <c r="W714" s="8"/>
      <c r="X714" s="9"/>
      <c r="Y714" s="6"/>
      <c r="Z714" s="8"/>
    </row>
    <row r="715" spans="1:26" x14ac:dyDescent="0.3">
      <c r="A715" s="1" t="s">
        <v>1732</v>
      </c>
      <c r="B715" s="1" t="str">
        <v>80 BENCOOLEN STREET</v>
      </c>
      <c r="K715" s="6"/>
      <c r="L715" s="6"/>
      <c r="M715" s="7"/>
      <c r="U715" s="8"/>
      <c r="V715" s="8"/>
      <c r="W715" s="8"/>
      <c r="X715" s="9"/>
      <c r="Y715" s="6"/>
      <c r="Z715" s="8"/>
    </row>
    <row r="716" spans="1:26" x14ac:dyDescent="0.3">
      <c r="A716" s="1" t="s">
        <v>1733</v>
      </c>
      <c r="B716" s="1" t="str">
        <v>21 BUKIT BATOK STREET 22</v>
      </c>
      <c r="K716" s="6"/>
      <c r="L716" s="6"/>
      <c r="M716" s="7"/>
      <c r="U716" s="8"/>
      <c r="V716" s="8"/>
      <c r="W716" s="8"/>
      <c r="X716" s="9"/>
      <c r="Y716" s="6"/>
      <c r="Z716" s="8"/>
    </row>
    <row r="717" spans="1:26" x14ac:dyDescent="0.3">
      <c r="A717" s="1" t="s">
        <v>1074</v>
      </c>
      <c r="B717" s="1" t="str">
        <v>YO:HA@TAMPINES</v>
      </c>
      <c r="K717" s="6"/>
      <c r="L717" s="6"/>
      <c r="M717" s="7"/>
      <c r="U717" s="8"/>
      <c r="V717" s="8"/>
      <c r="W717" s="8"/>
      <c r="X717" s="9"/>
      <c r="Y717" s="6"/>
      <c r="Z717" s="8"/>
    </row>
    <row r="718" spans="1:26" x14ac:dyDescent="0.3">
      <c r="A718" s="1" t="s">
        <v>1734</v>
      </c>
      <c r="B718" s="1" t="str">
        <v>1 TELOK BLANGAH RISE</v>
      </c>
      <c r="K718" s="6"/>
      <c r="L718" s="6"/>
      <c r="M718" s="7"/>
      <c r="U718" s="8"/>
      <c r="V718" s="8"/>
      <c r="W718" s="8"/>
      <c r="X718" s="9"/>
      <c r="Y718" s="6"/>
      <c r="Z718" s="8"/>
    </row>
    <row r="719" spans="1:26" x14ac:dyDescent="0.3">
      <c r="A719" s="1" t="s">
        <v>1735</v>
      </c>
      <c r="B719" s="1" t="str">
        <v>9 AH HOOD ROAD</v>
      </c>
      <c r="K719" s="6"/>
      <c r="L719" s="6"/>
      <c r="M719" s="7"/>
      <c r="U719" s="8"/>
      <c r="V719" s="8"/>
      <c r="W719" s="8"/>
      <c r="X719" s="9"/>
      <c r="Y719" s="6"/>
      <c r="Z719" s="8"/>
    </row>
    <row r="720" spans="1:26" x14ac:dyDescent="0.3">
      <c r="A720" s="1" t="s">
        <v>1235</v>
      </c>
      <c r="B720" s="1" t="str">
        <v>SINGAPORE BIBLE COLLEGE</v>
      </c>
      <c r="K720" s="6"/>
      <c r="L720" s="6"/>
      <c r="M720" s="7"/>
      <c r="U720" s="8"/>
      <c r="V720" s="8"/>
      <c r="W720" s="8"/>
      <c r="X720" s="9"/>
      <c r="Y720" s="6"/>
      <c r="Z720" s="8"/>
    </row>
    <row r="721" spans="1:26" x14ac:dyDescent="0.3">
      <c r="A721" s="1" t="s">
        <v>1736</v>
      </c>
      <c r="B721" s="1" t="str">
        <v>92 JALAN RAJAH</v>
      </c>
      <c r="K721" s="6"/>
      <c r="L721" s="6"/>
      <c r="M721" s="7"/>
      <c r="U721" s="8"/>
      <c r="V721" s="8"/>
      <c r="W721" s="8"/>
      <c r="X721" s="9"/>
      <c r="Y721" s="6"/>
      <c r="Z721" s="8"/>
    </row>
    <row r="722" spans="1:26" x14ac:dyDescent="0.3">
      <c r="A722" s="1" t="s">
        <v>1578</v>
      </c>
      <c r="B722" s="1" t="str">
        <v>CEREBRAL PALSY CENTRE</v>
      </c>
      <c r="K722" s="6"/>
      <c r="L722" s="6"/>
      <c r="M722" s="7"/>
      <c r="U722" s="8"/>
      <c r="V722" s="8"/>
      <c r="W722" s="8"/>
      <c r="X722" s="9"/>
      <c r="Y722" s="6"/>
      <c r="Z722" s="8"/>
    </row>
    <row r="723" spans="1:26" x14ac:dyDescent="0.3">
      <c r="A723" s="1" t="s">
        <v>1737</v>
      </c>
      <c r="B723" s="1" t="str">
        <v>1A WOODLEIGH PARK</v>
      </c>
      <c r="K723" s="6"/>
      <c r="L723" s="6"/>
      <c r="M723" s="7"/>
      <c r="U723" s="8"/>
      <c r="V723" s="8"/>
      <c r="W723" s="8"/>
      <c r="X723" s="9"/>
      <c r="Y723" s="6"/>
      <c r="Z723" s="8"/>
    </row>
    <row r="724" spans="1:26" x14ac:dyDescent="0.3">
      <c r="A724" s="1" t="s">
        <v>1118</v>
      </c>
      <c r="B724" s="1" t="str">
        <v>UNITED WORLD COLLEGE</v>
      </c>
      <c r="K724" s="6"/>
      <c r="L724" s="6"/>
      <c r="M724" s="7"/>
      <c r="U724" s="8"/>
      <c r="V724" s="8"/>
      <c r="W724" s="8"/>
      <c r="X724" s="9"/>
      <c r="Y724" s="6"/>
      <c r="Z724" s="8"/>
    </row>
    <row r="725" spans="1:26" x14ac:dyDescent="0.3">
      <c r="A725" s="1" t="s">
        <v>1738</v>
      </c>
      <c r="B725" s="1" t="str">
        <v>58 LOWLAND ROAD</v>
      </c>
      <c r="K725" s="6"/>
      <c r="L725" s="6"/>
      <c r="M725" s="7"/>
      <c r="U725" s="8"/>
      <c r="V725" s="8"/>
      <c r="W725" s="8"/>
      <c r="X725" s="9"/>
      <c r="Y725" s="6"/>
      <c r="Z725" s="8"/>
    </row>
    <row r="726" spans="1:26" x14ac:dyDescent="0.3">
      <c r="A726" s="1" t="s">
        <v>1739</v>
      </c>
      <c r="B726" s="1" t="str">
        <v>1 TAMPINES STREET 73</v>
      </c>
      <c r="K726" s="6"/>
      <c r="L726" s="6"/>
      <c r="M726" s="7"/>
      <c r="U726" s="8"/>
      <c r="V726" s="8"/>
      <c r="W726" s="8"/>
      <c r="X726" s="9"/>
      <c r="Y726" s="6"/>
      <c r="Z726" s="8"/>
    </row>
    <row r="727" spans="1:26" x14ac:dyDescent="0.3">
      <c r="A727" s="1" t="s">
        <v>1740</v>
      </c>
      <c r="B727" s="1" t="str">
        <v>29 HENG MUI KENG TERRACE</v>
      </c>
      <c r="K727" s="6"/>
      <c r="L727" s="6"/>
      <c r="M727" s="7"/>
      <c r="U727" s="8"/>
      <c r="V727" s="8"/>
      <c r="W727" s="8"/>
      <c r="X727" s="9"/>
      <c r="Y727" s="6"/>
      <c r="Z727" s="8"/>
    </row>
    <row r="728" spans="1:26" x14ac:dyDescent="0.3">
      <c r="A728" s="1" t="s">
        <v>1741</v>
      </c>
      <c r="B728" s="1" t="str">
        <v>501 STIRLING ROAD</v>
      </c>
      <c r="K728" s="6"/>
      <c r="L728" s="6"/>
      <c r="M728" s="7"/>
      <c r="U728" s="8"/>
      <c r="V728" s="8"/>
      <c r="W728" s="8"/>
      <c r="X728" s="9"/>
      <c r="Y728" s="6"/>
      <c r="Z728" s="8"/>
    </row>
    <row r="729" spans="1:26" x14ac:dyDescent="0.3">
      <c r="A729" s="1" t="s">
        <v>1742</v>
      </c>
      <c r="B729" s="1" t="str">
        <v>10 HYDERABAD ROAD</v>
      </c>
      <c r="K729" s="6"/>
      <c r="L729" s="6"/>
      <c r="M729" s="7"/>
      <c r="U729" s="8"/>
      <c r="V729" s="8"/>
      <c r="W729" s="8"/>
      <c r="X729" s="9"/>
      <c r="Y729" s="6"/>
      <c r="Z729" s="8"/>
    </row>
    <row r="730" spans="1:26" x14ac:dyDescent="0.3">
      <c r="A730" s="1" t="s">
        <v>842</v>
      </c>
      <c r="B730" s="1" t="str">
        <v>MOUNTBATTEN CENTRE</v>
      </c>
      <c r="K730" s="6"/>
      <c r="L730" s="6"/>
      <c r="M730" s="7"/>
      <c r="U730" s="8"/>
      <c r="V730" s="8"/>
      <c r="W730" s="8"/>
      <c r="X730" s="9"/>
      <c r="Y730" s="6"/>
      <c r="Z730" s="8"/>
    </row>
    <row r="731" spans="1:26" x14ac:dyDescent="0.3">
      <c r="A731" s="1" t="s">
        <v>1344</v>
      </c>
      <c r="B731" s="1" t="str">
        <v>LIFELONG LEARNING INSTITUTE</v>
      </c>
      <c r="K731" s="6"/>
      <c r="L731" s="6"/>
      <c r="M731" s="7"/>
      <c r="U731" s="8"/>
      <c r="V731" s="8"/>
      <c r="W731" s="8"/>
      <c r="X731" s="9"/>
      <c r="Y731" s="6"/>
      <c r="Z731" s="8"/>
    </row>
    <row r="732" spans="1:26" x14ac:dyDescent="0.3">
      <c r="A732" s="1" t="s">
        <v>1743</v>
      </c>
      <c r="B732" s="1" t="str">
        <v>1 AYER RAJAH AVENUE</v>
      </c>
      <c r="K732" s="6"/>
      <c r="L732" s="6"/>
      <c r="M732" s="7"/>
      <c r="U732" s="8"/>
      <c r="V732" s="8"/>
      <c r="W732" s="8"/>
      <c r="X732" s="9"/>
      <c r="Y732" s="6"/>
      <c r="Z732" s="8"/>
    </row>
    <row r="733" spans="1:26" x14ac:dyDescent="0.3">
      <c r="A733" s="1" t="s">
        <v>1514</v>
      </c>
      <c r="B733" s="1" t="str">
        <v>GR:ID</v>
      </c>
      <c r="K733" s="6"/>
      <c r="L733" s="6"/>
      <c r="M733" s="7"/>
      <c r="U733" s="8"/>
      <c r="V733" s="8"/>
      <c r="W733" s="8"/>
      <c r="X733" s="9"/>
      <c r="Y733" s="6"/>
      <c r="Z733" s="8"/>
    </row>
    <row r="734" spans="1:26" x14ac:dyDescent="0.3">
      <c r="A734" s="1" t="s">
        <v>1744</v>
      </c>
      <c r="B734" s="1" t="str">
        <v>2 ONE-NORTH GATEWAY</v>
      </c>
      <c r="K734" s="6"/>
      <c r="L734" s="6"/>
      <c r="M734" s="7"/>
      <c r="U734" s="8"/>
      <c r="V734" s="8"/>
      <c r="W734" s="8"/>
      <c r="X734" s="9"/>
      <c r="Y734" s="6"/>
      <c r="Z734" s="8"/>
    </row>
    <row r="735" spans="1:26" x14ac:dyDescent="0.3">
      <c r="A735" s="1" t="s">
        <v>670</v>
      </c>
      <c r="B735" s="1" t="str">
        <v>LASALLE COLLEGE OF THE ARTS</v>
      </c>
      <c r="K735" s="6"/>
      <c r="L735" s="6"/>
      <c r="M735" s="7"/>
      <c r="U735" s="8"/>
      <c r="V735" s="8"/>
      <c r="W735" s="8"/>
      <c r="X735" s="9"/>
      <c r="Y735" s="6"/>
      <c r="Z735" s="8"/>
    </row>
    <row r="736" spans="1:26" x14ac:dyDescent="0.3">
      <c r="A736" s="1" t="s">
        <v>916</v>
      </c>
      <c r="B736" s="1" t="str">
        <v>NTUC TRADE UNION HOUSE</v>
      </c>
      <c r="K736" s="6"/>
      <c r="L736" s="6"/>
      <c r="M736" s="7"/>
      <c r="U736" s="8"/>
      <c r="V736" s="8"/>
      <c r="W736" s="8"/>
      <c r="X736" s="9"/>
      <c r="Y736" s="6"/>
      <c r="Z736" s="8"/>
    </row>
    <row r="737" spans="1:26" x14ac:dyDescent="0.3">
      <c r="A737" s="1" t="s">
        <v>732</v>
      </c>
      <c r="B737" s="1" t="str">
        <v>PARKWAY CENTRE</v>
      </c>
      <c r="K737" s="6"/>
      <c r="L737" s="6"/>
      <c r="M737" s="7"/>
      <c r="U737" s="8"/>
      <c r="V737" s="8"/>
      <c r="W737" s="8"/>
      <c r="X737" s="9"/>
      <c r="Y737" s="6"/>
      <c r="Z737" s="8"/>
    </row>
    <row r="738" spans="1:26" x14ac:dyDescent="0.3">
      <c r="A738" s="1" t="s">
        <v>1361</v>
      </c>
      <c r="B738" s="1" t="str">
        <v>SPECIAL OPERATIONS COMMAND</v>
      </c>
      <c r="K738" s="6"/>
      <c r="L738" s="6"/>
      <c r="M738" s="7"/>
      <c r="U738" s="8"/>
      <c r="V738" s="8"/>
      <c r="W738" s="8"/>
      <c r="X738" s="9"/>
      <c r="Y738" s="6"/>
      <c r="Z738" s="8"/>
    </row>
    <row r="739" spans="1:26" x14ac:dyDescent="0.3">
      <c r="A739" s="1" t="s">
        <v>1712</v>
      </c>
      <c r="B739" s="1" t="str">
        <v>9 VERNON PARK</v>
      </c>
      <c r="K739" s="6"/>
      <c r="L739" s="6"/>
      <c r="M739" s="7"/>
      <c r="U739" s="8"/>
      <c r="V739" s="8"/>
      <c r="W739" s="8"/>
      <c r="X739" s="9"/>
      <c r="Y739" s="6"/>
      <c r="Z739" s="8"/>
    </row>
    <row r="740" spans="1:26" x14ac:dyDescent="0.3">
      <c r="A740" s="1" t="s">
        <v>1404</v>
      </c>
      <c r="B740" s="1" t="str">
        <v>POLICE COAST GUARD GUL BASE</v>
      </c>
      <c r="K740" s="6"/>
      <c r="L740" s="6"/>
      <c r="M740" s="7"/>
      <c r="U740" s="8"/>
      <c r="V740" s="8"/>
      <c r="W740" s="8"/>
      <c r="X740" s="9"/>
      <c r="Y740" s="6"/>
      <c r="Z740" s="8"/>
    </row>
    <row r="741" spans="1:26" x14ac:dyDescent="0.3">
      <c r="A741" s="1" t="s">
        <v>1400</v>
      </c>
      <c r="B741" s="1" t="str">
        <v>POLICE COAST GUARD LOYANG BASE</v>
      </c>
      <c r="K741" s="6"/>
      <c r="L741" s="6"/>
      <c r="M741" s="7"/>
      <c r="U741" s="8"/>
      <c r="V741" s="8"/>
      <c r="W741" s="8"/>
      <c r="X741" s="9"/>
      <c r="Y741" s="6"/>
      <c r="Z741" s="8"/>
    </row>
    <row r="742" spans="1:26" x14ac:dyDescent="0.3">
      <c r="A742" s="1" t="s">
        <v>1397</v>
      </c>
      <c r="B742" s="1" t="str">
        <v>OLD POLICE ACADEMY</v>
      </c>
      <c r="K742" s="6"/>
      <c r="L742" s="6"/>
      <c r="M742" s="7"/>
      <c r="U742" s="8"/>
      <c r="V742" s="8"/>
      <c r="W742" s="8"/>
      <c r="X742" s="9"/>
      <c r="Y742" s="6"/>
      <c r="Z742" s="8"/>
    </row>
    <row r="743" spans="1:26" x14ac:dyDescent="0.3">
      <c r="A743" s="1" t="s">
        <v>881</v>
      </c>
      <c r="B743" s="1" t="str">
        <v>KALLANG FIRE STATION</v>
      </c>
      <c r="K743" s="6"/>
      <c r="L743" s="6"/>
      <c r="M743" s="7"/>
      <c r="U743" s="8"/>
      <c r="V743" s="8"/>
      <c r="W743" s="8"/>
      <c r="X743" s="9"/>
      <c r="Y743" s="6"/>
      <c r="Z743" s="8"/>
    </row>
    <row r="744" spans="1:26" x14ac:dyDescent="0.3">
      <c r="A744" s="1" t="s">
        <v>1713</v>
      </c>
      <c r="B744" s="1" t="str">
        <v>2 JURONG WEST AVENUE 5</v>
      </c>
      <c r="K744" s="6"/>
      <c r="L744" s="6"/>
      <c r="M744" s="7"/>
      <c r="U744" s="8"/>
      <c r="V744" s="8"/>
      <c r="W744" s="8"/>
      <c r="X744" s="9"/>
      <c r="Y744" s="6"/>
      <c r="Z744" s="8"/>
    </row>
    <row r="745" spans="1:26" x14ac:dyDescent="0.3">
      <c r="A745" s="1" t="s">
        <v>401</v>
      </c>
      <c r="B745" s="1" t="str">
        <v>TRAFFIC POLICE HEADQUARTERS</v>
      </c>
      <c r="K745" s="6"/>
      <c r="L745" s="6"/>
      <c r="M745" s="7"/>
      <c r="U745" s="8"/>
      <c r="V745" s="8"/>
      <c r="W745" s="8"/>
      <c r="X745" s="9"/>
      <c r="Y745" s="6"/>
      <c r="Z745" s="8"/>
    </row>
    <row r="746" spans="1:26" x14ac:dyDescent="0.3">
      <c r="A746" s="1" t="s">
        <v>1402</v>
      </c>
      <c r="B746" s="1" t="str">
        <v>POLICE COAST GUARD HQ AND POLCOM BUILDING</v>
      </c>
      <c r="K746" s="6"/>
      <c r="L746" s="6"/>
      <c r="M746" s="7"/>
      <c r="U746" s="8"/>
      <c r="V746" s="8"/>
      <c r="W746" s="8"/>
      <c r="X746" s="9"/>
      <c r="Y746" s="6"/>
      <c r="Z746" s="8"/>
    </row>
    <row r="747" spans="1:26" x14ac:dyDescent="0.3">
      <c r="A747" s="1" t="s">
        <v>1411</v>
      </c>
      <c r="B747" s="1" t="str">
        <v>BEDOK POLICE DIVISION HEADQUARTERS</v>
      </c>
      <c r="K747" s="6"/>
      <c r="L747" s="6"/>
      <c r="M747" s="7"/>
      <c r="U747" s="8"/>
      <c r="V747" s="8"/>
      <c r="W747" s="8"/>
      <c r="X747" s="9"/>
      <c r="Y747" s="6"/>
      <c r="Z747" s="8"/>
    </row>
    <row r="748" spans="1:26" x14ac:dyDescent="0.3">
      <c r="A748" s="1" t="s">
        <v>1714</v>
      </c>
      <c r="B748" s="1" t="str">
        <v>21 KAMPONG JAVA ROAD</v>
      </c>
      <c r="K748" s="6"/>
      <c r="L748" s="6"/>
      <c r="M748" s="7"/>
      <c r="U748" s="8"/>
      <c r="V748" s="8"/>
      <c r="W748" s="8"/>
      <c r="X748" s="9"/>
      <c r="Y748" s="6"/>
      <c r="Z748" s="8"/>
    </row>
    <row r="749" spans="1:26" x14ac:dyDescent="0.3">
      <c r="A749" s="1" t="s">
        <v>1398</v>
      </c>
      <c r="B749" s="1" t="str">
        <v>ANG MO KIO POLICE DIVISION HEADQUARTERS</v>
      </c>
      <c r="K749" s="6"/>
      <c r="L749" s="6"/>
      <c r="M749" s="7"/>
      <c r="U749" s="8"/>
      <c r="V749" s="8"/>
      <c r="W749" s="8"/>
      <c r="X749" s="9"/>
      <c r="Y749" s="6"/>
      <c r="Z749" s="8"/>
    </row>
    <row r="750" spans="1:26" x14ac:dyDescent="0.3">
      <c r="A750" s="1" t="s">
        <v>1356</v>
      </c>
      <c r="B750" s="1" t="str">
        <v>CLEMENTI POLICE DIVISION HEADQUARTERS</v>
      </c>
      <c r="K750" s="6"/>
      <c r="L750" s="6"/>
      <c r="M750" s="7"/>
      <c r="U750" s="8"/>
      <c r="V750" s="8"/>
      <c r="W750" s="8"/>
      <c r="X750" s="9"/>
      <c r="Y750" s="6"/>
      <c r="Z750" s="8"/>
    </row>
    <row r="751" spans="1:26" x14ac:dyDescent="0.3">
      <c r="A751" s="1" t="s">
        <v>1715</v>
      </c>
      <c r="B751" s="1" t="str">
        <v>1 HEMMANT ROAD</v>
      </c>
      <c r="K751" s="6"/>
      <c r="L751" s="6"/>
      <c r="M751" s="7"/>
      <c r="U751" s="8"/>
      <c r="V751" s="8"/>
      <c r="W751" s="8"/>
      <c r="X751" s="9"/>
      <c r="Y751" s="6"/>
      <c r="Z751" s="8"/>
    </row>
    <row r="752" spans="1:26" x14ac:dyDescent="0.3">
      <c r="A752" s="1" t="s">
        <v>414</v>
      </c>
      <c r="B752" s="1" t="str">
        <v>RAMAKRISHNA MISSION BOYS' HOME</v>
      </c>
      <c r="K752" s="6"/>
      <c r="L752" s="6"/>
      <c r="M752" s="7"/>
      <c r="U752" s="8"/>
      <c r="V752" s="8"/>
      <c r="W752" s="8"/>
      <c r="X752" s="9"/>
      <c r="Y752" s="6"/>
      <c r="Z752" s="8"/>
    </row>
    <row r="753" spans="1:26" x14ac:dyDescent="0.3">
      <c r="A753" s="1" t="s">
        <v>1393</v>
      </c>
      <c r="B753" s="1" t="str">
        <v>MUHAMMADIYAH WELFARE HOME</v>
      </c>
      <c r="K753" s="6"/>
      <c r="L753" s="6"/>
      <c r="M753" s="7"/>
      <c r="U753" s="8"/>
      <c r="V753" s="8"/>
      <c r="W753" s="8"/>
      <c r="X753" s="9"/>
      <c r="Y753" s="6"/>
      <c r="Z753" s="8"/>
    </row>
    <row r="754" spans="1:26" x14ac:dyDescent="0.3">
      <c r="A754" s="1" t="s">
        <v>449</v>
      </c>
      <c r="B754" s="1" t="str">
        <v>GOOD SHEPHERD PLACE</v>
      </c>
      <c r="K754" s="6"/>
      <c r="L754" s="6"/>
      <c r="M754" s="7"/>
      <c r="U754" s="8"/>
      <c r="V754" s="8"/>
      <c r="W754" s="8"/>
      <c r="X754" s="9"/>
      <c r="Y754" s="6"/>
      <c r="Z754" s="8"/>
    </row>
    <row r="755" spans="1:26" x14ac:dyDescent="0.3">
      <c r="A755" s="1" t="s">
        <v>1716</v>
      </c>
      <c r="B755" s="1" t="str">
        <v>105 PUNGGOL ROAD</v>
      </c>
      <c r="K755" s="6"/>
      <c r="L755" s="6"/>
      <c r="U755" s="8"/>
      <c r="V755" s="8"/>
      <c r="W755" s="8"/>
      <c r="X755" s="9"/>
      <c r="Y755" s="6"/>
      <c r="Z755" s="8"/>
    </row>
    <row r="756" spans="1:26" x14ac:dyDescent="0.3">
      <c r="A756" s="1" t="s">
        <v>1583</v>
      </c>
      <c r="B756" s="1" t="str">
        <v>LITTLE SISTERS OF THE POOR</v>
      </c>
      <c r="K756" s="6"/>
      <c r="L756" s="6"/>
      <c r="U756" s="8"/>
      <c r="V756" s="8"/>
      <c r="W756" s="8"/>
      <c r="X756" s="9"/>
      <c r="Y756" s="6"/>
      <c r="Z756" s="8"/>
    </row>
    <row r="757" spans="1:26" x14ac:dyDescent="0.3">
      <c r="A757" s="1" t="s">
        <v>686</v>
      </c>
      <c r="B757" s="1" t="str">
        <v>ST. ANDREW'S ADULT HOME (SENGKANG)</v>
      </c>
      <c r="K757" s="6"/>
      <c r="L757" s="6"/>
      <c r="M757" s="7"/>
      <c r="U757" s="8"/>
      <c r="V757" s="8"/>
      <c r="W757" s="8"/>
      <c r="X757" s="9"/>
      <c r="Y757" s="6"/>
      <c r="Z757" s="8"/>
    </row>
    <row r="758" spans="1:26" x14ac:dyDescent="0.3">
      <c r="A758" s="1" t="s">
        <v>692</v>
      </c>
      <c r="B758" s="1" t="str">
        <v>HOME @ HONG SAN</v>
      </c>
      <c r="K758" s="6"/>
      <c r="L758" s="6"/>
      <c r="M758" s="7"/>
      <c r="U758" s="8"/>
      <c r="V758" s="8"/>
      <c r="W758" s="8"/>
      <c r="X758" s="9"/>
      <c r="Y758" s="6"/>
      <c r="Z758" s="8"/>
    </row>
    <row r="759" spans="1:26" x14ac:dyDescent="0.3">
      <c r="A759" s="1" t="s">
        <v>697</v>
      </c>
      <c r="B759" s="1" t="str">
        <v>GRACEHAVEN</v>
      </c>
      <c r="K759" s="6"/>
      <c r="L759" s="6"/>
      <c r="M759" s="7"/>
      <c r="U759" s="8"/>
      <c r="V759" s="8"/>
      <c r="W759" s="8"/>
      <c r="X759" s="9"/>
      <c r="Y759" s="6"/>
      <c r="Z759" s="8"/>
    </row>
    <row r="760" spans="1:26" x14ac:dyDescent="0.3">
      <c r="A760" s="1" t="s">
        <v>1305</v>
      </c>
      <c r="B760" s="1" t="str">
        <v>ACACIA HOME</v>
      </c>
      <c r="K760" s="6"/>
      <c r="L760" s="6"/>
      <c r="M760" s="7"/>
      <c r="U760" s="8"/>
      <c r="V760" s="8"/>
      <c r="W760" s="8"/>
      <c r="X760" s="9"/>
      <c r="Y760" s="6"/>
      <c r="Z760" s="8"/>
    </row>
    <row r="761" spans="1:26" x14ac:dyDescent="0.3">
      <c r="A761" s="1" t="s">
        <v>54</v>
      </c>
      <c r="B761" s="1" t="str">
        <v>ANGLICAN CARE CENTRE (SIMEI)</v>
      </c>
      <c r="K761" s="6"/>
      <c r="L761" s="6"/>
      <c r="M761" s="7"/>
      <c r="U761" s="8"/>
      <c r="V761" s="8"/>
      <c r="W761" s="8"/>
      <c r="X761" s="9"/>
      <c r="Y761" s="6"/>
      <c r="Z761" s="8"/>
    </row>
    <row r="762" spans="1:26" x14ac:dyDescent="0.3">
      <c r="A762" s="1" t="s">
        <v>491</v>
      </c>
      <c r="B762" s="1" t="str">
        <v>SPD ABILITY CENTRE</v>
      </c>
      <c r="K762" s="6"/>
      <c r="L762" s="6"/>
      <c r="M762" s="7"/>
      <c r="U762" s="8"/>
      <c r="V762" s="8"/>
      <c r="W762" s="8"/>
      <c r="X762" s="9"/>
      <c r="Y762" s="6"/>
      <c r="Z762" s="8"/>
    </row>
    <row r="763" spans="1:26" x14ac:dyDescent="0.3">
      <c r="A763" s="1" t="s">
        <v>689</v>
      </c>
      <c r="B763" s="1" t="str">
        <v>HOME FOR THE AGED</v>
      </c>
      <c r="K763" s="6"/>
      <c r="L763" s="6"/>
      <c r="M763" s="7"/>
      <c r="U763" s="8"/>
      <c r="V763" s="8"/>
      <c r="W763" s="8"/>
      <c r="X763" s="9"/>
      <c r="Y763" s="6"/>
      <c r="Z763" s="8"/>
    </row>
    <row r="764" spans="1:26" x14ac:dyDescent="0.3">
      <c r="A764" s="1" t="s">
        <v>699</v>
      </c>
      <c r="B764" s="1" t="str">
        <v>PELANGI VILLAGE</v>
      </c>
      <c r="K764" s="6"/>
      <c r="L764" s="6"/>
      <c r="M764" s="7"/>
      <c r="U764" s="8"/>
      <c r="V764" s="8"/>
      <c r="W764" s="8"/>
      <c r="X764" s="9"/>
      <c r="Y764" s="6"/>
      <c r="Z764" s="8"/>
    </row>
    <row r="765" spans="1:26" x14ac:dyDescent="0.3">
      <c r="A765" s="1" t="s">
        <v>961</v>
      </c>
      <c r="B765" s="1" t="str">
        <v>FU HUI LINK</v>
      </c>
      <c r="K765" s="6"/>
      <c r="L765" s="6"/>
      <c r="M765" s="7"/>
      <c r="U765" s="8"/>
      <c r="V765" s="8"/>
      <c r="W765" s="8"/>
      <c r="X765" s="9"/>
      <c r="Y765" s="6"/>
      <c r="Z765" s="8"/>
    </row>
    <row r="766" spans="1:26" x14ac:dyDescent="0.3">
      <c r="A766" s="1" t="s">
        <v>689</v>
      </c>
      <c r="B766" s="1" t="str">
        <v>HOME FOR THE AGED</v>
      </c>
      <c r="K766" s="6"/>
      <c r="L766" s="6"/>
      <c r="M766" s="7"/>
      <c r="U766" s="8"/>
      <c r="V766" s="8"/>
      <c r="W766" s="8"/>
      <c r="X766" s="9"/>
      <c r="Y766" s="6"/>
      <c r="Z766" s="8"/>
    </row>
    <row r="767" spans="1:26" x14ac:dyDescent="0.3">
      <c r="A767" s="1" t="s">
        <v>799</v>
      </c>
      <c r="B767" s="1" t="str">
        <v>SALVATION ARMY</v>
      </c>
      <c r="K767" s="6"/>
      <c r="L767" s="6"/>
      <c r="M767" s="7"/>
      <c r="U767" s="8"/>
      <c r="V767" s="8"/>
      <c r="W767" s="8"/>
      <c r="X767" s="9"/>
      <c r="Y767" s="6"/>
      <c r="Z767" s="8"/>
    </row>
    <row r="768" spans="1:26" x14ac:dyDescent="0.3">
      <c r="A768" s="1" t="s">
        <v>1717</v>
      </c>
      <c r="B768" s="1" t="str">
        <v>500 UPPER BUKIT TIMAH ROAD</v>
      </c>
      <c r="K768" s="6"/>
      <c r="L768" s="6"/>
      <c r="M768" s="7"/>
      <c r="U768" s="8"/>
      <c r="V768" s="8"/>
      <c r="W768" s="8"/>
      <c r="X768" s="9"/>
      <c r="Y768" s="6"/>
      <c r="Z768" s="8"/>
    </row>
    <row r="769" spans="1:26" x14ac:dyDescent="0.3">
      <c r="A769" s="1" t="s">
        <v>689</v>
      </c>
      <c r="B769" s="1" t="str">
        <v>HOME FOR THE AGED</v>
      </c>
      <c r="K769" s="6"/>
      <c r="L769" s="6"/>
      <c r="M769" s="7"/>
      <c r="U769" s="8"/>
      <c r="V769" s="8"/>
      <c r="W769" s="8"/>
      <c r="X769" s="9"/>
      <c r="Y769" s="6"/>
      <c r="Z769" s="8"/>
    </row>
    <row r="770" spans="1:26" x14ac:dyDescent="0.3">
      <c r="A770" s="1" t="s">
        <v>91</v>
      </c>
      <c r="B770" s="1" t="str">
        <v>SINGAPORE MANUFACTURING FEDERATION BUILDING</v>
      </c>
      <c r="K770" s="6"/>
      <c r="L770" s="6"/>
      <c r="M770" s="7"/>
      <c r="U770" s="8"/>
      <c r="V770" s="8"/>
      <c r="W770" s="8"/>
      <c r="X770" s="9"/>
      <c r="Y770" s="6"/>
      <c r="Z770" s="8"/>
    </row>
    <row r="771" spans="1:26" x14ac:dyDescent="0.3">
      <c r="A771" s="1" t="s">
        <v>687</v>
      </c>
      <c r="B771" s="1" t="str">
        <v>THK HOME FOR DISABLED @ SEMBAWANG</v>
      </c>
      <c r="K771" s="6"/>
      <c r="L771" s="6"/>
      <c r="M771" s="7"/>
      <c r="U771" s="8"/>
      <c r="V771" s="8"/>
      <c r="W771" s="8"/>
      <c r="X771" s="9"/>
      <c r="Y771" s="6"/>
      <c r="Z771" s="8"/>
    </row>
    <row r="772" spans="1:26" x14ac:dyDescent="0.3">
      <c r="A772" s="1" t="s">
        <v>1483</v>
      </c>
      <c r="B772" s="1" t="str">
        <v>BISHAN COMMUNITY CLUB</v>
      </c>
      <c r="K772" s="6"/>
      <c r="L772" s="6"/>
      <c r="M772" s="7"/>
      <c r="U772" s="8"/>
      <c r="V772" s="8"/>
      <c r="W772" s="8"/>
      <c r="X772" s="9"/>
      <c r="Y772" s="6"/>
      <c r="Z772" s="8"/>
    </row>
    <row r="773" spans="1:26" x14ac:dyDescent="0.3">
      <c r="A773" s="1" t="s">
        <v>1377</v>
      </c>
      <c r="B773" s="1" t="str">
        <v>SINGAPORE RACECOURSE</v>
      </c>
      <c r="K773" s="6"/>
      <c r="L773" s="6"/>
      <c r="U773" s="8"/>
      <c r="V773" s="8"/>
      <c r="W773" s="8"/>
      <c r="X773" s="9"/>
      <c r="Y773" s="6"/>
      <c r="Z773" s="8"/>
    </row>
    <row r="774" spans="1:26" x14ac:dyDescent="0.3">
      <c r="A774" s="1" t="s">
        <v>1718</v>
      </c>
      <c r="B774" s="1" t="str">
        <v>20 SEMBAWANG CRESCENT</v>
      </c>
      <c r="K774" s="6"/>
      <c r="L774" s="6"/>
      <c r="U774" s="8"/>
      <c r="V774" s="8"/>
      <c r="W774" s="8"/>
      <c r="X774" s="9"/>
      <c r="Y774" s="6"/>
      <c r="Z774" s="8"/>
    </row>
    <row r="775" spans="1:26" x14ac:dyDescent="0.3">
      <c r="A775" s="1" t="s">
        <v>801</v>
      </c>
      <c r="B775" s="1" t="str">
        <v>YMCA</v>
      </c>
      <c r="K775" s="6"/>
      <c r="L775" s="6"/>
      <c r="U775" s="8"/>
      <c r="V775" s="8"/>
      <c r="W775" s="8"/>
      <c r="X775" s="9"/>
      <c r="Y775" s="6"/>
      <c r="Z775" s="8"/>
    </row>
    <row r="776" spans="1:26" x14ac:dyDescent="0.3">
      <c r="A776" s="1" t="s">
        <v>1719</v>
      </c>
      <c r="B776" s="1" t="str">
        <v>60 BUANGKOK VIEW</v>
      </c>
      <c r="K776" s="6"/>
      <c r="L776" s="6"/>
      <c r="U776" s="8"/>
      <c r="V776" s="8"/>
      <c r="W776" s="8"/>
      <c r="X776" s="9"/>
      <c r="Y776" s="6"/>
      <c r="Z776" s="8"/>
    </row>
    <row r="777" spans="1:26" x14ac:dyDescent="0.3">
      <c r="A777" s="1" t="s">
        <v>756</v>
      </c>
      <c r="B777" s="1" t="str">
        <v>SREE NARAYANA MISSION HOME FOR THE AGED SICK</v>
      </c>
      <c r="K777" s="6"/>
      <c r="L777" s="6"/>
      <c r="M777" s="7"/>
      <c r="U777" s="8"/>
      <c r="V777" s="8"/>
      <c r="W777" s="8"/>
      <c r="X777" s="9"/>
      <c r="Y777" s="6"/>
      <c r="Z777" s="8"/>
    </row>
    <row r="778" spans="1:26" x14ac:dyDescent="0.3">
      <c r="A778" s="1" t="s">
        <v>1431</v>
      </c>
      <c r="B778" s="1" t="str">
        <v>DEVAN NAIR INSTITUTE</v>
      </c>
      <c r="K778" s="6"/>
      <c r="L778" s="6"/>
      <c r="M778" s="7"/>
      <c r="U778" s="8"/>
      <c r="V778" s="8"/>
      <c r="W778" s="8"/>
      <c r="X778" s="9"/>
      <c r="Y778" s="6"/>
      <c r="Z778" s="8"/>
    </row>
    <row r="779" spans="1:26" x14ac:dyDescent="0.3">
      <c r="A779" s="1" t="s">
        <v>1720</v>
      </c>
      <c r="B779" s="1" t="str">
        <v>1 SEGAR ROAD</v>
      </c>
      <c r="K779" s="6"/>
      <c r="L779" s="6"/>
      <c r="M779" s="7"/>
      <c r="U779" s="8"/>
      <c r="V779" s="8"/>
      <c r="W779" s="8"/>
      <c r="X779" s="9"/>
      <c r="Y779" s="6"/>
      <c r="Z779" s="8"/>
    </row>
    <row r="780" spans="1:26" x14ac:dyDescent="0.3">
      <c r="A780" s="1" t="s">
        <v>1335</v>
      </c>
      <c r="B780" s="1" t="str">
        <v>ULU PANDAN COMMUNITY CENTRE</v>
      </c>
      <c r="K780" s="6"/>
      <c r="L780" s="6"/>
      <c r="M780" s="7"/>
      <c r="U780" s="8"/>
      <c r="V780" s="8"/>
      <c r="W780" s="8"/>
      <c r="X780" s="9"/>
      <c r="Y780" s="6"/>
      <c r="Z780" s="8"/>
    </row>
    <row r="781" spans="1:26" x14ac:dyDescent="0.3">
      <c r="A781" s="1" t="s">
        <v>1490</v>
      </c>
      <c r="B781" s="1" t="str">
        <v>WISMA GEYLANG SERAI</v>
      </c>
      <c r="K781" s="6"/>
      <c r="L781" s="6"/>
      <c r="M781" s="7"/>
      <c r="U781" s="8"/>
      <c r="V781" s="8"/>
      <c r="W781" s="8"/>
      <c r="X781" s="9"/>
      <c r="Y781" s="6"/>
      <c r="Z781" s="8"/>
    </row>
    <row r="782" spans="1:26" x14ac:dyDescent="0.3">
      <c r="A782" s="1" t="s">
        <v>541</v>
      </c>
      <c r="B782" s="1" t="str">
        <v>YOUNG WOMEN CHRISTIAN ASSOCIATION HOSTELS</v>
      </c>
      <c r="K782" s="6"/>
      <c r="L782" s="6"/>
      <c r="M782" s="7"/>
      <c r="U782" s="8"/>
      <c r="V782" s="8"/>
      <c r="W782" s="8"/>
      <c r="X782" s="9"/>
      <c r="Y782" s="6"/>
      <c r="Z782" s="8"/>
    </row>
    <row r="783" spans="1:26" x14ac:dyDescent="0.3">
      <c r="A783" s="1" t="s">
        <v>858</v>
      </c>
      <c r="B783" s="1" t="str">
        <v>HEARTBEAT @ BEDOK</v>
      </c>
      <c r="K783" s="6"/>
      <c r="L783" s="6"/>
      <c r="M783" s="7"/>
      <c r="U783" s="8"/>
      <c r="V783" s="8"/>
      <c r="W783" s="8"/>
      <c r="X783" s="9"/>
      <c r="Y783" s="6"/>
      <c r="Z783" s="8"/>
    </row>
    <row r="784" spans="1:26" x14ac:dyDescent="0.3">
      <c r="A784" s="1" t="s">
        <v>1474</v>
      </c>
      <c r="B784" s="1" t="str">
        <v>SENGKANG COMMUNITY HUB</v>
      </c>
      <c r="K784" s="6"/>
      <c r="L784" s="6"/>
      <c r="M784" s="7"/>
      <c r="U784" s="8"/>
      <c r="V784" s="8"/>
      <c r="W784" s="8"/>
      <c r="X784" s="9"/>
      <c r="Y784" s="6"/>
      <c r="Z784" s="8"/>
    </row>
    <row r="785" spans="1:26" x14ac:dyDescent="0.3">
      <c r="A785" s="1" t="s">
        <v>1025</v>
      </c>
      <c r="B785" s="1" t="str">
        <v>KEBUN BARU COMMUNITY CLUB</v>
      </c>
      <c r="K785" s="6"/>
      <c r="L785" s="6"/>
      <c r="M785" s="7"/>
      <c r="U785" s="8"/>
      <c r="V785" s="8"/>
      <c r="W785" s="8"/>
      <c r="X785" s="9"/>
      <c r="Y785" s="6"/>
      <c r="Z785" s="8"/>
    </row>
    <row r="786" spans="1:26" x14ac:dyDescent="0.3">
      <c r="A786" s="1" t="s">
        <v>425</v>
      </c>
      <c r="B786" s="1" t="str">
        <v>CI YUAN COMMUNITY CLUB</v>
      </c>
      <c r="K786" s="6"/>
      <c r="L786" s="6"/>
      <c r="U786" s="8"/>
      <c r="V786" s="8"/>
      <c r="W786" s="8"/>
      <c r="X786" s="9"/>
      <c r="Y786" s="6"/>
      <c r="Z786" s="8"/>
    </row>
    <row r="787" spans="1:26" x14ac:dyDescent="0.3">
      <c r="A787" s="1" t="s">
        <v>377</v>
      </c>
      <c r="B787" s="1" t="str">
        <v>THE JAPANESE ASSOCIATION, SINGAPORE</v>
      </c>
      <c r="K787" s="6"/>
      <c r="L787" s="6"/>
      <c r="M787" s="7"/>
      <c r="U787" s="8"/>
      <c r="V787" s="8"/>
      <c r="W787" s="8"/>
      <c r="X787" s="9"/>
      <c r="Y787" s="6"/>
      <c r="Z787" s="8"/>
    </row>
    <row r="788" spans="1:26" x14ac:dyDescent="0.3">
      <c r="A788" s="1" t="s">
        <v>1721</v>
      </c>
      <c r="B788" s="1" t="str">
        <v>2 CHOA CHU KANG LOOP</v>
      </c>
      <c r="K788" s="6"/>
      <c r="L788" s="6"/>
      <c r="M788" s="7"/>
      <c r="U788" s="8"/>
      <c r="V788" s="8"/>
      <c r="W788" s="8"/>
      <c r="X788" s="9"/>
      <c r="Y788" s="6"/>
      <c r="Z788" s="8"/>
    </row>
    <row r="789" spans="1:26" x14ac:dyDescent="0.3">
      <c r="A789" s="1" t="s">
        <v>1722</v>
      </c>
      <c r="B789" s="1" t="str">
        <v>190 KENG LEE ROAD</v>
      </c>
      <c r="K789" s="6"/>
      <c r="L789" s="6"/>
      <c r="M789" s="7"/>
      <c r="U789" s="8"/>
      <c r="V789" s="8"/>
      <c r="W789" s="8"/>
      <c r="X789" s="9"/>
      <c r="Y789" s="6"/>
      <c r="Z789" s="8"/>
    </row>
    <row r="790" spans="1:26" x14ac:dyDescent="0.3">
      <c r="A790" s="1" t="s">
        <v>1482</v>
      </c>
      <c r="B790" s="1" t="str">
        <v>TAMPINES WEST COMMUNITY CLUB</v>
      </c>
      <c r="K790" s="6"/>
      <c r="L790" s="6"/>
      <c r="M790" s="7"/>
      <c r="U790" s="8"/>
      <c r="V790" s="8"/>
      <c r="W790" s="8"/>
      <c r="X790" s="9"/>
      <c r="Y790" s="6"/>
      <c r="Z790" s="8"/>
    </row>
    <row r="791" spans="1:26" x14ac:dyDescent="0.3">
      <c r="A791" s="1" t="s">
        <v>455</v>
      </c>
      <c r="B791" s="1" t="str">
        <v>MARINE PARADE COMMUNITY CENTRE</v>
      </c>
      <c r="K791" s="6"/>
      <c r="L791" s="6"/>
      <c r="M791" s="7"/>
      <c r="U791" s="8"/>
      <c r="V791" s="8"/>
      <c r="W791" s="8"/>
      <c r="X791" s="9"/>
      <c r="Y791" s="6"/>
      <c r="Z791" s="8"/>
    </row>
    <row r="792" spans="1:26" x14ac:dyDescent="0.3">
      <c r="A792" s="1" t="s">
        <v>538</v>
      </c>
      <c r="B792" s="1" t="str">
        <v>KALLANG THEATRE</v>
      </c>
      <c r="K792" s="6"/>
      <c r="L792" s="6"/>
      <c r="M792" s="7"/>
      <c r="U792" s="8"/>
      <c r="V792" s="8"/>
      <c r="W792" s="8"/>
      <c r="X792" s="9"/>
      <c r="Y792" s="6"/>
      <c r="Z792" s="8"/>
    </row>
    <row r="793" spans="1:26" x14ac:dyDescent="0.3">
      <c r="A793" s="1" t="s">
        <v>674</v>
      </c>
      <c r="B793" s="1" t="str">
        <v>SINGAPORE CHINESE CULTURAL CENTRE</v>
      </c>
      <c r="K793" s="6"/>
      <c r="L793" s="6"/>
      <c r="M793" s="7"/>
      <c r="U793" s="8"/>
      <c r="V793" s="8"/>
      <c r="W793" s="8"/>
      <c r="X793" s="9"/>
      <c r="Y793" s="6"/>
      <c r="Z793" s="8"/>
    </row>
    <row r="794" spans="1:26" x14ac:dyDescent="0.3">
      <c r="A794" s="1" t="s">
        <v>794</v>
      </c>
      <c r="B794" s="1" t="str">
        <v>NATIONAL GALLERY SINGAPORE</v>
      </c>
      <c r="K794" s="6"/>
      <c r="L794" s="6"/>
      <c r="M794" s="7"/>
      <c r="U794" s="8"/>
      <c r="V794" s="8"/>
      <c r="W794" s="8"/>
      <c r="X794" s="9"/>
      <c r="Y794" s="6"/>
      <c r="Z794" s="8"/>
    </row>
    <row r="795" spans="1:26" x14ac:dyDescent="0.3">
      <c r="A795" s="1" t="s">
        <v>388</v>
      </c>
      <c r="B795" s="1" t="str">
        <v>SINGAPORE CONFERENCE HALL</v>
      </c>
      <c r="K795" s="6"/>
      <c r="L795" s="6"/>
      <c r="M795" s="7"/>
      <c r="U795" s="8"/>
      <c r="V795" s="8"/>
      <c r="W795" s="8"/>
      <c r="X795" s="9"/>
      <c r="Y795" s="6"/>
      <c r="Z795" s="8"/>
    </row>
    <row r="796" spans="1:26" x14ac:dyDescent="0.3">
      <c r="A796" s="1" t="s">
        <v>1582</v>
      </c>
      <c r="B796" s="1" t="str">
        <v>VICTORIA THEATRE</v>
      </c>
      <c r="K796" s="6"/>
      <c r="L796" s="6"/>
      <c r="M796" s="7"/>
      <c r="U796" s="8"/>
      <c r="V796" s="8"/>
      <c r="W796" s="8"/>
      <c r="X796" s="9"/>
      <c r="Y796" s="6"/>
      <c r="Z796" s="8"/>
    </row>
    <row r="797" spans="1:26" x14ac:dyDescent="0.3">
      <c r="A797" s="1" t="s">
        <v>1394</v>
      </c>
      <c r="B797" s="1" t="str">
        <v>EMPRESS PLACE BUILDING</v>
      </c>
      <c r="K797" s="6"/>
      <c r="L797" s="6"/>
      <c r="M797" s="7"/>
      <c r="U797" s="8"/>
      <c r="V797" s="8"/>
      <c r="W797" s="8"/>
      <c r="X797" s="9"/>
      <c r="Y797" s="6"/>
      <c r="Z797" s="8"/>
    </row>
    <row r="798" spans="1:26" x14ac:dyDescent="0.3">
      <c r="A798" s="1" t="s">
        <v>1723</v>
      </c>
      <c r="B798" s="1" t="str">
        <v>32 JURONG PORT ROAD</v>
      </c>
      <c r="K798" s="6"/>
      <c r="L798" s="6"/>
      <c r="M798" s="7"/>
      <c r="U798" s="8"/>
      <c r="V798" s="8"/>
      <c r="W798" s="8"/>
      <c r="X798" s="9"/>
      <c r="Y798" s="6"/>
      <c r="Z798" s="8"/>
    </row>
    <row r="799" spans="1:26" x14ac:dyDescent="0.3">
      <c r="A799" s="1" t="s">
        <v>382</v>
      </c>
      <c r="B799" s="1" t="str">
        <v>NATIONAL MUSEUM OF SINGAPORE</v>
      </c>
      <c r="K799" s="6"/>
      <c r="L799" s="6"/>
      <c r="M799" s="7"/>
      <c r="U799" s="8"/>
      <c r="V799" s="8"/>
      <c r="W799" s="8"/>
      <c r="X799" s="9"/>
      <c r="Y799" s="6"/>
      <c r="Z799" s="8"/>
    </row>
    <row r="800" spans="1:26" x14ac:dyDescent="0.3">
      <c r="A800" s="1" t="s">
        <v>1476</v>
      </c>
      <c r="B800" s="1" t="str">
        <v>BEDOK STADIUM</v>
      </c>
      <c r="K800" s="6"/>
      <c r="L800" s="6"/>
      <c r="M800" s="7"/>
      <c r="U800" s="8"/>
      <c r="V800" s="8"/>
      <c r="W800" s="8"/>
      <c r="X800" s="9"/>
      <c r="Y800" s="6"/>
      <c r="Z800" s="8"/>
    </row>
    <row r="801" spans="1:26" x14ac:dyDescent="0.3">
      <c r="A801" s="1" t="s">
        <v>1467</v>
      </c>
      <c r="B801" s="1" t="str">
        <v>QUEENSTOWN SWIMMING COMPLEX</v>
      </c>
      <c r="K801" s="6"/>
      <c r="L801" s="6"/>
      <c r="M801" s="7"/>
      <c r="U801" s="8"/>
      <c r="V801" s="8"/>
      <c r="W801" s="8"/>
      <c r="X801" s="9"/>
      <c r="Y801" s="6"/>
      <c r="Z801" s="8"/>
    </row>
    <row r="802" spans="1:26" x14ac:dyDescent="0.3">
      <c r="A802" s="1" t="s">
        <v>882</v>
      </c>
      <c r="B802" s="1" t="str">
        <v>JALAN BESAR STADIUM</v>
      </c>
      <c r="K802" s="6"/>
      <c r="L802" s="6"/>
      <c r="M802" s="7"/>
      <c r="U802" s="8"/>
      <c r="V802" s="8"/>
      <c r="W802" s="8"/>
      <c r="X802" s="9"/>
      <c r="Y802" s="6"/>
      <c r="Z802" s="8"/>
    </row>
    <row r="803" spans="1:26" x14ac:dyDescent="0.3">
      <c r="A803" s="1" t="s">
        <v>1363</v>
      </c>
      <c r="B803" s="1" t="str">
        <v>JURONG WEST SPORTS &amp; RECREATION CTR</v>
      </c>
      <c r="K803" s="6"/>
      <c r="L803" s="6"/>
      <c r="M803" s="7"/>
      <c r="U803" s="8"/>
      <c r="V803" s="8"/>
      <c r="W803" s="8"/>
      <c r="X803" s="9"/>
      <c r="Y803" s="6"/>
      <c r="Z803" s="8"/>
    </row>
    <row r="804" spans="1:26" x14ac:dyDescent="0.3">
      <c r="A804" s="1" t="s">
        <v>427</v>
      </c>
      <c r="B804" s="1" t="str">
        <v>KALLANG INDOOR STADIUM</v>
      </c>
      <c r="K804" s="6"/>
      <c r="L804" s="6"/>
      <c r="M804" s="7"/>
      <c r="U804" s="8"/>
      <c r="V804" s="8"/>
      <c r="W804" s="8"/>
      <c r="X804" s="9"/>
      <c r="Y804" s="6"/>
      <c r="Z804" s="8"/>
    </row>
    <row r="805" spans="1:26" x14ac:dyDescent="0.3">
      <c r="A805" s="1" t="s">
        <v>1472</v>
      </c>
      <c r="B805" s="1" t="str">
        <v>CHOA CHU KANG STADIUM</v>
      </c>
      <c r="K805" s="6"/>
      <c r="L805" s="6"/>
      <c r="M805" s="7"/>
      <c r="U805" s="8"/>
      <c r="V805" s="8"/>
      <c r="W805" s="8"/>
      <c r="X805" s="9"/>
      <c r="Y805" s="6"/>
      <c r="Z805" s="8"/>
    </row>
    <row r="806" spans="1:26" x14ac:dyDescent="0.3">
      <c r="A806" s="1" t="s">
        <v>791</v>
      </c>
      <c r="B806" s="1" t="str">
        <v>TOA PAYOH ATHLETIC CENTRE</v>
      </c>
      <c r="K806" s="6"/>
      <c r="L806" s="6"/>
      <c r="M806" s="7"/>
      <c r="U806" s="8"/>
      <c r="V806" s="8"/>
      <c r="W806" s="8"/>
      <c r="X806" s="9"/>
      <c r="Y806" s="6"/>
      <c r="Z806" s="8"/>
    </row>
    <row r="807" spans="1:26" x14ac:dyDescent="0.3">
      <c r="A807" s="1" t="s">
        <v>1688</v>
      </c>
      <c r="B807" s="1" t="str">
        <v>3 STADIUM DRIVE</v>
      </c>
      <c r="K807" s="6"/>
      <c r="L807" s="6"/>
      <c r="M807" s="7"/>
      <c r="U807" s="8"/>
      <c r="V807" s="8"/>
      <c r="W807" s="8"/>
      <c r="X807" s="9"/>
      <c r="Y807" s="6"/>
      <c r="Z807" s="8"/>
    </row>
    <row r="808" spans="1:26" x14ac:dyDescent="0.3">
      <c r="A808" s="1" t="s">
        <v>1689</v>
      </c>
      <c r="B808" s="1" t="str">
        <v>120 PASIR RIS CENTRAL</v>
      </c>
      <c r="K808" s="6"/>
      <c r="L808" s="6"/>
      <c r="M808" s="7"/>
      <c r="U808" s="8"/>
      <c r="V808" s="8"/>
      <c r="W808" s="8"/>
      <c r="X808" s="9"/>
      <c r="Y808" s="6"/>
      <c r="Z808" s="8"/>
    </row>
    <row r="809" spans="1:26" x14ac:dyDescent="0.3">
      <c r="A809" s="1" t="s">
        <v>1690</v>
      </c>
      <c r="B809" s="1" t="str">
        <v>57 ANCHORVALE ROAD</v>
      </c>
      <c r="K809" s="6"/>
      <c r="L809" s="6"/>
      <c r="M809" s="7"/>
      <c r="U809" s="8"/>
      <c r="V809" s="8"/>
      <c r="W809" s="8"/>
      <c r="X809" s="9"/>
      <c r="Y809" s="6"/>
      <c r="Z809" s="8"/>
    </row>
    <row r="810" spans="1:26" x14ac:dyDescent="0.3">
      <c r="A810" s="1" t="s">
        <v>1086</v>
      </c>
      <c r="B810" s="1" t="str">
        <v>SINGAPORE SWIMMING CLUB</v>
      </c>
      <c r="K810" s="6"/>
      <c r="L810" s="6"/>
      <c r="M810" s="7"/>
      <c r="U810" s="8"/>
      <c r="V810" s="8"/>
      <c r="W810" s="8"/>
      <c r="X810" s="9"/>
      <c r="Y810" s="6"/>
      <c r="Z810" s="8"/>
    </row>
    <row r="811" spans="1:26" x14ac:dyDescent="0.3">
      <c r="A811" s="1" t="s">
        <v>395</v>
      </c>
      <c r="B811" s="1" t="str">
        <v>CHINESE SWIMMING CLUB</v>
      </c>
      <c r="K811" s="6"/>
      <c r="L811" s="6"/>
      <c r="M811" s="7"/>
      <c r="U811" s="8"/>
      <c r="V811" s="8"/>
      <c r="W811" s="8"/>
      <c r="X811" s="9"/>
      <c r="Y811" s="6"/>
      <c r="Z811" s="8"/>
    </row>
    <row r="812" spans="1:26" x14ac:dyDescent="0.3">
      <c r="A812" s="1" t="s">
        <v>435</v>
      </c>
      <c r="B812" s="1" t="str">
        <v>SAF YACHT CLUB</v>
      </c>
      <c r="K812" s="6"/>
      <c r="L812" s="6"/>
      <c r="M812" s="7"/>
      <c r="U812" s="8"/>
      <c r="V812" s="8"/>
      <c r="W812" s="8"/>
      <c r="X812" s="9"/>
      <c r="Y812" s="6"/>
      <c r="Z812" s="8"/>
    </row>
    <row r="813" spans="1:26" x14ac:dyDescent="0.3">
      <c r="A813" s="1" t="s">
        <v>1691</v>
      </c>
      <c r="B813" s="1" t="str">
        <v>70 JALAN BAHTERA</v>
      </c>
      <c r="K813" s="6"/>
      <c r="L813" s="6"/>
      <c r="M813" s="7"/>
      <c r="U813" s="8"/>
      <c r="V813" s="8"/>
      <c r="W813" s="8"/>
      <c r="X813" s="9"/>
      <c r="Y813" s="6"/>
      <c r="Z813" s="8"/>
    </row>
    <row r="814" spans="1:26" x14ac:dyDescent="0.3">
      <c r="A814" s="1" t="s">
        <v>1692</v>
      </c>
      <c r="B814" s="1" t="str">
        <v>515 WEST CAMP ROAD</v>
      </c>
      <c r="K814" s="6"/>
      <c r="L814" s="6"/>
      <c r="M814" s="7"/>
      <c r="U814" s="8"/>
      <c r="V814" s="8"/>
      <c r="W814" s="8"/>
      <c r="X814" s="9"/>
      <c r="Y814" s="6"/>
      <c r="Z814" s="8"/>
    </row>
    <row r="815" spans="1:26" x14ac:dyDescent="0.3">
      <c r="A815" s="1" t="s">
        <v>1693</v>
      </c>
      <c r="B815" s="1" t="str">
        <v>100 TURF CLUB ROAD</v>
      </c>
      <c r="K815" s="6"/>
      <c r="L815" s="6"/>
      <c r="M815" s="7"/>
      <c r="U815" s="8"/>
      <c r="V815" s="8"/>
      <c r="W815" s="8"/>
      <c r="X815" s="9"/>
      <c r="Y815" s="6"/>
      <c r="Z815" s="8"/>
    </row>
    <row r="816" spans="1:26" x14ac:dyDescent="0.3">
      <c r="A816" s="1" t="s">
        <v>1694</v>
      </c>
      <c r="B816" s="1" t="str">
        <v>10 TUAS WEST DRIVE</v>
      </c>
      <c r="K816" s="6"/>
      <c r="L816" s="6"/>
      <c r="M816" s="7"/>
      <c r="U816" s="8"/>
      <c r="V816" s="8"/>
      <c r="W816" s="8"/>
      <c r="X816" s="9"/>
      <c r="Y816" s="6"/>
      <c r="Z816" s="8"/>
    </row>
    <row r="817" spans="1:26" x14ac:dyDescent="0.3">
      <c r="A817" s="1" t="s">
        <v>408</v>
      </c>
      <c r="B817" s="1" t="str">
        <v>ONE15 MARINA CLUB</v>
      </c>
      <c r="K817" s="6"/>
      <c r="L817" s="6"/>
      <c r="M817" s="7"/>
      <c r="U817" s="8"/>
      <c r="V817" s="8"/>
      <c r="W817" s="8"/>
      <c r="X817" s="9"/>
      <c r="Y817" s="6"/>
      <c r="Z817" s="8"/>
    </row>
    <row r="818" spans="1:26" x14ac:dyDescent="0.3">
      <c r="A818" s="1" t="s">
        <v>1695</v>
      </c>
      <c r="B818" s="1" t="str">
        <v>52 WEST COAST FERRY ROAD</v>
      </c>
      <c r="K818" s="6"/>
      <c r="L818" s="6"/>
      <c r="M818" s="7"/>
      <c r="U818" s="8"/>
      <c r="V818" s="8"/>
      <c r="W818" s="8"/>
      <c r="X818" s="9"/>
      <c r="Y818" s="6"/>
      <c r="Z818" s="8"/>
    </row>
    <row r="819" spans="1:26" x14ac:dyDescent="0.3">
      <c r="A819" s="1" t="s">
        <v>1696</v>
      </c>
      <c r="B819" s="1" t="str">
        <v>31 BEACH VIEW</v>
      </c>
      <c r="K819" s="6"/>
      <c r="L819" s="6"/>
      <c r="M819" s="7"/>
      <c r="U819" s="8"/>
      <c r="V819" s="8"/>
      <c r="W819" s="8"/>
      <c r="X819" s="9"/>
      <c r="Y819" s="6"/>
      <c r="Z819" s="8"/>
    </row>
    <row r="820" spans="1:26" x14ac:dyDescent="0.3">
      <c r="A820" s="1" t="s">
        <v>1697</v>
      </c>
      <c r="B820" s="1" t="str">
        <v>131 RIFLE RANGE ROAD</v>
      </c>
      <c r="K820" s="6"/>
      <c r="L820" s="6"/>
      <c r="M820" s="7"/>
      <c r="U820" s="8"/>
      <c r="V820" s="8"/>
      <c r="W820" s="8"/>
      <c r="X820" s="9"/>
      <c r="Y820" s="6"/>
      <c r="Z820" s="8"/>
    </row>
    <row r="821" spans="1:26" x14ac:dyDescent="0.3">
      <c r="A821" s="1" t="s">
        <v>1110</v>
      </c>
      <c r="B821" s="1" t="str">
        <v>KEPPEL CLUB</v>
      </c>
      <c r="K821" s="6"/>
      <c r="L821" s="6"/>
      <c r="M821" s="7"/>
      <c r="U821" s="8"/>
      <c r="V821" s="8"/>
      <c r="W821" s="8"/>
      <c r="X821" s="9"/>
      <c r="Y821" s="6"/>
      <c r="Z821" s="8"/>
    </row>
    <row r="822" spans="1:26" x14ac:dyDescent="0.3">
      <c r="A822" s="1" t="s">
        <v>785</v>
      </c>
      <c r="B822" s="1" t="str">
        <v>TUAS SOUTH RECREATION CENTRE</v>
      </c>
      <c r="K822" s="6"/>
      <c r="L822" s="6"/>
      <c r="M822" s="7"/>
      <c r="U822" s="8"/>
      <c r="V822" s="8"/>
      <c r="W822" s="8"/>
      <c r="X822" s="9"/>
      <c r="Y822" s="6"/>
      <c r="Z822" s="8"/>
    </row>
    <row r="823" spans="1:26" x14ac:dyDescent="0.3">
      <c r="A823" s="1" t="s">
        <v>1698</v>
      </c>
      <c r="B823" s="1" t="str">
        <v>11 SLIM BARRACKS RISE</v>
      </c>
      <c r="K823" s="6"/>
      <c r="L823" s="6"/>
      <c r="M823" s="7"/>
      <c r="U823" s="8"/>
      <c r="V823" s="8"/>
      <c r="W823" s="8"/>
      <c r="X823" s="9"/>
      <c r="Y823" s="6"/>
      <c r="Z823" s="8"/>
    </row>
    <row r="824" spans="1:26" x14ac:dyDescent="0.3">
      <c r="A824" s="1" t="s">
        <v>783</v>
      </c>
      <c r="B824" s="1" t="str">
        <v>TERUSAN RECREATION CENTRE</v>
      </c>
      <c r="K824" s="6"/>
      <c r="L824" s="6"/>
      <c r="M824" s="7"/>
      <c r="U824" s="8"/>
      <c r="V824" s="8"/>
      <c r="W824" s="8"/>
      <c r="X824" s="9"/>
      <c r="Y824" s="6"/>
      <c r="Z824" s="8"/>
    </row>
    <row r="825" spans="1:26" x14ac:dyDescent="0.3">
      <c r="A825" s="1" t="s">
        <v>1699</v>
      </c>
      <c r="B825" s="1" t="str">
        <v>48 BOON LAY WAY</v>
      </c>
      <c r="K825" s="6"/>
      <c r="L825" s="6"/>
      <c r="M825" s="7"/>
      <c r="U825" s="8"/>
      <c r="V825" s="8"/>
      <c r="W825" s="8"/>
      <c r="X825" s="9"/>
      <c r="Y825" s="6"/>
      <c r="Z825" s="8"/>
    </row>
    <row r="826" spans="1:26" x14ac:dyDescent="0.3">
      <c r="A826" s="1" t="s">
        <v>1700</v>
      </c>
      <c r="B826" s="1" t="str">
        <v>11 NORTHSHORE DRIVE</v>
      </c>
      <c r="K826" s="6"/>
      <c r="L826" s="6"/>
      <c r="M826" s="7"/>
      <c r="U826" s="8"/>
      <c r="V826" s="8"/>
      <c r="W826" s="8"/>
      <c r="X826" s="9"/>
      <c r="Y826" s="6"/>
      <c r="Z826" s="8"/>
    </row>
    <row r="827" spans="1:26" x14ac:dyDescent="0.3">
      <c r="A827" s="1" t="s">
        <v>1585</v>
      </c>
      <c r="B827" s="1" t="str">
        <v>ARENA COUNTRY CLUB</v>
      </c>
      <c r="K827" s="6"/>
      <c r="L827" s="6"/>
      <c r="M827" s="7"/>
      <c r="U827" s="8"/>
      <c r="V827" s="8"/>
      <c r="W827" s="8"/>
      <c r="X827" s="9"/>
      <c r="Y827" s="6"/>
      <c r="Z827" s="8"/>
    </row>
    <row r="828" spans="1:26" x14ac:dyDescent="0.3">
      <c r="A828" s="1" t="s">
        <v>404</v>
      </c>
      <c r="B828" s="1" t="str">
        <v>SINGAPORE POLO CLUB</v>
      </c>
      <c r="K828" s="6"/>
      <c r="L828" s="6"/>
      <c r="M828" s="7"/>
      <c r="U828" s="8"/>
      <c r="V828" s="8"/>
      <c r="W828" s="8"/>
      <c r="X828" s="9"/>
      <c r="Y828" s="6"/>
      <c r="Z828" s="8"/>
    </row>
    <row r="829" spans="1:26" x14ac:dyDescent="0.3">
      <c r="A829" s="1" t="s">
        <v>428</v>
      </c>
      <c r="B829" s="1" t="str">
        <v>CLUB CSC @ TESSENSOHN</v>
      </c>
      <c r="K829" s="6"/>
      <c r="L829" s="6"/>
      <c r="M829" s="7"/>
      <c r="U829" s="8"/>
      <c r="V829" s="8"/>
      <c r="W829" s="8"/>
      <c r="X829" s="9"/>
      <c r="Y829" s="6"/>
      <c r="Z829" s="8"/>
    </row>
    <row r="830" spans="1:26" x14ac:dyDescent="0.3">
      <c r="A830" s="1" t="s">
        <v>1701</v>
      </c>
      <c r="B830" s="1" t="str">
        <v>31 AH HOOD ROAD</v>
      </c>
      <c r="K830" s="6"/>
      <c r="L830" s="6"/>
      <c r="M830" s="7"/>
      <c r="U830" s="8"/>
      <c r="V830" s="8"/>
      <c r="W830" s="8"/>
      <c r="X830" s="9"/>
      <c r="Y830" s="6"/>
      <c r="Z830" s="8"/>
    </row>
    <row r="831" spans="1:26" x14ac:dyDescent="0.3">
      <c r="A831" s="1" t="s">
        <v>429</v>
      </c>
      <c r="B831" s="1" t="str">
        <v>CLUB CSC @ BUKIT BATOK</v>
      </c>
      <c r="K831" s="6"/>
      <c r="L831" s="6"/>
      <c r="M831" s="7"/>
      <c r="U831" s="8"/>
      <c r="V831" s="8"/>
      <c r="W831" s="8"/>
      <c r="X831" s="9"/>
      <c r="Y831" s="6"/>
      <c r="Z831" s="8"/>
    </row>
    <row r="832" spans="1:26" x14ac:dyDescent="0.3">
      <c r="A832" s="1" t="s">
        <v>944</v>
      </c>
      <c r="B832" s="1" t="str">
        <v>SAFRA CLUBHOUSE (TAMPINES)</v>
      </c>
      <c r="K832" s="6"/>
      <c r="L832" s="6"/>
      <c r="M832" s="7"/>
      <c r="U832" s="8"/>
      <c r="V832" s="8"/>
      <c r="W832" s="8"/>
      <c r="X832" s="9"/>
      <c r="Y832" s="6"/>
      <c r="Z832" s="8"/>
    </row>
    <row r="833" spans="1:26" x14ac:dyDescent="0.3">
      <c r="A833" s="1" t="s">
        <v>1702</v>
      </c>
      <c r="B833" s="1" t="str">
        <v>726 UPPER CHANGI ROAD EAST</v>
      </c>
      <c r="K833" s="6"/>
      <c r="L833" s="6"/>
      <c r="M833" s="7"/>
      <c r="U833" s="8"/>
      <c r="V833" s="8"/>
      <c r="W833" s="8"/>
      <c r="X833" s="9"/>
      <c r="Y833" s="6"/>
      <c r="Z833" s="8"/>
    </row>
    <row r="834" spans="1:26" x14ac:dyDescent="0.3">
      <c r="A834" s="1" t="s">
        <v>592</v>
      </c>
      <c r="B834" s="1" t="str">
        <v>SAFRA CLUBHOUSE (JURONG)</v>
      </c>
      <c r="K834" s="6"/>
      <c r="L834" s="6"/>
      <c r="M834" s="7"/>
      <c r="U834" s="8"/>
      <c r="V834" s="8"/>
      <c r="W834" s="8"/>
      <c r="X834" s="9"/>
      <c r="Y834" s="6"/>
      <c r="Z834" s="8"/>
    </row>
    <row r="835" spans="1:26" x14ac:dyDescent="0.3">
      <c r="A835" s="1" t="s">
        <v>431</v>
      </c>
      <c r="B835" s="1" t="str">
        <v>CLUB CSC @ CHANGI</v>
      </c>
      <c r="K835" s="6"/>
      <c r="L835" s="6"/>
      <c r="M835" s="7"/>
      <c r="U835" s="8"/>
      <c r="V835" s="8"/>
      <c r="W835" s="8"/>
      <c r="X835" s="9"/>
      <c r="Y835" s="6"/>
      <c r="Z835" s="8"/>
    </row>
    <row r="836" spans="1:26" x14ac:dyDescent="0.3">
      <c r="A836" s="1" t="s">
        <v>1703</v>
      </c>
      <c r="B836" s="1" t="str">
        <v>190 ANG MO KIO AVENUE 8</v>
      </c>
      <c r="K836" s="6"/>
      <c r="L836" s="6"/>
      <c r="M836" s="7"/>
      <c r="U836" s="8"/>
      <c r="V836" s="8"/>
      <c r="W836" s="8"/>
      <c r="X836" s="9"/>
      <c r="Y836" s="6"/>
      <c r="Z836" s="8"/>
    </row>
    <row r="837" spans="1:26" x14ac:dyDescent="0.3">
      <c r="A837" s="1" t="s">
        <v>1704</v>
      </c>
      <c r="B837" s="1" t="str">
        <v>1010 DOVER ROAD</v>
      </c>
      <c r="K837" s="6"/>
      <c r="L837" s="6"/>
      <c r="M837" s="7"/>
      <c r="U837" s="8"/>
      <c r="V837" s="8"/>
      <c r="W837" s="8"/>
      <c r="X837" s="9"/>
      <c r="Y837" s="6"/>
      <c r="Z837" s="8"/>
    </row>
    <row r="838" spans="1:26" x14ac:dyDescent="0.3">
      <c r="A838" s="1" t="s">
        <v>379</v>
      </c>
      <c r="B838" s="1" t="str">
        <v>SEMBAWANG COUNTRY CLUB</v>
      </c>
      <c r="K838" s="6"/>
      <c r="L838" s="6"/>
      <c r="M838" s="7"/>
      <c r="U838" s="8"/>
      <c r="V838" s="8"/>
      <c r="W838" s="8"/>
      <c r="X838" s="9"/>
      <c r="Y838" s="6"/>
      <c r="Z838" s="8"/>
    </row>
    <row r="839" spans="1:26" x14ac:dyDescent="0.3">
      <c r="A839" s="1" t="s">
        <v>1705</v>
      </c>
      <c r="B839" s="1" t="str">
        <v>1 TANAH MERAH COAST ROAD</v>
      </c>
      <c r="K839" s="6"/>
      <c r="L839" s="6"/>
      <c r="M839" s="7"/>
      <c r="U839" s="8"/>
      <c r="V839" s="8"/>
      <c r="W839" s="8"/>
      <c r="X839" s="9"/>
      <c r="Y839" s="6"/>
      <c r="Z839" s="8"/>
    </row>
    <row r="840" spans="1:26" x14ac:dyDescent="0.3">
      <c r="A840" s="1" t="s">
        <v>1706</v>
      </c>
      <c r="B840" s="1" t="str">
        <v>50 NEO TIEW LANE 3</v>
      </c>
      <c r="K840" s="6"/>
      <c r="L840" s="6"/>
      <c r="M840" s="7"/>
      <c r="U840" s="8"/>
      <c r="V840" s="8"/>
      <c r="W840" s="8"/>
      <c r="X840" s="9"/>
      <c r="Y840" s="6"/>
      <c r="Z840" s="8"/>
    </row>
    <row r="841" spans="1:26" x14ac:dyDescent="0.3">
      <c r="A841" s="1" t="s">
        <v>1707</v>
      </c>
      <c r="B841" s="1" t="str">
        <v>9 SENTUL CRESCENT</v>
      </c>
      <c r="K841" s="6"/>
      <c r="L841" s="6"/>
      <c r="M841" s="7"/>
      <c r="U841" s="8"/>
      <c r="V841" s="8"/>
      <c r="W841" s="8"/>
      <c r="X841" s="9"/>
      <c r="Y841" s="6"/>
      <c r="Z841" s="8"/>
    </row>
    <row r="842" spans="1:26" x14ac:dyDescent="0.3">
      <c r="A842" s="1" t="s">
        <v>723</v>
      </c>
      <c r="B842" s="1" t="str">
        <v>ORCHID COUNTRY CLUB</v>
      </c>
      <c r="K842" s="6"/>
      <c r="L842" s="6"/>
      <c r="M842" s="7"/>
      <c r="U842" s="8"/>
      <c r="V842" s="8"/>
      <c r="W842" s="8"/>
      <c r="X842" s="9"/>
      <c r="Y842" s="6"/>
      <c r="Z842" s="8"/>
    </row>
    <row r="843" spans="1:26" x14ac:dyDescent="0.3">
      <c r="A843" s="1" t="s">
        <v>384</v>
      </c>
      <c r="B843" s="1" t="str">
        <v>NATIONAL SERVICE RESORT &amp; COUNTRY CLUB</v>
      </c>
      <c r="K843" s="6"/>
      <c r="L843" s="6"/>
      <c r="M843" s="7"/>
      <c r="U843" s="8"/>
      <c r="V843" s="8"/>
      <c r="W843" s="8"/>
      <c r="X843" s="9"/>
      <c r="Y843" s="6"/>
      <c r="Z843" s="8"/>
    </row>
    <row r="844" spans="1:26" x14ac:dyDescent="0.3">
      <c r="A844" s="1" t="s">
        <v>417</v>
      </c>
      <c r="B844" s="1" t="str">
        <v>SINGAPORE ISLAND COUNTRY CLUB</v>
      </c>
      <c r="K844" s="6"/>
      <c r="L844" s="6"/>
      <c r="M844" s="7"/>
      <c r="U844" s="8"/>
      <c r="V844" s="8"/>
      <c r="W844" s="8"/>
      <c r="X844" s="9"/>
      <c r="Y844" s="6"/>
      <c r="Z844" s="8"/>
    </row>
    <row r="845" spans="1:26" x14ac:dyDescent="0.3">
      <c r="A845" s="1" t="s">
        <v>1063</v>
      </c>
      <c r="B845" s="1" t="str">
        <v>SAFRA CLUBHOUSE (MOUNT FABER)</v>
      </c>
      <c r="K845" s="6"/>
      <c r="L845" s="6"/>
      <c r="M845" s="7"/>
      <c r="U845" s="8"/>
      <c r="V845" s="8"/>
      <c r="W845" s="8"/>
      <c r="X845" s="9"/>
      <c r="Y845" s="6"/>
      <c r="Z845" s="8"/>
    </row>
    <row r="846" spans="1:26" x14ac:dyDescent="0.3">
      <c r="A846" s="1" t="s">
        <v>1478</v>
      </c>
      <c r="B846" s="1" t="str">
        <v>SELETAR COUNTRY CLUB</v>
      </c>
      <c r="K846" s="6"/>
      <c r="L846" s="6"/>
      <c r="M846" s="7"/>
      <c r="U846" s="8"/>
      <c r="V846" s="8"/>
      <c r="W846" s="8"/>
      <c r="X846" s="9"/>
      <c r="Y846" s="6"/>
      <c r="Z846" s="8"/>
    </row>
    <row r="847" spans="1:26" x14ac:dyDescent="0.3">
      <c r="A847" s="1" t="s">
        <v>1708</v>
      </c>
      <c r="B847" s="1" t="str">
        <v>2 BUKIT BATOK WEST AVENUE 7</v>
      </c>
      <c r="K847" s="6"/>
      <c r="L847" s="6"/>
      <c r="U847" s="8"/>
      <c r="V847" s="8"/>
      <c r="W847" s="8"/>
      <c r="X847" s="9"/>
      <c r="Y847" s="6"/>
      <c r="Z847" s="8"/>
    </row>
    <row r="848" spans="1:26" x14ac:dyDescent="0.3">
      <c r="A848" s="1" t="s">
        <v>600</v>
      </c>
      <c r="B848" s="1" t="str">
        <v>E!HUB@DOWNTOWN EAST</v>
      </c>
      <c r="K848" s="6"/>
      <c r="L848" s="6"/>
      <c r="U848" s="8"/>
      <c r="V848" s="8"/>
      <c r="W848" s="8"/>
      <c r="X848" s="9"/>
      <c r="Y848" s="6"/>
      <c r="Z848" s="8"/>
    </row>
    <row r="849" spans="1:26" x14ac:dyDescent="0.3">
      <c r="A849" s="1" t="s">
        <v>392</v>
      </c>
      <c r="B849" s="1" t="str">
        <v>SAFRA COUNTRY CLUB (YISHUN)</v>
      </c>
      <c r="K849" s="6"/>
      <c r="L849" s="6"/>
      <c r="U849" s="8"/>
      <c r="V849" s="8"/>
      <c r="W849" s="8"/>
      <c r="X849" s="9"/>
      <c r="Y849" s="6"/>
      <c r="Z849" s="8"/>
    </row>
    <row r="850" spans="1:26" x14ac:dyDescent="0.3">
      <c r="A850" s="1" t="s">
        <v>1709</v>
      </c>
      <c r="B850" s="1" t="str">
        <v>81 CHOA CHU KANG WAY</v>
      </c>
      <c r="K850" s="6"/>
      <c r="L850" s="6"/>
      <c r="U850" s="8"/>
      <c r="V850" s="8"/>
      <c r="W850" s="8"/>
      <c r="X850" s="9"/>
      <c r="Y850" s="6"/>
      <c r="Z850" s="8"/>
    </row>
    <row r="851" spans="1:26" x14ac:dyDescent="0.3">
      <c r="A851" s="1" t="s">
        <v>1710</v>
      </c>
      <c r="B851" s="1" t="str">
        <v>22 KENSINGTON PARK ROAD</v>
      </c>
      <c r="K851" s="6"/>
      <c r="L851" s="6"/>
      <c r="U851" s="8"/>
      <c r="V851" s="8"/>
      <c r="W851" s="8"/>
      <c r="X851" s="9"/>
      <c r="Y851" s="6"/>
      <c r="Z851" s="8"/>
    </row>
    <row r="852" spans="1:26" x14ac:dyDescent="0.3">
      <c r="A852" s="1" t="s">
        <v>1711</v>
      </c>
      <c r="B852" s="1" t="str">
        <v>1 PLYMOUTH AVENUE</v>
      </c>
      <c r="K852" s="6"/>
      <c r="L852" s="6"/>
      <c r="U852" s="8"/>
      <c r="V852" s="8"/>
      <c r="W852" s="8"/>
      <c r="X852" s="9"/>
      <c r="Y852" s="6"/>
      <c r="Z852" s="8"/>
    </row>
    <row r="853" spans="1:26" x14ac:dyDescent="0.3">
      <c r="A853" s="1" t="s">
        <v>524</v>
      </c>
      <c r="B853" s="1" t="str">
        <v>SAFRA CLUBHOUSE (TOA PAYOH)</v>
      </c>
      <c r="K853" s="6"/>
      <c r="L853" s="6"/>
      <c r="U853" s="8"/>
      <c r="V853" s="8"/>
      <c r="W853" s="8"/>
      <c r="X853" s="9"/>
      <c r="Y853" s="6"/>
      <c r="Z853" s="8"/>
    </row>
    <row r="854" spans="1:26" x14ac:dyDescent="0.3">
      <c r="A854" s="1" t="s">
        <v>375</v>
      </c>
      <c r="B854" s="1" t="str">
        <v>BRITISH CLUB</v>
      </c>
      <c r="K854" s="6"/>
      <c r="L854" s="6"/>
      <c r="U854" s="8"/>
      <c r="V854" s="8"/>
      <c r="W854" s="8"/>
      <c r="X854" s="9"/>
      <c r="Y854" s="6"/>
      <c r="Z854" s="8"/>
    </row>
    <row r="855" spans="1:26" x14ac:dyDescent="0.3">
      <c r="A855" s="1" t="s">
        <v>1338</v>
      </c>
      <c r="B855" s="1" t="str">
        <v>SENTOSA GOLF CLUB</v>
      </c>
      <c r="K855" s="6"/>
      <c r="L855" s="6"/>
      <c r="U855" s="8"/>
      <c r="V855" s="8"/>
      <c r="W855" s="8"/>
      <c r="X855" s="9"/>
      <c r="Y855" s="6"/>
      <c r="Z855" s="8"/>
    </row>
    <row r="856" spans="1:26" x14ac:dyDescent="0.3">
      <c r="A856" s="1" t="s">
        <v>967</v>
      </c>
      <c r="B856" s="1" t="str">
        <v>TANGLIN CLUB</v>
      </c>
      <c r="K856" s="6"/>
      <c r="L856" s="6"/>
      <c r="U856" s="8"/>
      <c r="V856" s="8"/>
      <c r="W856" s="8"/>
      <c r="X856" s="9"/>
      <c r="Y856" s="6"/>
      <c r="Z856" s="8"/>
    </row>
    <row r="857" spans="1:26" x14ac:dyDescent="0.3">
      <c r="A857" s="1" t="s">
        <v>957</v>
      </c>
      <c r="B857" s="1" t="str">
        <v>AMERICAN CLUB</v>
      </c>
      <c r="K857" s="6"/>
      <c r="L857" s="6"/>
      <c r="U857" s="8"/>
      <c r="V857" s="8"/>
      <c r="W857" s="8"/>
      <c r="X857" s="9"/>
      <c r="Y857" s="6"/>
      <c r="Z857" s="8"/>
    </row>
    <row r="858" spans="1:26" x14ac:dyDescent="0.3">
      <c r="A858" s="1" t="s">
        <v>423</v>
      </c>
      <c r="B858" s="1" t="str">
        <v>SINGAPORE RECREATION CLUB</v>
      </c>
      <c r="K858" s="6"/>
      <c r="L858" s="6"/>
      <c r="U858" s="8"/>
      <c r="V858" s="8"/>
      <c r="W858" s="8"/>
      <c r="X858" s="9"/>
      <c r="Y858" s="6"/>
      <c r="Z858" s="8"/>
    </row>
    <row r="859" spans="1:26" x14ac:dyDescent="0.3">
      <c r="A859" s="1" t="s">
        <v>419</v>
      </c>
      <c r="B859" s="1" t="str">
        <v>ISLAND GOLF CLUB</v>
      </c>
      <c r="K859" s="6"/>
      <c r="L859" s="6"/>
      <c r="U859" s="8"/>
      <c r="V859" s="8"/>
      <c r="W859" s="8"/>
      <c r="X859" s="9"/>
      <c r="Y859" s="6"/>
      <c r="Z859" s="8"/>
    </row>
    <row r="860" spans="1:26" x14ac:dyDescent="0.3">
      <c r="K860" s="6"/>
      <c r="L860" s="6"/>
      <c r="U860" s="8"/>
      <c r="V860" s="8"/>
      <c r="W860" s="8"/>
      <c r="X860" s="9"/>
      <c r="Y860" s="6"/>
      <c r="Z860" s="8"/>
    </row>
    <row r="861" spans="1:26" x14ac:dyDescent="0.3">
      <c r="K861" s="6"/>
      <c r="L861" s="6"/>
      <c r="U861" s="8"/>
      <c r="V861" s="8"/>
      <c r="W861" s="8"/>
      <c r="X861" s="9"/>
      <c r="Y861" s="6"/>
      <c r="Z861" s="8"/>
    </row>
    <row r="862" spans="1:26" x14ac:dyDescent="0.3">
      <c r="K862" s="6"/>
      <c r="L862" s="6"/>
      <c r="U862" s="8"/>
      <c r="V862" s="8"/>
      <c r="W862" s="8"/>
      <c r="X862" s="9"/>
      <c r="Y862" s="6"/>
      <c r="Z862" s="8"/>
    </row>
    <row r="863" spans="1:26" x14ac:dyDescent="0.3">
      <c r="K863" s="6"/>
      <c r="L863" s="6"/>
      <c r="U863" s="8"/>
      <c r="V863" s="8"/>
      <c r="W863" s="8"/>
      <c r="X863" s="9"/>
      <c r="Y863" s="6"/>
      <c r="Z863" s="8"/>
    </row>
    <row r="864" spans="1:26" x14ac:dyDescent="0.3">
      <c r="K864" s="6"/>
      <c r="L864" s="6"/>
      <c r="U864" s="8"/>
      <c r="V864" s="8"/>
      <c r="W864" s="8"/>
      <c r="X864" s="9"/>
      <c r="Y864" s="6"/>
      <c r="Z864" s="8"/>
    </row>
    <row r="865" spans="11:26" x14ac:dyDescent="0.3">
      <c r="K865" s="6"/>
      <c r="L865" s="6"/>
      <c r="U865" s="8"/>
      <c r="V865" s="8"/>
      <c r="W865" s="8"/>
      <c r="X865" s="9"/>
      <c r="Y865" s="6"/>
      <c r="Z865" s="8"/>
    </row>
    <row r="866" spans="11:26" x14ac:dyDescent="0.3">
      <c r="K866" s="6"/>
      <c r="L866" s="6"/>
      <c r="U866" s="8"/>
      <c r="V866" s="8"/>
      <c r="W866" s="8"/>
      <c r="X866" s="9"/>
      <c r="Y866" s="6"/>
      <c r="Z866" s="8"/>
    </row>
    <row r="867" spans="11:26" x14ac:dyDescent="0.3">
      <c r="K867" s="6"/>
      <c r="L867" s="6"/>
      <c r="U867" s="8"/>
      <c r="V867" s="8"/>
      <c r="W867" s="8"/>
      <c r="X867" s="9"/>
      <c r="Y867" s="6"/>
      <c r="Z867" s="8"/>
    </row>
    <row r="868" spans="11:26" x14ac:dyDescent="0.3">
      <c r="K868" s="6"/>
      <c r="L868" s="6"/>
      <c r="U868" s="8"/>
      <c r="V868" s="8"/>
      <c r="W868" s="8"/>
      <c r="X868" s="9"/>
      <c r="Y868" s="6"/>
      <c r="Z868" s="8"/>
    </row>
    <row r="869" spans="11:26" x14ac:dyDescent="0.3">
      <c r="K869" s="6"/>
      <c r="L869" s="6"/>
      <c r="U869" s="8"/>
      <c r="V869" s="8"/>
      <c r="W869" s="8"/>
      <c r="X869" s="9"/>
      <c r="Y869" s="6"/>
      <c r="Z869" s="8"/>
    </row>
    <row r="870" spans="11:26" x14ac:dyDescent="0.3">
      <c r="K870" s="6"/>
      <c r="L870" s="6"/>
      <c r="U870" s="8"/>
      <c r="V870" s="8"/>
      <c r="W870" s="8"/>
      <c r="X870" s="9"/>
      <c r="Y870" s="6"/>
      <c r="Z870" s="8"/>
    </row>
    <row r="871" spans="11:26" x14ac:dyDescent="0.3">
      <c r="K871" s="6"/>
      <c r="L871" s="6"/>
      <c r="U871" s="8"/>
      <c r="V871" s="8"/>
      <c r="W871" s="8"/>
      <c r="X871" s="9"/>
      <c r="Y871" s="6"/>
      <c r="Z871" s="8"/>
    </row>
    <row r="872" spans="11:26" x14ac:dyDescent="0.3">
      <c r="K872" s="6"/>
      <c r="L872" s="6"/>
      <c r="U872" s="8"/>
      <c r="V872" s="8"/>
      <c r="W872" s="8"/>
      <c r="X872" s="9"/>
      <c r="Y872" s="6"/>
      <c r="Z872" s="8"/>
    </row>
    <row r="873" spans="11:26" x14ac:dyDescent="0.3">
      <c r="K873" s="6"/>
      <c r="L873" s="6"/>
      <c r="U873" s="8"/>
      <c r="V873" s="8"/>
      <c r="W873" s="8"/>
      <c r="X873" s="9"/>
      <c r="Y873" s="6"/>
      <c r="Z873" s="8"/>
    </row>
    <row r="874" spans="11:26" x14ac:dyDescent="0.3">
      <c r="K874" s="6"/>
      <c r="L874" s="6"/>
      <c r="U874" s="8"/>
      <c r="V874" s="8"/>
      <c r="W874" s="8"/>
      <c r="X874" s="9"/>
      <c r="Y874" s="6"/>
      <c r="Z874" s="8"/>
    </row>
    <row r="875" spans="11:26" x14ac:dyDescent="0.3">
      <c r="K875" s="6"/>
      <c r="L875" s="6"/>
      <c r="U875" s="8"/>
      <c r="V875" s="8"/>
      <c r="W875" s="8"/>
      <c r="X875" s="9"/>
      <c r="Y875" s="6"/>
      <c r="Z875" s="8"/>
    </row>
    <row r="876" spans="11:26" x14ac:dyDescent="0.3">
      <c r="K876" s="6"/>
      <c r="L876" s="6"/>
      <c r="U876" s="8"/>
      <c r="V876" s="8"/>
      <c r="W876" s="8"/>
      <c r="X876" s="9"/>
      <c r="Y876" s="6"/>
      <c r="Z876" s="8"/>
    </row>
    <row r="877" spans="11:26" x14ac:dyDescent="0.3">
      <c r="K877" s="6"/>
      <c r="L877" s="6"/>
      <c r="U877" s="8"/>
      <c r="V877" s="8"/>
      <c r="W877" s="8"/>
      <c r="X877" s="9"/>
      <c r="Y877" s="6"/>
      <c r="Z877" s="8"/>
    </row>
    <row r="878" spans="11:26" x14ac:dyDescent="0.3">
      <c r="K878" s="6"/>
      <c r="L878" s="6"/>
      <c r="U878" s="8"/>
      <c r="V878" s="8"/>
      <c r="W878" s="8"/>
      <c r="X878" s="9"/>
      <c r="Y878" s="6"/>
      <c r="Z878" s="8"/>
    </row>
    <row r="879" spans="11:26" x14ac:dyDescent="0.3">
      <c r="K879" s="6"/>
      <c r="L879" s="6"/>
      <c r="U879" s="8"/>
      <c r="V879" s="8"/>
      <c r="W879" s="8"/>
      <c r="X879" s="9"/>
      <c r="Y879" s="6"/>
      <c r="Z879" s="8"/>
    </row>
    <row r="880" spans="11:26" x14ac:dyDescent="0.3">
      <c r="K880" s="6"/>
      <c r="L880" s="6"/>
      <c r="U880" s="8"/>
      <c r="V880" s="8"/>
      <c r="W880" s="8"/>
      <c r="X880" s="9"/>
      <c r="Y880" s="6"/>
      <c r="Z880" s="8"/>
    </row>
    <row r="881" spans="11:26" x14ac:dyDescent="0.3">
      <c r="K881" s="6"/>
      <c r="L881" s="6"/>
      <c r="U881" s="8"/>
      <c r="V881" s="8"/>
      <c r="W881" s="8"/>
      <c r="X881" s="9"/>
      <c r="Y881" s="6"/>
      <c r="Z881" s="8"/>
    </row>
    <row r="882" spans="11:26" x14ac:dyDescent="0.3">
      <c r="K882" s="6"/>
      <c r="L882" s="6"/>
      <c r="U882" s="8"/>
      <c r="V882" s="8"/>
      <c r="W882" s="8"/>
      <c r="X882" s="9"/>
      <c r="Y882" s="6"/>
      <c r="Z882" s="8"/>
    </row>
    <row r="883" spans="11:26" x14ac:dyDescent="0.3">
      <c r="K883" s="6"/>
      <c r="L883" s="6"/>
      <c r="U883" s="8"/>
      <c r="V883" s="8"/>
      <c r="W883" s="8"/>
      <c r="X883" s="9"/>
      <c r="Y883" s="6"/>
      <c r="Z883" s="8"/>
    </row>
    <row r="884" spans="11:26" x14ac:dyDescent="0.3">
      <c r="K884" s="6"/>
      <c r="L884" s="6"/>
      <c r="U884" s="8"/>
      <c r="V884" s="8"/>
      <c r="W884" s="8"/>
      <c r="X884" s="9"/>
      <c r="Y884" s="6"/>
      <c r="Z884" s="8"/>
    </row>
    <row r="885" spans="11:26" x14ac:dyDescent="0.3">
      <c r="K885" s="6"/>
      <c r="L885" s="6"/>
      <c r="U885" s="8"/>
      <c r="V885" s="8"/>
      <c r="W885" s="8"/>
      <c r="X885" s="9"/>
      <c r="Y885" s="6"/>
      <c r="Z885" s="8"/>
    </row>
    <row r="886" spans="11:26" x14ac:dyDescent="0.3">
      <c r="K886" s="6"/>
      <c r="L886" s="6"/>
      <c r="U886" s="8"/>
      <c r="V886" s="8"/>
      <c r="W886" s="8"/>
      <c r="X886" s="9"/>
      <c r="Y886" s="6"/>
      <c r="Z886" s="8"/>
    </row>
    <row r="887" spans="11:26" x14ac:dyDescent="0.3">
      <c r="K887" s="6"/>
      <c r="L887" s="6"/>
      <c r="U887" s="8"/>
      <c r="V887" s="8"/>
      <c r="W887" s="8"/>
      <c r="X887" s="9"/>
      <c r="Y887" s="6"/>
      <c r="Z887" s="8"/>
    </row>
    <row r="888" spans="11:26" x14ac:dyDescent="0.3">
      <c r="K888" s="6"/>
      <c r="L888" s="6"/>
      <c r="U888" s="8"/>
      <c r="V888" s="8"/>
      <c r="W888" s="8"/>
      <c r="X888" s="9"/>
      <c r="Y888" s="6"/>
      <c r="Z888" s="8"/>
    </row>
    <row r="889" spans="11:26" x14ac:dyDescent="0.3">
      <c r="K889" s="6"/>
      <c r="L889" s="6"/>
      <c r="U889" s="8"/>
      <c r="V889" s="8"/>
      <c r="W889" s="8"/>
      <c r="X889" s="9"/>
      <c r="Y889" s="6"/>
      <c r="Z889" s="8"/>
    </row>
    <row r="890" spans="11:26" x14ac:dyDescent="0.3">
      <c r="K890" s="6"/>
      <c r="L890" s="6"/>
      <c r="U890" s="8"/>
      <c r="V890" s="8"/>
      <c r="W890" s="8"/>
      <c r="X890" s="9"/>
      <c r="Y890" s="6"/>
      <c r="Z890" s="8"/>
    </row>
    <row r="891" spans="11:26" x14ac:dyDescent="0.3">
      <c r="K891" s="6"/>
      <c r="L891" s="6"/>
      <c r="U891" s="8"/>
      <c r="V891" s="8"/>
      <c r="W891" s="8"/>
      <c r="X891" s="9"/>
      <c r="Y891" s="6"/>
      <c r="Z891" s="8"/>
    </row>
    <row r="892" spans="11:26" x14ac:dyDescent="0.3">
      <c r="K892" s="6"/>
      <c r="L892" s="6"/>
      <c r="U892" s="8"/>
      <c r="V892" s="8"/>
      <c r="W892" s="8"/>
      <c r="X892" s="9"/>
      <c r="Y892" s="6"/>
      <c r="Z892" s="8"/>
    </row>
    <row r="893" spans="11:26" x14ac:dyDescent="0.3">
      <c r="K893" s="6"/>
      <c r="L893" s="6"/>
      <c r="U893" s="8"/>
      <c r="V893" s="8"/>
      <c r="W893" s="8"/>
      <c r="X893" s="9"/>
      <c r="Y893" s="6"/>
      <c r="Z893" s="8"/>
    </row>
    <row r="894" spans="11:26" x14ac:dyDescent="0.3">
      <c r="K894" s="6"/>
      <c r="L894" s="6"/>
      <c r="U894" s="8"/>
      <c r="V894" s="8"/>
      <c r="W894" s="8"/>
      <c r="X894" s="9"/>
      <c r="Y894" s="6"/>
      <c r="Z894" s="8"/>
    </row>
    <row r="895" spans="11:26" x14ac:dyDescent="0.3">
      <c r="K895" s="6"/>
      <c r="L895" s="6"/>
      <c r="U895" s="8"/>
      <c r="V895" s="8"/>
      <c r="W895" s="8"/>
      <c r="X895" s="9"/>
      <c r="Y895" s="6"/>
      <c r="Z895" s="8"/>
    </row>
    <row r="896" spans="11:26" x14ac:dyDescent="0.3">
      <c r="K896" s="6"/>
      <c r="L896" s="6"/>
      <c r="U896" s="8"/>
      <c r="V896" s="8"/>
      <c r="W896" s="8"/>
      <c r="X896" s="9"/>
      <c r="Y896" s="6"/>
      <c r="Z896" s="8"/>
    </row>
    <row r="897" spans="11:26" x14ac:dyDescent="0.3">
      <c r="K897" s="6"/>
      <c r="L897" s="6"/>
      <c r="U897" s="8"/>
      <c r="V897" s="8"/>
      <c r="W897" s="8"/>
      <c r="X897" s="9"/>
      <c r="Y897" s="6"/>
      <c r="Z897" s="8"/>
    </row>
    <row r="898" spans="11:26" x14ac:dyDescent="0.3">
      <c r="K898" s="6"/>
      <c r="L898" s="6"/>
      <c r="U898" s="8"/>
      <c r="V898" s="8"/>
      <c r="W898" s="8"/>
      <c r="X898" s="9"/>
      <c r="Y898" s="6"/>
      <c r="Z898" s="8"/>
    </row>
    <row r="899" spans="11:26" x14ac:dyDescent="0.3">
      <c r="K899" s="6"/>
      <c r="L899" s="6"/>
      <c r="U899" s="8"/>
      <c r="V899" s="8"/>
      <c r="W899" s="8"/>
      <c r="X899" s="9"/>
      <c r="Y899" s="6"/>
      <c r="Z899" s="8"/>
    </row>
    <row r="900" spans="11:26" x14ac:dyDescent="0.3">
      <c r="K900" s="6"/>
      <c r="L900" s="6"/>
      <c r="U900" s="8"/>
      <c r="V900" s="8"/>
      <c r="W900" s="8"/>
      <c r="X900" s="9"/>
      <c r="Y900" s="6"/>
      <c r="Z900" s="8"/>
    </row>
    <row r="901" spans="11:26" x14ac:dyDescent="0.3">
      <c r="K901" s="6"/>
      <c r="L901" s="6"/>
      <c r="U901" s="8"/>
      <c r="V901" s="8"/>
      <c r="W901" s="8"/>
      <c r="X901" s="9"/>
      <c r="Y901" s="6"/>
      <c r="Z901" s="8"/>
    </row>
    <row r="902" spans="11:26" x14ac:dyDescent="0.3">
      <c r="K902" s="6"/>
      <c r="L902" s="6"/>
      <c r="U902" s="8"/>
      <c r="V902" s="8"/>
      <c r="W902" s="8"/>
      <c r="X902" s="9"/>
      <c r="Y902" s="6"/>
      <c r="Z902" s="8"/>
    </row>
    <row r="903" spans="11:26" x14ac:dyDescent="0.3">
      <c r="K903" s="6"/>
      <c r="L903" s="6"/>
      <c r="U903" s="8"/>
      <c r="V903" s="8"/>
      <c r="W903" s="8"/>
      <c r="X903" s="9"/>
      <c r="Y903" s="6"/>
      <c r="Z903" s="8"/>
    </row>
    <row r="904" spans="11:26" x14ac:dyDescent="0.3">
      <c r="K904" s="6"/>
      <c r="L904" s="6"/>
      <c r="U904" s="8"/>
      <c r="V904" s="8"/>
      <c r="W904" s="8"/>
      <c r="X904" s="9"/>
      <c r="Y904" s="6"/>
      <c r="Z904" s="8"/>
    </row>
    <row r="905" spans="11:26" x14ac:dyDescent="0.3">
      <c r="K905" s="6"/>
      <c r="L905" s="6"/>
      <c r="U905" s="8"/>
      <c r="V905" s="8"/>
      <c r="W905" s="8"/>
      <c r="X905" s="9"/>
      <c r="Y905" s="6"/>
      <c r="Z905" s="8"/>
    </row>
    <row r="906" spans="11:26" x14ac:dyDescent="0.3">
      <c r="K906" s="6"/>
      <c r="L906" s="6"/>
      <c r="U906" s="8"/>
      <c r="V906" s="8"/>
      <c r="W906" s="8"/>
      <c r="X906" s="9"/>
      <c r="Y906" s="6"/>
      <c r="Z906" s="8"/>
    </row>
    <row r="907" spans="11:26" x14ac:dyDescent="0.3">
      <c r="K907" s="6"/>
      <c r="L907" s="6"/>
      <c r="U907" s="8"/>
      <c r="V907" s="8"/>
      <c r="W907" s="8"/>
      <c r="X907" s="9"/>
      <c r="Y907" s="6"/>
      <c r="Z907" s="8"/>
    </row>
    <row r="908" spans="11:26" x14ac:dyDescent="0.3">
      <c r="K908" s="6"/>
      <c r="L908" s="6"/>
      <c r="U908" s="8"/>
      <c r="V908" s="8"/>
      <c r="W908" s="8"/>
      <c r="X908" s="9"/>
      <c r="Y908" s="6"/>
      <c r="Z908" s="8"/>
    </row>
    <row r="909" spans="11:26" x14ac:dyDescent="0.3">
      <c r="K909" s="6"/>
      <c r="L909" s="6"/>
      <c r="U909" s="8"/>
      <c r="V909" s="8"/>
      <c r="W909" s="8"/>
      <c r="X909" s="9"/>
      <c r="Y909" s="6"/>
      <c r="Z909" s="8"/>
    </row>
    <row r="910" spans="11:26" x14ac:dyDescent="0.3">
      <c r="K910" s="6"/>
      <c r="L910" s="6"/>
      <c r="U910" s="8"/>
      <c r="V910" s="8"/>
      <c r="W910" s="8"/>
      <c r="X910" s="9"/>
      <c r="Y910" s="6"/>
      <c r="Z910" s="8"/>
    </row>
    <row r="911" spans="11:26" x14ac:dyDescent="0.3">
      <c r="K911" s="6"/>
      <c r="L911" s="6"/>
      <c r="U911" s="8"/>
      <c r="V911" s="8"/>
      <c r="W911" s="8"/>
      <c r="X911" s="9"/>
      <c r="Y911" s="6"/>
      <c r="Z911" s="8"/>
    </row>
    <row r="912" spans="11:26" x14ac:dyDescent="0.3">
      <c r="K912" s="6"/>
      <c r="L912" s="6"/>
      <c r="U912" s="8"/>
      <c r="V912" s="8"/>
      <c r="W912" s="8"/>
      <c r="X912" s="9"/>
      <c r="Y912" s="6"/>
      <c r="Z912" s="8"/>
    </row>
    <row r="913" spans="11:26" x14ac:dyDescent="0.3">
      <c r="K913" s="6"/>
      <c r="L913" s="6"/>
      <c r="U913" s="8"/>
      <c r="V913" s="8"/>
      <c r="W913" s="8"/>
      <c r="X913" s="9"/>
      <c r="Y913" s="6"/>
      <c r="Z913" s="8"/>
    </row>
    <row r="914" spans="11:26" x14ac:dyDescent="0.3">
      <c r="K914" s="6"/>
      <c r="L914" s="6"/>
      <c r="U914" s="8"/>
      <c r="V914" s="8"/>
      <c r="W914" s="8"/>
      <c r="X914" s="9"/>
      <c r="Y914" s="6"/>
      <c r="Z914" s="8"/>
    </row>
    <row r="915" spans="11:26" x14ac:dyDescent="0.3">
      <c r="K915" s="6"/>
      <c r="L915" s="6"/>
      <c r="U915" s="8"/>
      <c r="V915" s="8"/>
      <c r="W915" s="8"/>
      <c r="X915" s="9"/>
      <c r="Y915" s="6"/>
      <c r="Z915" s="8"/>
    </row>
    <row r="916" spans="11:26" x14ac:dyDescent="0.3">
      <c r="K916" s="6"/>
      <c r="L916" s="6"/>
      <c r="U916" s="8"/>
      <c r="V916" s="8"/>
      <c r="W916" s="8"/>
      <c r="X916" s="9"/>
      <c r="Y916" s="6"/>
      <c r="Z916" s="8"/>
    </row>
    <row r="917" spans="11:26" x14ac:dyDescent="0.3">
      <c r="K917" s="6"/>
      <c r="L917" s="6"/>
      <c r="U917" s="8"/>
      <c r="V917" s="8"/>
      <c r="W917" s="8"/>
      <c r="X917" s="9"/>
      <c r="Y917" s="6"/>
      <c r="Z917" s="8"/>
    </row>
    <row r="918" spans="11:26" x14ac:dyDescent="0.3">
      <c r="K918" s="6"/>
      <c r="L918" s="6"/>
      <c r="U918" s="8"/>
      <c r="V918" s="8"/>
      <c r="W918" s="8"/>
      <c r="X918" s="9"/>
      <c r="Y918" s="6"/>
      <c r="Z918" s="8"/>
    </row>
    <row r="919" spans="11:26" x14ac:dyDescent="0.3">
      <c r="K919" s="6"/>
      <c r="L919" s="6"/>
      <c r="U919" s="8"/>
      <c r="V919" s="8"/>
      <c r="W919" s="8"/>
      <c r="X919" s="9"/>
      <c r="Y919" s="6"/>
      <c r="Z919" s="8"/>
    </row>
    <row r="920" spans="11:26" x14ac:dyDescent="0.3">
      <c r="K920" s="6"/>
      <c r="L920" s="6"/>
      <c r="U920" s="8"/>
      <c r="V920" s="8"/>
      <c r="W920" s="8"/>
      <c r="X920" s="9"/>
      <c r="Y920" s="6"/>
      <c r="Z920" s="8"/>
    </row>
    <row r="921" spans="11:26" x14ac:dyDescent="0.3">
      <c r="K921" s="6"/>
      <c r="L921" s="6"/>
      <c r="U921" s="8"/>
      <c r="V921" s="8"/>
      <c r="W921" s="8"/>
      <c r="X921" s="9"/>
      <c r="Y921" s="6"/>
      <c r="Z921" s="8"/>
    </row>
    <row r="922" spans="11:26" x14ac:dyDescent="0.3">
      <c r="K922" s="6"/>
      <c r="L922" s="6"/>
      <c r="U922" s="8"/>
      <c r="V922" s="8"/>
      <c r="W922" s="8"/>
      <c r="X922" s="9"/>
      <c r="Y922" s="6"/>
      <c r="Z922" s="8"/>
    </row>
    <row r="923" spans="11:26" x14ac:dyDescent="0.3">
      <c r="K923" s="6"/>
      <c r="L923" s="6"/>
      <c r="U923" s="8"/>
      <c r="V923" s="8"/>
      <c r="W923" s="8"/>
      <c r="X923" s="9"/>
      <c r="Y923" s="6"/>
      <c r="Z923" s="8"/>
    </row>
    <row r="924" spans="11:26" x14ac:dyDescent="0.3">
      <c r="K924" s="6"/>
      <c r="L924" s="6"/>
      <c r="U924" s="8"/>
      <c r="V924" s="8"/>
      <c r="W924" s="8"/>
      <c r="X924" s="9"/>
      <c r="Y924" s="6"/>
      <c r="Z924" s="8"/>
    </row>
    <row r="925" spans="11:26" x14ac:dyDescent="0.3">
      <c r="K925" s="6"/>
      <c r="L925" s="6"/>
      <c r="U925" s="8"/>
      <c r="V925" s="8"/>
      <c r="W925" s="8"/>
      <c r="X925" s="9"/>
      <c r="Y925" s="6"/>
      <c r="Z925" s="8"/>
    </row>
    <row r="926" spans="11:26" x14ac:dyDescent="0.3">
      <c r="K926" s="6"/>
      <c r="L926" s="6"/>
      <c r="U926" s="8"/>
      <c r="V926" s="8"/>
      <c r="W926" s="8"/>
      <c r="X926" s="9"/>
      <c r="Y926" s="6"/>
      <c r="Z926" s="8"/>
    </row>
    <row r="927" spans="11:26" x14ac:dyDescent="0.3">
      <c r="K927" s="6"/>
      <c r="L927" s="6"/>
      <c r="U927" s="8"/>
      <c r="V927" s="8"/>
      <c r="W927" s="8"/>
      <c r="X927" s="9"/>
      <c r="Y927" s="6"/>
      <c r="Z927" s="8"/>
    </row>
    <row r="928" spans="11:26" x14ac:dyDescent="0.3">
      <c r="K928" s="6"/>
      <c r="L928" s="6"/>
      <c r="U928" s="8"/>
      <c r="V928" s="8"/>
      <c r="W928" s="8"/>
      <c r="X928" s="9"/>
      <c r="Y928" s="6"/>
      <c r="Z928" s="8"/>
    </row>
    <row r="929" spans="11:26" x14ac:dyDescent="0.3">
      <c r="K929" s="6"/>
      <c r="L929" s="6"/>
      <c r="U929" s="8"/>
      <c r="V929" s="8"/>
      <c r="W929" s="8"/>
      <c r="X929" s="9"/>
      <c r="Y929" s="6"/>
      <c r="Z929" s="8"/>
    </row>
    <row r="930" spans="11:26" x14ac:dyDescent="0.3">
      <c r="K930" s="6"/>
      <c r="L930" s="6"/>
      <c r="U930" s="8"/>
      <c r="V930" s="8"/>
      <c r="W930" s="8"/>
      <c r="X930" s="9"/>
      <c r="Y930" s="6"/>
      <c r="Z930" s="8"/>
    </row>
    <row r="931" spans="11:26" x14ac:dyDescent="0.3">
      <c r="K931" s="6"/>
      <c r="L931" s="6"/>
      <c r="U931" s="8"/>
      <c r="V931" s="8"/>
      <c r="W931" s="8"/>
      <c r="X931" s="9"/>
      <c r="Y931" s="6"/>
      <c r="Z931" s="8"/>
    </row>
    <row r="932" spans="11:26" x14ac:dyDescent="0.3">
      <c r="K932" s="6"/>
      <c r="L932" s="6"/>
      <c r="U932" s="8"/>
      <c r="V932" s="8"/>
      <c r="W932" s="8"/>
      <c r="X932" s="9"/>
      <c r="Y932" s="6"/>
      <c r="Z932" s="8"/>
    </row>
    <row r="933" spans="11:26" x14ac:dyDescent="0.3">
      <c r="K933" s="6"/>
      <c r="L933" s="6"/>
      <c r="U933" s="8"/>
      <c r="V933" s="8"/>
      <c r="W933" s="8"/>
      <c r="X933" s="9"/>
      <c r="Y933" s="6"/>
      <c r="Z933" s="8"/>
    </row>
    <row r="934" spans="11:26" x14ac:dyDescent="0.3">
      <c r="K934" s="6"/>
      <c r="L934" s="6"/>
      <c r="U934" s="8"/>
      <c r="V934" s="8"/>
      <c r="W934" s="8"/>
      <c r="X934" s="9"/>
      <c r="Y934" s="6"/>
      <c r="Z934" s="8"/>
    </row>
    <row r="935" spans="11:26" x14ac:dyDescent="0.3">
      <c r="K935" s="6"/>
      <c r="L935" s="6"/>
      <c r="U935" s="8"/>
      <c r="V935" s="8"/>
      <c r="W935" s="8"/>
      <c r="X935" s="9"/>
      <c r="Y935" s="6"/>
      <c r="Z935" s="8"/>
    </row>
    <row r="936" spans="11:26" x14ac:dyDescent="0.3">
      <c r="K936" s="6"/>
      <c r="L936" s="6"/>
      <c r="U936" s="8"/>
      <c r="V936" s="8"/>
      <c r="W936" s="8"/>
      <c r="X936" s="9"/>
      <c r="Y936" s="6"/>
      <c r="Z936" s="8"/>
    </row>
    <row r="937" spans="11:26" x14ac:dyDescent="0.3">
      <c r="K937" s="6"/>
      <c r="L937" s="6"/>
      <c r="U937" s="8"/>
      <c r="V937" s="8"/>
      <c r="W937" s="8"/>
      <c r="X937" s="9"/>
      <c r="Y937" s="6"/>
      <c r="Z937" s="8"/>
    </row>
    <row r="938" spans="11:26" x14ac:dyDescent="0.3">
      <c r="K938" s="6"/>
      <c r="L938" s="6"/>
      <c r="U938" s="8"/>
      <c r="V938" s="8"/>
      <c r="W938" s="8"/>
      <c r="X938" s="9"/>
      <c r="Y938" s="6"/>
      <c r="Z938" s="8"/>
    </row>
    <row r="939" spans="11:26" x14ac:dyDescent="0.3">
      <c r="K939" s="6"/>
      <c r="L939" s="6"/>
      <c r="U939" s="8"/>
      <c r="V939" s="8"/>
      <c r="W939" s="8"/>
      <c r="X939" s="9"/>
      <c r="Y939" s="6"/>
      <c r="Z939" s="8"/>
    </row>
    <row r="940" spans="11:26" x14ac:dyDescent="0.3">
      <c r="K940" s="6"/>
      <c r="L940" s="6"/>
      <c r="U940" s="8"/>
      <c r="V940" s="8"/>
      <c r="W940" s="8"/>
      <c r="X940" s="9"/>
      <c r="Y940" s="6"/>
      <c r="Z940" s="8"/>
    </row>
    <row r="941" spans="11:26" x14ac:dyDescent="0.3">
      <c r="K941" s="6"/>
      <c r="L941" s="6"/>
      <c r="U941" s="8"/>
      <c r="V941" s="8"/>
      <c r="W941" s="8"/>
      <c r="X941" s="9"/>
      <c r="Y941" s="6"/>
      <c r="Z941" s="8"/>
    </row>
    <row r="942" spans="11:26" x14ac:dyDescent="0.3">
      <c r="K942" s="6"/>
      <c r="L942" s="6"/>
      <c r="U942" s="8"/>
      <c r="V942" s="8"/>
      <c r="W942" s="8"/>
      <c r="X942" s="9"/>
      <c r="Y942" s="6"/>
      <c r="Z942" s="8"/>
    </row>
    <row r="943" spans="11:26" x14ac:dyDescent="0.3">
      <c r="K943" s="6"/>
      <c r="L943" s="6"/>
      <c r="U943" s="8"/>
      <c r="V943" s="8"/>
      <c r="W943" s="8"/>
      <c r="X943" s="9"/>
      <c r="Y943" s="6"/>
      <c r="Z943" s="8"/>
    </row>
    <row r="944" spans="11:26" x14ac:dyDescent="0.3">
      <c r="K944" s="6"/>
      <c r="L944" s="6"/>
      <c r="U944" s="8"/>
      <c r="V944" s="8"/>
      <c r="W944" s="8"/>
      <c r="X944" s="9"/>
      <c r="Y944" s="6"/>
      <c r="Z944" s="8"/>
    </row>
    <row r="945" spans="11:26" x14ac:dyDescent="0.3">
      <c r="K945" s="6"/>
      <c r="L945" s="6"/>
      <c r="U945" s="8"/>
      <c r="V945" s="8"/>
      <c r="W945" s="8"/>
      <c r="X945" s="9"/>
      <c r="Y945" s="6"/>
      <c r="Z945" s="8"/>
    </row>
    <row r="946" spans="11:26" x14ac:dyDescent="0.3">
      <c r="K946" s="6"/>
      <c r="L946" s="6"/>
      <c r="U946" s="8"/>
      <c r="V946" s="8"/>
      <c r="W946" s="8"/>
      <c r="X946" s="9"/>
      <c r="Y946" s="6"/>
      <c r="Z946" s="8"/>
    </row>
    <row r="947" spans="11:26" x14ac:dyDescent="0.3">
      <c r="K947" s="6"/>
      <c r="L947" s="6"/>
      <c r="U947" s="8"/>
      <c r="V947" s="8"/>
      <c r="W947" s="8"/>
      <c r="X947" s="9"/>
      <c r="Y947" s="6"/>
      <c r="Z947" s="8"/>
    </row>
    <row r="948" spans="11:26" x14ac:dyDescent="0.3">
      <c r="K948" s="6"/>
      <c r="L948" s="6"/>
      <c r="U948" s="8"/>
      <c r="V948" s="8"/>
      <c r="W948" s="8"/>
      <c r="X948" s="9"/>
      <c r="Y948" s="6"/>
      <c r="Z948" s="8"/>
    </row>
    <row r="949" spans="11:26" x14ac:dyDescent="0.3">
      <c r="K949" s="6"/>
      <c r="L949" s="6"/>
      <c r="U949" s="8"/>
      <c r="V949" s="8"/>
      <c r="W949" s="8"/>
      <c r="X949" s="9"/>
      <c r="Y949" s="6"/>
      <c r="Z949" s="8"/>
    </row>
    <row r="950" spans="11:26" x14ac:dyDescent="0.3">
      <c r="K950" s="6"/>
      <c r="L950" s="6"/>
      <c r="U950" s="8"/>
      <c r="V950" s="8"/>
      <c r="W950" s="8"/>
      <c r="X950" s="9"/>
      <c r="Y950" s="6"/>
      <c r="Z950" s="8"/>
    </row>
    <row r="951" spans="11:26" x14ac:dyDescent="0.3">
      <c r="K951" s="6"/>
      <c r="L951" s="6"/>
      <c r="U951" s="8"/>
      <c r="V951" s="8"/>
      <c r="W951" s="8"/>
      <c r="X951" s="9"/>
      <c r="Y951" s="6"/>
      <c r="Z951" s="8"/>
    </row>
    <row r="952" spans="11:26" x14ac:dyDescent="0.3">
      <c r="K952" s="6"/>
      <c r="L952" s="6"/>
      <c r="U952" s="8"/>
      <c r="V952" s="8"/>
      <c r="W952" s="8"/>
      <c r="X952" s="9"/>
      <c r="Y952" s="6"/>
      <c r="Z952" s="8"/>
    </row>
    <row r="953" spans="11:26" x14ac:dyDescent="0.3">
      <c r="K953" s="6"/>
      <c r="L953" s="6"/>
      <c r="U953" s="8"/>
      <c r="V953" s="8"/>
      <c r="W953" s="8"/>
      <c r="X953" s="9"/>
      <c r="Y953" s="6"/>
      <c r="Z953" s="8"/>
    </row>
    <row r="954" spans="11:26" x14ac:dyDescent="0.3">
      <c r="K954" s="6"/>
      <c r="L954" s="6"/>
      <c r="U954" s="8"/>
      <c r="V954" s="8"/>
      <c r="W954" s="8"/>
      <c r="X954" s="9"/>
      <c r="Y954" s="6"/>
      <c r="Z954" s="8"/>
    </row>
    <row r="955" spans="11:26" x14ac:dyDescent="0.3">
      <c r="K955" s="6"/>
      <c r="L955" s="6"/>
      <c r="U955" s="8"/>
      <c r="V955" s="8"/>
      <c r="W955" s="8"/>
      <c r="X955" s="9"/>
      <c r="Y955" s="6"/>
      <c r="Z955" s="8"/>
    </row>
    <row r="956" spans="11:26" x14ac:dyDescent="0.3">
      <c r="K956" s="6"/>
      <c r="L956" s="6"/>
      <c r="U956" s="8"/>
      <c r="V956" s="8"/>
      <c r="W956" s="8"/>
      <c r="X956" s="9"/>
      <c r="Y956" s="6"/>
      <c r="Z956" s="8"/>
    </row>
    <row r="957" spans="11:26" x14ac:dyDescent="0.3">
      <c r="K957" s="6"/>
      <c r="L957" s="6"/>
      <c r="U957" s="8"/>
      <c r="V957" s="8"/>
      <c r="W957" s="8"/>
      <c r="X957" s="9"/>
      <c r="Y957" s="6"/>
      <c r="Z957" s="8"/>
    </row>
    <row r="958" spans="11:26" x14ac:dyDescent="0.3">
      <c r="K958" s="6"/>
      <c r="L958" s="6"/>
      <c r="U958" s="8"/>
      <c r="V958" s="8"/>
      <c r="W958" s="8"/>
      <c r="X958" s="9"/>
      <c r="Y958" s="6"/>
      <c r="Z958" s="8"/>
    </row>
    <row r="959" spans="11:26" x14ac:dyDescent="0.3">
      <c r="K959" s="6"/>
      <c r="L959" s="6"/>
      <c r="U959" s="8"/>
      <c r="V959" s="8"/>
      <c r="W959" s="8"/>
      <c r="X959" s="9"/>
      <c r="Y959" s="6"/>
      <c r="Z959" s="8"/>
    </row>
    <row r="960" spans="11:26" x14ac:dyDescent="0.3">
      <c r="K960" s="6"/>
      <c r="L960" s="6"/>
      <c r="U960" s="8"/>
      <c r="V960" s="8"/>
      <c r="W960" s="8"/>
      <c r="X960" s="9"/>
      <c r="Y960" s="6"/>
      <c r="Z960" s="8"/>
    </row>
    <row r="961" spans="11:26" x14ac:dyDescent="0.3">
      <c r="K961" s="6"/>
      <c r="L961" s="6"/>
      <c r="U961" s="8"/>
      <c r="V961" s="8"/>
      <c r="W961" s="8"/>
      <c r="X961" s="9"/>
      <c r="Y961" s="6"/>
      <c r="Z961" s="8"/>
    </row>
    <row r="962" spans="11:26" x14ac:dyDescent="0.3">
      <c r="K962" s="6"/>
      <c r="L962" s="6"/>
      <c r="U962" s="8"/>
      <c r="V962" s="8"/>
      <c r="W962" s="8"/>
      <c r="X962" s="9"/>
      <c r="Y962" s="6"/>
      <c r="Z962" s="8"/>
    </row>
    <row r="963" spans="11:26" x14ac:dyDescent="0.3">
      <c r="K963" s="6"/>
      <c r="L963" s="6"/>
      <c r="U963" s="8"/>
      <c r="V963" s="8"/>
      <c r="W963" s="8"/>
      <c r="X963" s="9"/>
      <c r="Y963" s="6"/>
      <c r="Z963" s="8"/>
    </row>
    <row r="964" spans="11:26" x14ac:dyDescent="0.3">
      <c r="K964" s="6"/>
      <c r="L964" s="6"/>
      <c r="U964" s="8"/>
      <c r="V964" s="8"/>
      <c r="W964" s="8"/>
      <c r="X964" s="9"/>
      <c r="Y964" s="6"/>
      <c r="Z964" s="8"/>
    </row>
    <row r="965" spans="11:26" x14ac:dyDescent="0.3">
      <c r="K965" s="6"/>
      <c r="L965" s="6"/>
      <c r="U965" s="8"/>
      <c r="V965" s="8"/>
      <c r="W965" s="8"/>
      <c r="X965" s="9"/>
      <c r="Y965" s="6"/>
      <c r="Z965" s="8"/>
    </row>
    <row r="966" spans="11:26" x14ac:dyDescent="0.3">
      <c r="K966" s="6"/>
      <c r="L966" s="6"/>
      <c r="U966" s="8"/>
      <c r="V966" s="8"/>
      <c r="W966" s="8"/>
      <c r="X966" s="9"/>
      <c r="Y966" s="6"/>
      <c r="Z966" s="8"/>
    </row>
    <row r="967" spans="11:26" x14ac:dyDescent="0.3">
      <c r="K967" s="6"/>
      <c r="L967" s="6"/>
      <c r="U967" s="8"/>
      <c r="V967" s="8"/>
      <c r="W967" s="8"/>
      <c r="X967" s="9"/>
      <c r="Y967" s="6"/>
      <c r="Z967" s="8"/>
    </row>
    <row r="968" spans="11:26" x14ac:dyDescent="0.3">
      <c r="K968" s="6"/>
      <c r="L968" s="6"/>
      <c r="U968" s="8"/>
      <c r="V968" s="8"/>
      <c r="W968" s="8"/>
      <c r="X968" s="9"/>
      <c r="Y968" s="6"/>
      <c r="Z968" s="8"/>
    </row>
    <row r="969" spans="11:26" x14ac:dyDescent="0.3">
      <c r="K969" s="6"/>
      <c r="L969" s="6"/>
      <c r="U969" s="8"/>
      <c r="V969" s="8"/>
      <c r="W969" s="8"/>
      <c r="X969" s="9"/>
      <c r="Y969" s="6"/>
      <c r="Z969" s="8"/>
    </row>
    <row r="970" spans="11:26" x14ac:dyDescent="0.3">
      <c r="K970" s="6"/>
      <c r="L970" s="6"/>
      <c r="U970" s="8"/>
      <c r="V970" s="8"/>
      <c r="W970" s="8"/>
      <c r="X970" s="9"/>
      <c r="Y970" s="6"/>
      <c r="Z970" s="8"/>
    </row>
    <row r="971" spans="11:26" x14ac:dyDescent="0.3">
      <c r="K971" s="6"/>
      <c r="L971" s="6"/>
      <c r="M971" s="7"/>
      <c r="U971" s="8"/>
      <c r="V971" s="8"/>
      <c r="W971" s="8"/>
      <c r="X971" s="9"/>
      <c r="Y971" s="6"/>
      <c r="Z971" s="8"/>
    </row>
    <row r="972" spans="11:26" x14ac:dyDescent="0.3">
      <c r="K972" s="6"/>
      <c r="L972" s="6"/>
      <c r="M972" s="7"/>
      <c r="U972" s="8"/>
      <c r="V972" s="8"/>
      <c r="W972" s="8"/>
      <c r="X972" s="9"/>
      <c r="Y972" s="6"/>
      <c r="Z972" s="8"/>
    </row>
    <row r="973" spans="11:26" x14ac:dyDescent="0.3">
      <c r="K973" s="6"/>
      <c r="L973" s="6"/>
      <c r="M973" s="7"/>
      <c r="U973" s="8"/>
      <c r="V973" s="8"/>
      <c r="W973" s="8"/>
      <c r="X973" s="9"/>
      <c r="Y973" s="6"/>
      <c r="Z973" s="8"/>
    </row>
    <row r="974" spans="11:26" x14ac:dyDescent="0.3">
      <c r="K974" s="6"/>
      <c r="L974" s="6"/>
      <c r="M974" s="7"/>
      <c r="U974" s="8"/>
      <c r="V974" s="8"/>
      <c r="W974" s="8"/>
      <c r="X974" s="9"/>
      <c r="Y974" s="6"/>
      <c r="Z974" s="8"/>
    </row>
    <row r="975" spans="11:26" x14ac:dyDescent="0.3">
      <c r="K975" s="6"/>
      <c r="L975" s="6"/>
      <c r="M975" s="7"/>
      <c r="U975" s="8"/>
      <c r="V975" s="8"/>
      <c r="W975" s="8"/>
      <c r="X975" s="9"/>
      <c r="Y975" s="6"/>
      <c r="Z975" s="8"/>
    </row>
    <row r="976" spans="11:26" x14ac:dyDescent="0.3">
      <c r="K976" s="6"/>
      <c r="L976" s="6"/>
      <c r="M976" s="7"/>
      <c r="U976" s="8"/>
      <c r="V976" s="8"/>
      <c r="W976" s="8"/>
      <c r="X976" s="9"/>
      <c r="Y976" s="6"/>
      <c r="Z976" s="8"/>
    </row>
    <row r="977" spans="11:26" x14ac:dyDescent="0.3">
      <c r="K977" s="6"/>
      <c r="L977" s="6"/>
      <c r="M977" s="7"/>
      <c r="U977" s="8"/>
      <c r="V977" s="8"/>
      <c r="W977" s="8"/>
      <c r="X977" s="9"/>
      <c r="Y977" s="6"/>
      <c r="Z977" s="8"/>
    </row>
    <row r="978" spans="11:26" x14ac:dyDescent="0.3">
      <c r="K978" s="6"/>
      <c r="L978" s="6"/>
      <c r="M978" s="7"/>
      <c r="U978" s="8"/>
      <c r="V978" s="8"/>
      <c r="W978" s="8"/>
      <c r="X978" s="9"/>
      <c r="Y978" s="6"/>
      <c r="Z978" s="8"/>
    </row>
    <row r="979" spans="11:26" x14ac:dyDescent="0.3">
      <c r="K979" s="6"/>
      <c r="L979" s="6"/>
      <c r="M979" s="7"/>
      <c r="U979" s="8"/>
      <c r="V979" s="8"/>
      <c r="W979" s="8"/>
      <c r="X979" s="9"/>
      <c r="Y979" s="6"/>
      <c r="Z979" s="8"/>
    </row>
    <row r="980" spans="11:26" x14ac:dyDescent="0.3">
      <c r="K980" s="6"/>
      <c r="L980" s="6"/>
      <c r="M980" s="7"/>
      <c r="U980" s="8"/>
      <c r="V980" s="8"/>
      <c r="W980" s="8"/>
      <c r="X980" s="9"/>
      <c r="Y980" s="6"/>
      <c r="Z980" s="8"/>
    </row>
    <row r="981" spans="11:26" x14ac:dyDescent="0.3">
      <c r="K981" s="6"/>
      <c r="L981" s="6"/>
      <c r="M981" s="7"/>
      <c r="U981" s="8"/>
      <c r="V981" s="8"/>
      <c r="W981" s="8"/>
      <c r="X981" s="9"/>
      <c r="Y981" s="6"/>
      <c r="Z981" s="8"/>
    </row>
    <row r="982" spans="11:26" x14ac:dyDescent="0.3">
      <c r="K982" s="6"/>
      <c r="L982" s="6"/>
      <c r="U982" s="8"/>
      <c r="V982" s="8"/>
      <c r="W982" s="8"/>
      <c r="X982" s="9"/>
      <c r="Y982" s="6"/>
      <c r="Z982" s="8"/>
    </row>
    <row r="983" spans="11:26" x14ac:dyDescent="0.3">
      <c r="K983" s="6"/>
      <c r="L983" s="6"/>
      <c r="U983" s="8"/>
      <c r="V983" s="8"/>
      <c r="W983" s="8"/>
      <c r="X983" s="9"/>
      <c r="Y983" s="6"/>
      <c r="Z983" s="8"/>
    </row>
    <row r="984" spans="11:26" x14ac:dyDescent="0.3">
      <c r="K984" s="6"/>
      <c r="L984" s="6"/>
      <c r="U984" s="8"/>
      <c r="V984" s="8"/>
      <c r="W984" s="8"/>
      <c r="X984" s="9"/>
      <c r="Y984" s="6"/>
      <c r="Z984" s="8"/>
    </row>
    <row r="985" spans="11:26" x14ac:dyDescent="0.3">
      <c r="K985" s="6"/>
      <c r="L985" s="6"/>
      <c r="U985" s="8"/>
      <c r="V985" s="8"/>
      <c r="W985" s="8"/>
      <c r="X985" s="9"/>
      <c r="Y985" s="6"/>
      <c r="Z985" s="8"/>
    </row>
    <row r="986" spans="11:26" x14ac:dyDescent="0.3">
      <c r="K986" s="6"/>
      <c r="L986" s="6"/>
      <c r="U986" s="8"/>
      <c r="V986" s="8"/>
      <c r="W986" s="8"/>
      <c r="X986" s="9"/>
      <c r="Y986" s="6"/>
      <c r="Z986" s="8"/>
    </row>
    <row r="987" spans="11:26" x14ac:dyDescent="0.3">
      <c r="K987" s="6"/>
      <c r="L987" s="6"/>
      <c r="U987" s="8"/>
      <c r="V987" s="8"/>
      <c r="W987" s="8"/>
      <c r="X987" s="9"/>
      <c r="Y987" s="6"/>
      <c r="Z987" s="8"/>
    </row>
    <row r="988" spans="11:26" x14ac:dyDescent="0.3">
      <c r="K988" s="6"/>
      <c r="L988" s="6"/>
      <c r="U988" s="8"/>
      <c r="V988" s="8"/>
      <c r="W988" s="8"/>
      <c r="X988" s="9"/>
      <c r="Y988" s="6"/>
      <c r="Z988" s="8"/>
    </row>
    <row r="989" spans="11:26" x14ac:dyDescent="0.3">
      <c r="K989" s="6"/>
      <c r="L989" s="6"/>
      <c r="U989" s="8"/>
      <c r="V989" s="8"/>
      <c r="W989" s="8"/>
      <c r="X989" s="9"/>
      <c r="Y989" s="6"/>
      <c r="Z989" s="8"/>
    </row>
    <row r="990" spans="11:26" x14ac:dyDescent="0.3">
      <c r="K990" s="6"/>
      <c r="L990" s="6"/>
      <c r="U990" s="8"/>
      <c r="V990" s="8"/>
      <c r="W990" s="8"/>
      <c r="X990" s="9"/>
      <c r="Y990" s="6"/>
      <c r="Z990" s="8"/>
    </row>
    <row r="991" spans="11:26" x14ac:dyDescent="0.3">
      <c r="K991" s="6"/>
      <c r="L991" s="6"/>
      <c r="U991" s="8"/>
      <c r="V991" s="8"/>
      <c r="W991" s="8"/>
      <c r="X991" s="9"/>
      <c r="Y991" s="6"/>
      <c r="Z991" s="8"/>
    </row>
    <row r="992" spans="11:26" x14ac:dyDescent="0.3">
      <c r="K992" s="6"/>
      <c r="L992" s="6"/>
      <c r="U992" s="8"/>
      <c r="V992" s="8"/>
      <c r="W992" s="8"/>
      <c r="X992" s="9"/>
      <c r="Y992" s="6"/>
      <c r="Z992" s="8"/>
    </row>
    <row r="993" spans="11:26" x14ac:dyDescent="0.3">
      <c r="K993" s="6"/>
      <c r="L993" s="6"/>
      <c r="U993" s="8"/>
      <c r="V993" s="8"/>
      <c r="W993" s="8"/>
      <c r="X993" s="9"/>
      <c r="Y993" s="6"/>
      <c r="Z993" s="8"/>
    </row>
    <row r="994" spans="11:26" x14ac:dyDescent="0.3">
      <c r="K994" s="6"/>
      <c r="L994" s="6"/>
      <c r="U994" s="8"/>
      <c r="V994" s="8"/>
      <c r="W994" s="8"/>
      <c r="X994" s="9"/>
      <c r="Y994" s="6"/>
      <c r="Z994" s="8"/>
    </row>
    <row r="995" spans="11:26" x14ac:dyDescent="0.3">
      <c r="K995" s="6"/>
      <c r="L995" s="6"/>
      <c r="U995" s="8"/>
      <c r="V995" s="8"/>
      <c r="W995" s="8"/>
      <c r="X995" s="9"/>
      <c r="Y995" s="6"/>
      <c r="Z995" s="8"/>
    </row>
    <row r="996" spans="11:26" x14ac:dyDescent="0.3">
      <c r="K996" s="6"/>
      <c r="L996" s="6"/>
      <c r="U996" s="8"/>
      <c r="V996" s="8"/>
      <c r="W996" s="8"/>
      <c r="X996" s="9"/>
      <c r="Y996" s="6"/>
      <c r="Z996" s="8"/>
    </row>
    <row r="997" spans="11:26" x14ac:dyDescent="0.3">
      <c r="K997" s="6"/>
      <c r="L997" s="6"/>
      <c r="U997" s="8"/>
      <c r="V997" s="8"/>
      <c r="W997" s="8"/>
      <c r="X997" s="9"/>
      <c r="Y997" s="6"/>
      <c r="Z997" s="8"/>
    </row>
    <row r="998" spans="11:26" x14ac:dyDescent="0.3">
      <c r="K998" s="6"/>
      <c r="L998" s="6"/>
      <c r="U998" s="8"/>
      <c r="V998" s="8"/>
      <c r="W998" s="8"/>
      <c r="X998" s="9"/>
      <c r="Y998" s="6"/>
      <c r="Z998" s="8"/>
    </row>
    <row r="999" spans="11:26" x14ac:dyDescent="0.3">
      <c r="K999" s="6"/>
      <c r="L999" s="6"/>
      <c r="U999" s="8"/>
      <c r="V999" s="8"/>
      <c r="W999" s="8"/>
      <c r="X999" s="9"/>
      <c r="Y999" s="6"/>
      <c r="Z999" s="8"/>
    </row>
    <row r="1000" spans="11:26" x14ac:dyDescent="0.3">
      <c r="K1000" s="6"/>
      <c r="L1000" s="6"/>
      <c r="U1000" s="8"/>
      <c r="V1000" s="8"/>
      <c r="W1000" s="8"/>
      <c r="X1000" s="9"/>
      <c r="Y1000" s="6"/>
      <c r="Z1000" s="8"/>
    </row>
    <row r="1001" spans="11:26" x14ac:dyDescent="0.3">
      <c r="K1001" s="6"/>
      <c r="L1001" s="6"/>
      <c r="U1001" s="8"/>
      <c r="V1001" s="8"/>
      <c r="W1001" s="8"/>
      <c r="X1001" s="9"/>
      <c r="Y1001" s="6"/>
      <c r="Z1001" s="8"/>
    </row>
    <row r="1002" spans="11:26" x14ac:dyDescent="0.3">
      <c r="K1002" s="6"/>
      <c r="L1002" s="6"/>
      <c r="U1002" s="8"/>
      <c r="V1002" s="8"/>
      <c r="W1002" s="8"/>
      <c r="X1002" s="9"/>
      <c r="Y1002" s="6"/>
      <c r="Z1002" s="8"/>
    </row>
    <row r="1003" spans="11:26" x14ac:dyDescent="0.3">
      <c r="K1003" s="6"/>
      <c r="L1003" s="6"/>
      <c r="M1003" s="7"/>
      <c r="U1003" s="8"/>
      <c r="V1003" s="8"/>
      <c r="W1003" s="8"/>
      <c r="X1003" s="9"/>
      <c r="Y1003" s="6"/>
      <c r="Z1003" s="8"/>
    </row>
    <row r="1004" spans="11:26" x14ac:dyDescent="0.3">
      <c r="K1004" s="6"/>
      <c r="L1004" s="6"/>
      <c r="M1004" s="7"/>
      <c r="U1004" s="8"/>
      <c r="V1004" s="8"/>
      <c r="W1004" s="8"/>
      <c r="X1004" s="9"/>
      <c r="Y1004" s="6"/>
      <c r="Z1004" s="8"/>
    </row>
    <row r="1005" spans="11:26" x14ac:dyDescent="0.3">
      <c r="K1005" s="6"/>
      <c r="L1005" s="6"/>
      <c r="M1005" s="7"/>
      <c r="U1005" s="8"/>
      <c r="V1005" s="8"/>
      <c r="W1005" s="8"/>
      <c r="X1005" s="9"/>
      <c r="Y1005" s="6"/>
      <c r="Z1005" s="8"/>
    </row>
    <row r="1006" spans="11:26" x14ac:dyDescent="0.3">
      <c r="K1006" s="6"/>
      <c r="L1006" s="6"/>
      <c r="M1006" s="7"/>
      <c r="U1006" s="8"/>
      <c r="V1006" s="8"/>
      <c r="W1006" s="8"/>
      <c r="X1006" s="9"/>
      <c r="Y1006" s="6"/>
      <c r="Z1006" s="8"/>
    </row>
    <row r="1007" spans="11:26" x14ac:dyDescent="0.3">
      <c r="K1007" s="6"/>
      <c r="L1007" s="6"/>
      <c r="M1007" s="7"/>
      <c r="U1007" s="8"/>
      <c r="V1007" s="8"/>
      <c r="W1007" s="8"/>
      <c r="X1007" s="9"/>
      <c r="Y1007" s="6"/>
      <c r="Z1007" s="8"/>
    </row>
    <row r="1008" spans="11:26" x14ac:dyDescent="0.3">
      <c r="K1008" s="6"/>
      <c r="L1008" s="6"/>
      <c r="M1008" s="7"/>
      <c r="U1008" s="8"/>
      <c r="V1008" s="8"/>
      <c r="W1008" s="8"/>
      <c r="X1008" s="9"/>
      <c r="Y1008" s="6"/>
      <c r="Z1008" s="8"/>
    </row>
    <row r="1009" spans="11:26" x14ac:dyDescent="0.3">
      <c r="K1009" s="6"/>
      <c r="L1009" s="6"/>
      <c r="M1009" s="7"/>
      <c r="U1009" s="8"/>
      <c r="V1009" s="8"/>
      <c r="W1009" s="8"/>
      <c r="X1009" s="9"/>
      <c r="Y1009" s="6"/>
      <c r="Z1009" s="8"/>
    </row>
    <row r="1010" spans="11:26" x14ac:dyDescent="0.3">
      <c r="K1010" s="6"/>
      <c r="L1010" s="6"/>
      <c r="M1010" s="7"/>
      <c r="U1010" s="8"/>
      <c r="V1010" s="8"/>
      <c r="W1010" s="8"/>
      <c r="X1010" s="9"/>
      <c r="Y1010" s="6"/>
      <c r="Z1010" s="8"/>
    </row>
    <row r="1011" spans="11:26" x14ac:dyDescent="0.3">
      <c r="K1011" s="6"/>
      <c r="L1011" s="6"/>
      <c r="M1011" s="7"/>
      <c r="U1011" s="8"/>
      <c r="V1011" s="8"/>
      <c r="W1011" s="8"/>
      <c r="X1011" s="9"/>
      <c r="Y1011" s="6"/>
      <c r="Z1011" s="8"/>
    </row>
    <row r="1012" spans="11:26" x14ac:dyDescent="0.3">
      <c r="K1012" s="6"/>
      <c r="L1012" s="6"/>
      <c r="M1012" s="7"/>
      <c r="U1012" s="8"/>
      <c r="V1012" s="8"/>
      <c r="W1012" s="8"/>
      <c r="X1012" s="9"/>
      <c r="Y1012" s="6"/>
      <c r="Z1012" s="8"/>
    </row>
    <row r="1013" spans="11:26" x14ac:dyDescent="0.3">
      <c r="K1013" s="6"/>
      <c r="L1013" s="6"/>
      <c r="M1013" s="7"/>
      <c r="U1013" s="8"/>
      <c r="V1013" s="8"/>
      <c r="W1013" s="8"/>
      <c r="X1013" s="9"/>
      <c r="Y1013" s="6"/>
      <c r="Z1013" s="8"/>
    </row>
    <row r="1014" spans="11:26" x14ac:dyDescent="0.3">
      <c r="K1014" s="6"/>
      <c r="L1014" s="6"/>
      <c r="M1014" s="7"/>
      <c r="U1014" s="8"/>
      <c r="V1014" s="8"/>
      <c r="W1014" s="8"/>
      <c r="X1014" s="9"/>
      <c r="Y1014" s="6"/>
      <c r="Z1014" s="8"/>
    </row>
    <row r="1015" spans="11:26" x14ac:dyDescent="0.3">
      <c r="K1015" s="6"/>
      <c r="L1015" s="6"/>
      <c r="M1015" s="7"/>
      <c r="U1015" s="8"/>
      <c r="V1015" s="8"/>
      <c r="W1015" s="8"/>
      <c r="X1015" s="9"/>
      <c r="Y1015" s="6"/>
      <c r="Z1015" s="8"/>
    </row>
    <row r="1016" spans="11:26" x14ac:dyDescent="0.3">
      <c r="K1016" s="6"/>
      <c r="L1016" s="6"/>
      <c r="M1016" s="7"/>
      <c r="U1016" s="8"/>
      <c r="V1016" s="8"/>
      <c r="W1016" s="8"/>
      <c r="X1016" s="9"/>
      <c r="Y1016" s="6"/>
      <c r="Z1016" s="8"/>
    </row>
    <row r="1017" spans="11:26" x14ac:dyDescent="0.3">
      <c r="K1017" s="6"/>
      <c r="L1017" s="6"/>
      <c r="M1017" s="7"/>
      <c r="U1017" s="8"/>
      <c r="V1017" s="8"/>
      <c r="W1017" s="8"/>
      <c r="X1017" s="9"/>
      <c r="Y1017" s="6"/>
      <c r="Z1017" s="8"/>
    </row>
    <row r="1018" spans="11:26" x14ac:dyDescent="0.3">
      <c r="K1018" s="6"/>
      <c r="L1018" s="6"/>
      <c r="M1018" s="7"/>
      <c r="U1018" s="8"/>
      <c r="V1018" s="8"/>
      <c r="W1018" s="8"/>
      <c r="X1018" s="9"/>
      <c r="Y1018" s="6"/>
      <c r="Z1018" s="8"/>
    </row>
    <row r="1019" spans="11:26" x14ac:dyDescent="0.3">
      <c r="K1019" s="6"/>
      <c r="L1019" s="6"/>
      <c r="M1019" s="7"/>
      <c r="U1019" s="8"/>
      <c r="V1019" s="8"/>
      <c r="W1019" s="8"/>
      <c r="X1019" s="9"/>
      <c r="Y1019" s="6"/>
      <c r="Z1019" s="8"/>
    </row>
    <row r="1020" spans="11:26" x14ac:dyDescent="0.3">
      <c r="K1020" s="6"/>
      <c r="L1020" s="6"/>
      <c r="M1020" s="7"/>
      <c r="U1020" s="8"/>
      <c r="V1020" s="8"/>
      <c r="W1020" s="8"/>
      <c r="X1020" s="9"/>
      <c r="Y1020" s="6"/>
      <c r="Z1020" s="8"/>
    </row>
    <row r="1021" spans="11:26" x14ac:dyDescent="0.3">
      <c r="K1021" s="6"/>
      <c r="L1021" s="6"/>
      <c r="M1021" s="7"/>
      <c r="U1021" s="8"/>
      <c r="V1021" s="8"/>
      <c r="W1021" s="8"/>
      <c r="X1021" s="9"/>
      <c r="Y1021" s="6"/>
      <c r="Z1021" s="8"/>
    </row>
    <row r="1022" spans="11:26" x14ac:dyDescent="0.3">
      <c r="K1022" s="6"/>
      <c r="L1022" s="6"/>
      <c r="M1022" s="7"/>
      <c r="U1022" s="8"/>
      <c r="V1022" s="8"/>
      <c r="W1022" s="8"/>
      <c r="X1022" s="9"/>
      <c r="Y1022" s="6"/>
      <c r="Z1022" s="8"/>
    </row>
    <row r="1023" spans="11:26" x14ac:dyDescent="0.3">
      <c r="K1023" s="6"/>
      <c r="L1023" s="6"/>
      <c r="M1023" s="7"/>
      <c r="U1023" s="8"/>
      <c r="V1023" s="8"/>
      <c r="W1023" s="8"/>
      <c r="X1023" s="9"/>
      <c r="Y1023" s="6"/>
      <c r="Z1023" s="8"/>
    </row>
    <row r="1024" spans="11:26" x14ac:dyDescent="0.3">
      <c r="K1024" s="6"/>
      <c r="L1024" s="6"/>
      <c r="M1024" s="7"/>
      <c r="U1024" s="8"/>
      <c r="V1024" s="8"/>
      <c r="W1024" s="8"/>
      <c r="X1024" s="9"/>
      <c r="Y1024" s="8"/>
      <c r="Z1024" s="8"/>
    </row>
    <row r="1025" spans="11:26" x14ac:dyDescent="0.3">
      <c r="K1025" s="6"/>
      <c r="L1025" s="6"/>
      <c r="M1025" s="7"/>
      <c r="U1025" s="8"/>
      <c r="V1025" s="8"/>
      <c r="W1025" s="9"/>
      <c r="X1025" s="9"/>
      <c r="Y1025" s="8"/>
      <c r="Z1025" s="8"/>
    </row>
    <row r="1026" spans="11:26" x14ac:dyDescent="0.3">
      <c r="K1026" s="6"/>
      <c r="L1026" s="6"/>
      <c r="M1026" s="7"/>
      <c r="U1026" s="8"/>
      <c r="V1026" s="8"/>
      <c r="W1026" s="8"/>
      <c r="X1026" s="9"/>
      <c r="Y1026" s="6"/>
      <c r="Z1026" s="8"/>
    </row>
    <row r="1027" spans="11:26" x14ac:dyDescent="0.3">
      <c r="K1027" s="6"/>
      <c r="L1027" s="6"/>
      <c r="M1027" s="7"/>
      <c r="U1027" s="8"/>
      <c r="V1027" s="8"/>
      <c r="W1027" s="8"/>
      <c r="X1027" s="9"/>
      <c r="Y1027" s="6"/>
      <c r="Z1027" s="8"/>
    </row>
    <row r="1028" spans="11:26" x14ac:dyDescent="0.3">
      <c r="K1028" s="6"/>
      <c r="L1028" s="6"/>
      <c r="M1028" s="7"/>
      <c r="U1028" s="8"/>
      <c r="V1028" s="8"/>
      <c r="W1028" s="8"/>
      <c r="X1028" s="9"/>
      <c r="Y1028" s="6"/>
      <c r="Z1028" s="8"/>
    </row>
    <row r="1029" spans="11:26" x14ac:dyDescent="0.3">
      <c r="K1029" s="6"/>
      <c r="L1029" s="6"/>
      <c r="M1029" s="7"/>
      <c r="U1029" s="8"/>
      <c r="V1029" s="8"/>
      <c r="W1029" s="8"/>
      <c r="X1029" s="9"/>
      <c r="Y1029" s="6"/>
      <c r="Z1029" s="8"/>
    </row>
    <row r="1030" spans="11:26" x14ac:dyDescent="0.3">
      <c r="K1030" s="6"/>
      <c r="L1030" s="6"/>
      <c r="M1030" s="7"/>
      <c r="U1030" s="8"/>
      <c r="V1030" s="8"/>
      <c r="W1030" s="8"/>
      <c r="X1030" s="9"/>
      <c r="Y1030" s="6"/>
      <c r="Z1030" s="8"/>
    </row>
    <row r="1031" spans="11:26" x14ac:dyDescent="0.3">
      <c r="K1031" s="6"/>
      <c r="L1031" s="6"/>
      <c r="M1031" s="7"/>
      <c r="U1031" s="8"/>
      <c r="V1031" s="8"/>
      <c r="W1031" s="8"/>
      <c r="X1031" s="9"/>
      <c r="Y1031" s="6"/>
      <c r="Z1031" s="8"/>
    </row>
    <row r="1032" spans="11:26" x14ac:dyDescent="0.3">
      <c r="K1032" s="6"/>
      <c r="L1032" s="6"/>
      <c r="M1032" s="7"/>
      <c r="U1032" s="8"/>
      <c r="V1032" s="8"/>
      <c r="W1032" s="8"/>
      <c r="X1032" s="9"/>
      <c r="Y1032" s="6"/>
      <c r="Z1032" s="8"/>
    </row>
    <row r="1033" spans="11:26" x14ac:dyDescent="0.3">
      <c r="K1033" s="6"/>
      <c r="L1033" s="6"/>
      <c r="M1033" s="7"/>
      <c r="U1033" s="8"/>
      <c r="V1033" s="8"/>
      <c r="W1033" s="8"/>
      <c r="X1033" s="9"/>
      <c r="Y1033" s="6"/>
      <c r="Z1033" s="8"/>
    </row>
    <row r="1034" spans="11:26" x14ac:dyDescent="0.3">
      <c r="K1034" s="6"/>
      <c r="L1034" s="6"/>
      <c r="M1034" s="7"/>
      <c r="U1034" s="8"/>
      <c r="V1034" s="8"/>
      <c r="W1034" s="8"/>
      <c r="X1034" s="9"/>
      <c r="Y1034" s="6"/>
      <c r="Z1034" s="8"/>
    </row>
    <row r="1035" spans="11:26" x14ac:dyDescent="0.3">
      <c r="K1035" s="6"/>
      <c r="L1035" s="6"/>
      <c r="M1035" s="7"/>
      <c r="U1035" s="8"/>
      <c r="V1035" s="8"/>
      <c r="W1035" s="8"/>
      <c r="X1035" s="9"/>
      <c r="Y1035" s="6"/>
      <c r="Z1035" s="8"/>
    </row>
    <row r="1036" spans="11:26" x14ac:dyDescent="0.3">
      <c r="K1036" s="6"/>
      <c r="L1036" s="6"/>
      <c r="M1036" s="7"/>
      <c r="U1036" s="8"/>
      <c r="V1036" s="8"/>
      <c r="W1036" s="8"/>
      <c r="X1036" s="9"/>
      <c r="Y1036" s="6"/>
      <c r="Z1036" s="8"/>
    </row>
    <row r="1037" spans="11:26" x14ac:dyDescent="0.3">
      <c r="K1037" s="6"/>
      <c r="L1037" s="6"/>
      <c r="M1037" s="7"/>
      <c r="U1037" s="8"/>
      <c r="V1037" s="8"/>
      <c r="W1037" s="8"/>
      <c r="X1037" s="9"/>
      <c r="Y1037" s="6"/>
      <c r="Z1037" s="8"/>
    </row>
    <row r="1038" spans="11:26" x14ac:dyDescent="0.3">
      <c r="K1038" s="6"/>
      <c r="L1038" s="6"/>
      <c r="M1038" s="7"/>
      <c r="U1038" s="8"/>
      <c r="V1038" s="8"/>
      <c r="W1038" s="8"/>
      <c r="X1038" s="9"/>
      <c r="Y1038" s="6"/>
      <c r="Z1038" s="8"/>
    </row>
    <row r="1039" spans="11:26" x14ac:dyDescent="0.3">
      <c r="K1039" s="6"/>
      <c r="L1039" s="6"/>
      <c r="M1039" s="7"/>
      <c r="U1039" s="8"/>
      <c r="V1039" s="8"/>
      <c r="W1039" s="8"/>
      <c r="X1039" s="9"/>
      <c r="Y1039" s="6"/>
      <c r="Z1039" s="8"/>
    </row>
    <row r="1040" spans="11:26" x14ac:dyDescent="0.3">
      <c r="K1040" s="6"/>
      <c r="L1040" s="6"/>
      <c r="M1040" s="7"/>
      <c r="U1040" s="8"/>
      <c r="V1040" s="8"/>
      <c r="W1040" s="9"/>
      <c r="X1040" s="9"/>
      <c r="Y1040" s="8"/>
      <c r="Z1040" s="8"/>
    </row>
    <row r="1041" spans="11:26" x14ac:dyDescent="0.3">
      <c r="K1041" s="6"/>
      <c r="L1041" s="6"/>
      <c r="M1041" s="7"/>
      <c r="U1041" s="8"/>
      <c r="V1041" s="8"/>
      <c r="W1041" s="8"/>
      <c r="X1041" s="9"/>
      <c r="Y1041" s="6"/>
      <c r="Z1041" s="8"/>
    </row>
    <row r="1042" spans="11:26" x14ac:dyDescent="0.3">
      <c r="K1042" s="6"/>
      <c r="L1042" s="6"/>
      <c r="M1042" s="7"/>
      <c r="U1042" s="8"/>
      <c r="V1042" s="8"/>
      <c r="W1042" s="8"/>
      <c r="X1042" s="9"/>
      <c r="Y1042" s="6"/>
      <c r="Z1042" s="8"/>
    </row>
    <row r="1043" spans="11:26" x14ac:dyDescent="0.3">
      <c r="K1043" s="6"/>
      <c r="L1043" s="6"/>
      <c r="M1043" s="7"/>
      <c r="U1043" s="8"/>
      <c r="V1043" s="8"/>
      <c r="W1043" s="8"/>
      <c r="X1043" s="9"/>
      <c r="Y1043" s="6"/>
      <c r="Z1043" s="8"/>
    </row>
    <row r="1044" spans="11:26" x14ac:dyDescent="0.3">
      <c r="K1044" s="6"/>
      <c r="L1044" s="6"/>
      <c r="M1044" s="7"/>
      <c r="U1044" s="8"/>
      <c r="V1044" s="8"/>
      <c r="W1044" s="8"/>
      <c r="X1044" s="9"/>
      <c r="Y1044" s="6"/>
      <c r="Z1044" s="8"/>
    </row>
    <row r="1045" spans="11:26" x14ac:dyDescent="0.3">
      <c r="K1045" s="6"/>
      <c r="L1045" s="6"/>
      <c r="M1045" s="7"/>
      <c r="U1045" s="8"/>
      <c r="V1045" s="8"/>
      <c r="W1045" s="8"/>
      <c r="X1045" s="9"/>
      <c r="Y1045" s="6"/>
      <c r="Z1045" s="8"/>
    </row>
    <row r="1046" spans="11:26" x14ac:dyDescent="0.3">
      <c r="K1046" s="6"/>
      <c r="L1046" s="6"/>
      <c r="M1046" s="7"/>
      <c r="U1046" s="8"/>
      <c r="V1046" s="8"/>
      <c r="W1046" s="8"/>
      <c r="X1046" s="9"/>
      <c r="Y1046" s="6"/>
      <c r="Z1046" s="8"/>
    </row>
    <row r="1047" spans="11:26" x14ac:dyDescent="0.3">
      <c r="K1047" s="6"/>
      <c r="L1047" s="6"/>
      <c r="M1047" s="7"/>
      <c r="U1047" s="8"/>
      <c r="V1047" s="8"/>
      <c r="W1047" s="8"/>
      <c r="X1047" s="9"/>
      <c r="Y1047" s="6"/>
      <c r="Z1047" s="8"/>
    </row>
    <row r="1048" spans="11:26" x14ac:dyDescent="0.3">
      <c r="K1048" s="6"/>
      <c r="L1048" s="6"/>
      <c r="M1048" s="7"/>
      <c r="U1048" s="8"/>
      <c r="V1048" s="8"/>
      <c r="W1048" s="8"/>
      <c r="X1048" s="9"/>
      <c r="Y1048" s="6"/>
      <c r="Z1048" s="8"/>
    </row>
    <row r="1049" spans="11:26" x14ac:dyDescent="0.3">
      <c r="K1049" s="6"/>
      <c r="L1049" s="6"/>
      <c r="M1049" s="7"/>
      <c r="U1049" s="8"/>
      <c r="V1049" s="8"/>
      <c r="W1049" s="8"/>
      <c r="X1049" s="9"/>
      <c r="Y1049" s="6"/>
      <c r="Z1049" s="8"/>
    </row>
    <row r="1050" spans="11:26" x14ac:dyDescent="0.3">
      <c r="K1050" s="6"/>
      <c r="L1050" s="6"/>
      <c r="M1050" s="7"/>
      <c r="U1050" s="8"/>
      <c r="V1050" s="8"/>
      <c r="W1050" s="8"/>
      <c r="X1050" s="9"/>
      <c r="Y1050" s="6"/>
      <c r="Z1050" s="8"/>
    </row>
    <row r="1051" spans="11:26" x14ac:dyDescent="0.3">
      <c r="K1051" s="6"/>
      <c r="L1051" s="6"/>
      <c r="M1051" s="7"/>
      <c r="U1051" s="8"/>
      <c r="V1051" s="8"/>
      <c r="W1051" s="8"/>
      <c r="X1051" s="9"/>
      <c r="Y1051" s="6"/>
      <c r="Z1051" s="8"/>
    </row>
    <row r="1052" spans="11:26" x14ac:dyDescent="0.3">
      <c r="K1052" s="6"/>
      <c r="L1052" s="6"/>
      <c r="M1052" s="7"/>
      <c r="U1052" s="8"/>
      <c r="V1052" s="8"/>
      <c r="W1052" s="8"/>
      <c r="X1052" s="9"/>
      <c r="Y1052" s="6"/>
      <c r="Z1052" s="8"/>
    </row>
    <row r="1053" spans="11:26" x14ac:dyDescent="0.3">
      <c r="K1053" s="6"/>
      <c r="L1053" s="6"/>
      <c r="M1053" s="7"/>
      <c r="U1053" s="8"/>
      <c r="V1053" s="8"/>
      <c r="W1053" s="8"/>
      <c r="X1053" s="9"/>
      <c r="Y1053" s="6"/>
      <c r="Z1053" s="8"/>
    </row>
    <row r="1054" spans="11:26" x14ac:dyDescent="0.3">
      <c r="K1054" s="6"/>
      <c r="L1054" s="6"/>
      <c r="M1054" s="7"/>
      <c r="U1054" s="8"/>
      <c r="V1054" s="8"/>
      <c r="W1054" s="8"/>
      <c r="X1054" s="9"/>
      <c r="Y1054" s="6"/>
      <c r="Z1054" s="8"/>
    </row>
    <row r="1055" spans="11:26" x14ac:dyDescent="0.3">
      <c r="K1055" s="6"/>
      <c r="L1055" s="6"/>
      <c r="M1055" s="7"/>
      <c r="U1055" s="8"/>
      <c r="V1055" s="8"/>
      <c r="W1055" s="8"/>
      <c r="X1055" s="9"/>
      <c r="Y1055" s="6"/>
      <c r="Z1055" s="8"/>
    </row>
    <row r="1056" spans="11:26" x14ac:dyDescent="0.3">
      <c r="K1056" s="6"/>
      <c r="L1056" s="6"/>
      <c r="M1056" s="7"/>
      <c r="U1056" s="8"/>
      <c r="V1056" s="8"/>
      <c r="W1056" s="8"/>
      <c r="X1056" s="9"/>
      <c r="Y1056" s="6"/>
      <c r="Z1056" s="8"/>
    </row>
    <row r="1057" spans="11:26" x14ac:dyDescent="0.3">
      <c r="K1057" s="6"/>
      <c r="L1057" s="6"/>
      <c r="M1057" s="7"/>
      <c r="U1057" s="8"/>
      <c r="V1057" s="8"/>
      <c r="W1057" s="8"/>
      <c r="X1057" s="9"/>
      <c r="Y1057" s="6"/>
      <c r="Z1057" s="8"/>
    </row>
    <row r="1058" spans="11:26" x14ac:dyDescent="0.3">
      <c r="K1058" s="6"/>
      <c r="L1058" s="6"/>
      <c r="M1058" s="7"/>
      <c r="U1058" s="8"/>
      <c r="V1058" s="8"/>
      <c r="W1058" s="8"/>
      <c r="X1058" s="9"/>
      <c r="Y1058" s="6"/>
      <c r="Z1058" s="8"/>
    </row>
    <row r="1059" spans="11:26" x14ac:dyDescent="0.3">
      <c r="K1059" s="6"/>
      <c r="L1059" s="6"/>
      <c r="M1059" s="7"/>
      <c r="U1059" s="8"/>
      <c r="V1059" s="8"/>
      <c r="W1059" s="8"/>
      <c r="X1059" s="9"/>
      <c r="Y1059" s="6"/>
      <c r="Z1059" s="8"/>
    </row>
    <row r="1060" spans="11:26" x14ac:dyDescent="0.3">
      <c r="K1060" s="6"/>
      <c r="L1060" s="6"/>
      <c r="M1060" s="7"/>
      <c r="U1060" s="8"/>
      <c r="V1060" s="8"/>
      <c r="W1060" s="8"/>
      <c r="X1060" s="9"/>
      <c r="Y1060" s="6"/>
      <c r="Z1060" s="8"/>
    </row>
    <row r="1061" spans="11:26" x14ac:dyDescent="0.3">
      <c r="K1061" s="6"/>
      <c r="L1061" s="6"/>
      <c r="M1061" s="7"/>
      <c r="U1061" s="8"/>
      <c r="V1061" s="8"/>
      <c r="W1061" s="8"/>
      <c r="X1061" s="9"/>
      <c r="Y1061" s="6"/>
      <c r="Z1061" s="8"/>
    </row>
    <row r="1062" spans="11:26" x14ac:dyDescent="0.3">
      <c r="K1062" s="6"/>
      <c r="L1062" s="6"/>
      <c r="M1062" s="7"/>
      <c r="U1062" s="8"/>
      <c r="V1062" s="8"/>
      <c r="W1062" s="8"/>
      <c r="X1062" s="9"/>
      <c r="Y1062" s="6"/>
      <c r="Z1062" s="8"/>
    </row>
    <row r="1063" spans="11:26" x14ac:dyDescent="0.3">
      <c r="K1063" s="6"/>
      <c r="L1063" s="6"/>
      <c r="M1063" s="7"/>
      <c r="U1063" s="8"/>
      <c r="V1063" s="8"/>
      <c r="W1063" s="8"/>
      <c r="X1063" s="9"/>
      <c r="Y1063" s="6"/>
      <c r="Z1063" s="8"/>
    </row>
    <row r="1064" spans="11:26" x14ac:dyDescent="0.3">
      <c r="K1064" s="6"/>
      <c r="L1064" s="6"/>
      <c r="M1064" s="7"/>
      <c r="U1064" s="8"/>
      <c r="V1064" s="8"/>
      <c r="W1064" s="8"/>
      <c r="X1064" s="9"/>
      <c r="Y1064" s="6"/>
      <c r="Z1064" s="8"/>
    </row>
    <row r="1065" spans="11:26" x14ac:dyDescent="0.3">
      <c r="K1065" s="6"/>
      <c r="L1065" s="6"/>
      <c r="M1065" s="7"/>
      <c r="U1065" s="8"/>
      <c r="V1065" s="8"/>
      <c r="W1065" s="8"/>
      <c r="X1065" s="9"/>
      <c r="Y1065" s="6"/>
      <c r="Z1065" s="8"/>
    </row>
    <row r="1066" spans="11:26" x14ac:dyDescent="0.3">
      <c r="K1066" s="6"/>
      <c r="L1066" s="6"/>
      <c r="M1066" s="7"/>
      <c r="U1066" s="8"/>
      <c r="V1066" s="8"/>
      <c r="W1066" s="8"/>
      <c r="X1066" s="9"/>
      <c r="Y1066" s="6"/>
      <c r="Z1066" s="8"/>
    </row>
    <row r="1067" spans="11:26" x14ac:dyDescent="0.3">
      <c r="K1067" s="6"/>
      <c r="L1067" s="6"/>
      <c r="M1067" s="7"/>
      <c r="U1067" s="8"/>
      <c r="V1067" s="8"/>
      <c r="W1067" s="8"/>
      <c r="X1067" s="9"/>
      <c r="Y1067" s="6"/>
      <c r="Z1067" s="8"/>
    </row>
    <row r="1068" spans="11:26" x14ac:dyDescent="0.3">
      <c r="K1068" s="6"/>
      <c r="L1068" s="6"/>
      <c r="M1068" s="7"/>
      <c r="U1068" s="8"/>
      <c r="V1068" s="8"/>
      <c r="W1068" s="8"/>
      <c r="X1068" s="9"/>
      <c r="Y1068" s="6"/>
      <c r="Z1068" s="8"/>
    </row>
    <row r="1069" spans="11:26" x14ac:dyDescent="0.3">
      <c r="K1069" s="6"/>
      <c r="L1069" s="6"/>
      <c r="M1069" s="7"/>
      <c r="U1069" s="8"/>
      <c r="V1069" s="8"/>
      <c r="W1069" s="8"/>
      <c r="X1069" s="9"/>
      <c r="Y1069" s="6"/>
      <c r="Z1069" s="8"/>
    </row>
    <row r="1070" spans="11:26" x14ac:dyDescent="0.3">
      <c r="K1070" s="6"/>
      <c r="L1070" s="6"/>
      <c r="M1070" s="7"/>
      <c r="U1070" s="8"/>
      <c r="V1070" s="8"/>
      <c r="W1070" s="8"/>
      <c r="X1070" s="9"/>
      <c r="Y1070" s="6"/>
      <c r="Z1070" s="8"/>
    </row>
    <row r="1071" spans="11:26" x14ac:dyDescent="0.3">
      <c r="K1071" s="6"/>
      <c r="L1071" s="6"/>
      <c r="M1071" s="7"/>
      <c r="U1071" s="8"/>
      <c r="V1071" s="8"/>
      <c r="W1071" s="8"/>
      <c r="X1071" s="9"/>
      <c r="Y1071" s="6"/>
      <c r="Z1071" s="8"/>
    </row>
    <row r="1072" spans="11:26" x14ac:dyDescent="0.3">
      <c r="K1072" s="6"/>
      <c r="L1072" s="6"/>
      <c r="M1072" s="7"/>
      <c r="U1072" s="8"/>
      <c r="V1072" s="8"/>
      <c r="W1072" s="8"/>
      <c r="X1072" s="9"/>
      <c r="Y1072" s="6"/>
      <c r="Z1072" s="8"/>
    </row>
    <row r="1073" spans="11:26" x14ac:dyDescent="0.3">
      <c r="K1073" s="6"/>
      <c r="L1073" s="6"/>
      <c r="M1073" s="7"/>
      <c r="U1073" s="8"/>
      <c r="V1073" s="8"/>
      <c r="W1073" s="8"/>
      <c r="X1073" s="9"/>
      <c r="Y1073" s="6"/>
      <c r="Z1073" s="8"/>
    </row>
    <row r="1074" spans="11:26" x14ac:dyDescent="0.3">
      <c r="K1074" s="6"/>
      <c r="L1074" s="6"/>
      <c r="M1074" s="7"/>
      <c r="U1074" s="8"/>
      <c r="V1074" s="8"/>
      <c r="W1074" s="8"/>
      <c r="X1074" s="9"/>
      <c r="Y1074" s="6"/>
      <c r="Z1074" s="8"/>
    </row>
    <row r="1075" spans="11:26" x14ac:dyDescent="0.3">
      <c r="K1075" s="6"/>
      <c r="L1075" s="6"/>
      <c r="M1075" s="7"/>
      <c r="U1075" s="8"/>
      <c r="V1075" s="8"/>
      <c r="W1075" s="8"/>
      <c r="X1075" s="9"/>
      <c r="Y1075" s="6"/>
      <c r="Z1075" s="8"/>
    </row>
    <row r="1076" spans="11:26" x14ac:dyDescent="0.3">
      <c r="K1076" s="6"/>
      <c r="L1076" s="6"/>
      <c r="M1076" s="7"/>
      <c r="U1076" s="8"/>
      <c r="V1076" s="8"/>
      <c r="W1076" s="8"/>
      <c r="X1076" s="9"/>
      <c r="Y1076" s="6"/>
      <c r="Z1076" s="8"/>
    </row>
    <row r="1077" spans="11:26" x14ac:dyDescent="0.3">
      <c r="K1077" s="6"/>
      <c r="L1077" s="6"/>
      <c r="M1077" s="7"/>
      <c r="U1077" s="8"/>
      <c r="V1077" s="8"/>
      <c r="W1077" s="8"/>
      <c r="X1077" s="9"/>
      <c r="Y1077" s="6"/>
      <c r="Z1077" s="8"/>
    </row>
    <row r="1078" spans="11:26" x14ac:dyDescent="0.3">
      <c r="K1078" s="6"/>
      <c r="L1078" s="6"/>
      <c r="M1078" s="7"/>
      <c r="U1078" s="8"/>
      <c r="V1078" s="8"/>
      <c r="W1078" s="8"/>
      <c r="X1078" s="9"/>
      <c r="Y1078" s="6"/>
      <c r="Z1078" s="8"/>
    </row>
    <row r="1079" spans="11:26" x14ac:dyDescent="0.3">
      <c r="K1079" s="6"/>
      <c r="L1079" s="6"/>
      <c r="M1079" s="7"/>
      <c r="U1079" s="8"/>
      <c r="V1079" s="8"/>
      <c r="W1079" s="8"/>
      <c r="X1079" s="9"/>
      <c r="Y1079" s="6"/>
      <c r="Z1079" s="8"/>
    </row>
    <row r="1080" spans="11:26" x14ac:dyDescent="0.3">
      <c r="K1080" s="6"/>
      <c r="L1080" s="6"/>
      <c r="M1080" s="7"/>
      <c r="U1080" s="8"/>
      <c r="V1080" s="8"/>
      <c r="W1080" s="8"/>
      <c r="X1080" s="9"/>
      <c r="Y1080" s="6"/>
      <c r="Z1080" s="8"/>
    </row>
    <row r="1081" spans="11:26" x14ac:dyDescent="0.3">
      <c r="K1081" s="6"/>
      <c r="L1081" s="6"/>
      <c r="U1081" s="8"/>
      <c r="V1081" s="8"/>
      <c r="W1081" s="8"/>
      <c r="X1081" s="9"/>
      <c r="Y1081" s="6"/>
      <c r="Z1081" s="8"/>
    </row>
    <row r="1082" spans="11:26" x14ac:dyDescent="0.3">
      <c r="K1082" s="6"/>
      <c r="L1082" s="6"/>
      <c r="U1082" s="8"/>
      <c r="V1082" s="8"/>
      <c r="W1082" s="8"/>
      <c r="X1082" s="9"/>
      <c r="Y1082" s="6"/>
      <c r="Z1082" s="8"/>
    </row>
    <row r="1083" spans="11:26" x14ac:dyDescent="0.3">
      <c r="K1083" s="6"/>
      <c r="L1083" s="6"/>
      <c r="U1083" s="8"/>
      <c r="V1083" s="8"/>
      <c r="W1083" s="8"/>
      <c r="X1083" s="9"/>
      <c r="Y1083" s="6"/>
      <c r="Z1083" s="8"/>
    </row>
    <row r="1084" spans="11:26" x14ac:dyDescent="0.3">
      <c r="K1084" s="6"/>
      <c r="L1084" s="6"/>
      <c r="U1084" s="8"/>
      <c r="V1084" s="8"/>
      <c r="W1084" s="8"/>
      <c r="X1084" s="9"/>
      <c r="Y1084" s="6"/>
      <c r="Z1084" s="8"/>
    </row>
    <row r="1085" spans="11:26" x14ac:dyDescent="0.3">
      <c r="K1085" s="6"/>
      <c r="L1085" s="6"/>
      <c r="U1085" s="8"/>
      <c r="V1085" s="8"/>
      <c r="W1085" s="8"/>
      <c r="X1085" s="9"/>
      <c r="Y1085" s="6"/>
      <c r="Z1085" s="8"/>
    </row>
    <row r="1086" spans="11:26" x14ac:dyDescent="0.3">
      <c r="K1086" s="6"/>
      <c r="L1086" s="6"/>
      <c r="U1086" s="8"/>
      <c r="V1086" s="8"/>
      <c r="W1086" s="8"/>
      <c r="X1086" s="9"/>
      <c r="Y1086" s="6"/>
      <c r="Z1086" s="8"/>
    </row>
    <row r="1087" spans="11:26" x14ac:dyDescent="0.3">
      <c r="K1087" s="6"/>
      <c r="L1087" s="6"/>
      <c r="M1087" s="7"/>
      <c r="U1087" s="8"/>
      <c r="V1087" s="8"/>
      <c r="W1087" s="9"/>
      <c r="X1087" s="9"/>
      <c r="Y1087" s="8"/>
      <c r="Z1087" s="8"/>
    </row>
    <row r="1088" spans="11:26" x14ac:dyDescent="0.3">
      <c r="K1088" s="6"/>
      <c r="L1088" s="6"/>
      <c r="M1088" s="7"/>
      <c r="U1088" s="8"/>
      <c r="V1088" s="8"/>
      <c r="W1088" s="8"/>
      <c r="X1088" s="9"/>
      <c r="Y1088" s="6"/>
      <c r="Z1088" s="8"/>
    </row>
    <row r="1089" spans="11:26" x14ac:dyDescent="0.3">
      <c r="K1089" s="6"/>
      <c r="L1089" s="6"/>
      <c r="M1089" s="7"/>
      <c r="U1089" s="8"/>
      <c r="V1089" s="8"/>
      <c r="W1089" s="8"/>
      <c r="X1089" s="9"/>
      <c r="Y1089" s="6"/>
      <c r="Z1089" s="8"/>
    </row>
    <row r="1090" spans="11:26" x14ac:dyDescent="0.3">
      <c r="K1090" s="6"/>
      <c r="L1090" s="6"/>
      <c r="M1090" s="7"/>
      <c r="U1090" s="8"/>
      <c r="V1090" s="8"/>
      <c r="W1090" s="8"/>
      <c r="X1090" s="9"/>
      <c r="Y1090" s="6"/>
      <c r="Z1090" s="8"/>
    </row>
    <row r="1091" spans="11:26" x14ac:dyDescent="0.3">
      <c r="K1091" s="6"/>
      <c r="L1091" s="6"/>
      <c r="M1091" s="7"/>
      <c r="U1091" s="8"/>
      <c r="V1091" s="8"/>
      <c r="W1091" s="8"/>
      <c r="X1091" s="9"/>
      <c r="Y1091" s="6"/>
      <c r="Z1091" s="8"/>
    </row>
    <row r="1092" spans="11:26" x14ac:dyDescent="0.3">
      <c r="K1092" s="6"/>
      <c r="L1092" s="6"/>
      <c r="M1092" s="7"/>
      <c r="U1092" s="8"/>
      <c r="V1092" s="8"/>
      <c r="W1092" s="8"/>
      <c r="X1092" s="9"/>
      <c r="Y1092" s="6"/>
      <c r="Z1092" s="8"/>
    </row>
    <row r="1093" spans="11:26" x14ac:dyDescent="0.3">
      <c r="K1093" s="6"/>
      <c r="L1093" s="6"/>
      <c r="M1093" s="7"/>
      <c r="U1093" s="8"/>
      <c r="V1093" s="8"/>
      <c r="W1093" s="8"/>
      <c r="X1093" s="9"/>
      <c r="Y1093" s="6"/>
      <c r="Z1093" s="8"/>
    </row>
    <row r="1094" spans="11:26" x14ac:dyDescent="0.3">
      <c r="K1094" s="6"/>
      <c r="L1094" s="6"/>
      <c r="M1094" s="7"/>
      <c r="U1094" s="8"/>
      <c r="V1094" s="8"/>
      <c r="W1094" s="8"/>
      <c r="X1094" s="9"/>
      <c r="Y1094" s="6"/>
      <c r="Z1094" s="8"/>
    </row>
    <row r="1095" spans="11:26" x14ac:dyDescent="0.3">
      <c r="K1095" s="6"/>
      <c r="L1095" s="6"/>
      <c r="M1095" s="7"/>
      <c r="U1095" s="8"/>
      <c r="V1095" s="8"/>
      <c r="W1095" s="8"/>
      <c r="X1095" s="9"/>
      <c r="Y1095" s="6"/>
      <c r="Z1095" s="8"/>
    </row>
    <row r="1096" spans="11:26" x14ac:dyDescent="0.3">
      <c r="K1096" s="6"/>
      <c r="L1096" s="6"/>
      <c r="M1096" s="7"/>
      <c r="U1096" s="8"/>
      <c r="V1096" s="8"/>
      <c r="W1096" s="8"/>
      <c r="X1096" s="9"/>
      <c r="Y1096" s="8"/>
      <c r="Z1096" s="8"/>
    </row>
    <row r="1097" spans="11:26" x14ac:dyDescent="0.3">
      <c r="K1097" s="6"/>
      <c r="L1097" s="6"/>
      <c r="M1097" s="7"/>
      <c r="U1097" s="8"/>
      <c r="V1097" s="8"/>
      <c r="W1097" s="8"/>
      <c r="X1097" s="9"/>
      <c r="Y1097" s="6"/>
      <c r="Z1097" s="8"/>
    </row>
    <row r="1098" spans="11:26" x14ac:dyDescent="0.3">
      <c r="K1098" s="6"/>
      <c r="L1098" s="6"/>
      <c r="M1098" s="7"/>
      <c r="U1098" s="8"/>
      <c r="V1098" s="8"/>
      <c r="W1098" s="8"/>
      <c r="X1098" s="9"/>
      <c r="Y1098" s="6"/>
      <c r="Z1098" s="8"/>
    </row>
    <row r="1099" spans="11:26" x14ac:dyDescent="0.3">
      <c r="K1099" s="6"/>
      <c r="L1099" s="6"/>
      <c r="M1099" s="7"/>
      <c r="U1099" s="8"/>
      <c r="V1099" s="8"/>
      <c r="W1099" s="8"/>
      <c r="X1099" s="9"/>
      <c r="Y1099" s="6"/>
      <c r="Z1099" s="8"/>
    </row>
    <row r="1100" spans="11:26" x14ac:dyDescent="0.3">
      <c r="K1100" s="6"/>
      <c r="L1100" s="6"/>
      <c r="M1100" s="7"/>
      <c r="U1100" s="8"/>
      <c r="V1100" s="8"/>
      <c r="W1100" s="8"/>
      <c r="X1100" s="9"/>
      <c r="Y1100" s="6"/>
      <c r="Z1100" s="8"/>
    </row>
    <row r="1101" spans="11:26" x14ac:dyDescent="0.3">
      <c r="K1101" s="6"/>
      <c r="L1101" s="6"/>
      <c r="M1101" s="7"/>
      <c r="U1101" s="8"/>
      <c r="V1101" s="8"/>
      <c r="W1101" s="8"/>
      <c r="X1101" s="9"/>
      <c r="Y1101" s="6"/>
      <c r="Z1101" s="8"/>
    </row>
    <row r="1102" spans="11:26" x14ac:dyDescent="0.3">
      <c r="K1102" s="6"/>
      <c r="L1102" s="6"/>
      <c r="M1102" s="7"/>
      <c r="U1102" s="8"/>
      <c r="V1102" s="8"/>
      <c r="W1102" s="8"/>
      <c r="X1102" s="9"/>
      <c r="Y1102" s="6"/>
      <c r="Z1102" s="8"/>
    </row>
    <row r="1103" spans="11:26" x14ac:dyDescent="0.3">
      <c r="K1103" s="6"/>
      <c r="L1103" s="6"/>
      <c r="M1103" s="7"/>
      <c r="U1103" s="8"/>
      <c r="V1103" s="8"/>
      <c r="W1103" s="8"/>
      <c r="X1103" s="9"/>
      <c r="Y1103" s="6"/>
      <c r="Z1103" s="8"/>
    </row>
    <row r="1104" spans="11:26" x14ac:dyDescent="0.3">
      <c r="K1104" s="6"/>
      <c r="L1104" s="6"/>
      <c r="M1104" s="7"/>
      <c r="U1104" s="8"/>
      <c r="V1104" s="8"/>
      <c r="W1104" s="8"/>
      <c r="X1104" s="9"/>
      <c r="Y1104" s="6"/>
      <c r="Z1104" s="8"/>
    </row>
    <row r="1105" spans="11:26" x14ac:dyDescent="0.3">
      <c r="K1105" s="6"/>
      <c r="L1105" s="6"/>
      <c r="M1105" s="7"/>
      <c r="U1105" s="8"/>
      <c r="V1105" s="8"/>
      <c r="W1105" s="8"/>
      <c r="X1105" s="9"/>
      <c r="Y1105" s="6"/>
      <c r="Z1105" s="8"/>
    </row>
    <row r="1106" spans="11:26" x14ac:dyDescent="0.3">
      <c r="K1106" s="6"/>
      <c r="L1106" s="6"/>
      <c r="M1106" s="7"/>
      <c r="U1106" s="8"/>
      <c r="V1106" s="8"/>
      <c r="W1106" s="8"/>
      <c r="X1106" s="9"/>
      <c r="Y1106" s="6"/>
      <c r="Z1106" s="8"/>
    </row>
    <row r="1107" spans="11:26" x14ac:dyDescent="0.3">
      <c r="K1107" s="6"/>
      <c r="L1107" s="6"/>
      <c r="M1107" s="7"/>
      <c r="U1107" s="8"/>
      <c r="V1107" s="8"/>
      <c r="W1107" s="8"/>
      <c r="X1107" s="9"/>
      <c r="Y1107" s="6"/>
      <c r="Z1107" s="8"/>
    </row>
    <row r="1108" spans="11:26" x14ac:dyDescent="0.3">
      <c r="K1108" s="6"/>
      <c r="L1108" s="6"/>
      <c r="M1108" s="7"/>
      <c r="U1108" s="8"/>
      <c r="V1108" s="8"/>
      <c r="W1108" s="8"/>
      <c r="X1108" s="9"/>
      <c r="Y1108" s="6"/>
      <c r="Z1108" s="8"/>
    </row>
    <row r="1109" spans="11:26" x14ac:dyDescent="0.3">
      <c r="K1109" s="6"/>
      <c r="L1109" s="6"/>
      <c r="U1109" s="8"/>
      <c r="V1109" s="8"/>
      <c r="W1109" s="8"/>
      <c r="X1109" s="9"/>
      <c r="Y1109" s="6"/>
      <c r="Z1109" s="8"/>
    </row>
    <row r="1110" spans="11:26" x14ac:dyDescent="0.3">
      <c r="K1110" s="6"/>
      <c r="L1110" s="6"/>
      <c r="M1110" s="7"/>
      <c r="U1110" s="8"/>
      <c r="V1110" s="8"/>
      <c r="W1110" s="8"/>
      <c r="X1110" s="9"/>
      <c r="Y1110" s="6"/>
      <c r="Z1110" s="8"/>
    </row>
    <row r="1111" spans="11:26" x14ac:dyDescent="0.3">
      <c r="K1111" s="6"/>
      <c r="L1111" s="6"/>
      <c r="M1111" s="7"/>
      <c r="U1111" s="8"/>
      <c r="V1111" s="8"/>
      <c r="W1111" s="8"/>
      <c r="X1111" s="9"/>
      <c r="Y1111" s="6"/>
      <c r="Z1111" s="8"/>
    </row>
    <row r="1112" spans="11:26" x14ac:dyDescent="0.3">
      <c r="K1112" s="6"/>
      <c r="L1112" s="6"/>
      <c r="M1112" s="7"/>
      <c r="U1112" s="8"/>
      <c r="V1112" s="8"/>
      <c r="W1112" s="8"/>
      <c r="X1112" s="9"/>
      <c r="Y1112" s="6"/>
      <c r="Z1112" s="8"/>
    </row>
    <row r="1113" spans="11:26" x14ac:dyDescent="0.3">
      <c r="K1113" s="6"/>
      <c r="L1113" s="6"/>
      <c r="M1113" s="7"/>
      <c r="U1113" s="8"/>
      <c r="V1113" s="8"/>
      <c r="W1113" s="8"/>
      <c r="X1113" s="9"/>
      <c r="Y1113" s="6"/>
      <c r="Z1113" s="8"/>
    </row>
    <row r="1114" spans="11:26" x14ac:dyDescent="0.3">
      <c r="K1114" s="6"/>
      <c r="L1114" s="6"/>
      <c r="M1114" s="7"/>
      <c r="U1114" s="8"/>
      <c r="V1114" s="8"/>
      <c r="W1114" s="8"/>
      <c r="X1114" s="9"/>
      <c r="Y1114" s="6"/>
      <c r="Z1114" s="8"/>
    </row>
    <row r="1115" spans="11:26" x14ac:dyDescent="0.3">
      <c r="K1115" s="6"/>
      <c r="L1115" s="6"/>
      <c r="M1115" s="7"/>
      <c r="U1115" s="8"/>
      <c r="V1115" s="8"/>
      <c r="W1115" s="8"/>
      <c r="X1115" s="9"/>
      <c r="Y1115" s="6"/>
      <c r="Z1115" s="8"/>
    </row>
    <row r="1116" spans="11:26" x14ac:dyDescent="0.3">
      <c r="K1116" s="6"/>
      <c r="L1116" s="6"/>
      <c r="M1116" s="7"/>
      <c r="U1116" s="8"/>
      <c r="V1116" s="8"/>
      <c r="W1116" s="8"/>
      <c r="X1116" s="9"/>
      <c r="Y1116" s="6"/>
      <c r="Z1116" s="8"/>
    </row>
    <row r="1117" spans="11:26" x14ac:dyDescent="0.3">
      <c r="K1117" s="6"/>
      <c r="L1117" s="6"/>
      <c r="M1117" s="7"/>
      <c r="U1117" s="8"/>
      <c r="V1117" s="8"/>
      <c r="W1117" s="8"/>
      <c r="X1117" s="9"/>
      <c r="Y1117" s="6"/>
      <c r="Z1117" s="8"/>
    </row>
    <row r="1118" spans="11:26" x14ac:dyDescent="0.3">
      <c r="K1118" s="6"/>
      <c r="L1118" s="6"/>
      <c r="M1118" s="7"/>
      <c r="U1118" s="8"/>
      <c r="V1118" s="8"/>
      <c r="W1118" s="8"/>
      <c r="X1118" s="9"/>
      <c r="Y1118" s="6"/>
      <c r="Z1118" s="8"/>
    </row>
    <row r="1119" spans="11:26" x14ac:dyDescent="0.3">
      <c r="K1119" s="6"/>
      <c r="L1119" s="6"/>
      <c r="M1119" s="7"/>
      <c r="U1119" s="8"/>
      <c r="V1119" s="8"/>
      <c r="W1119" s="8"/>
      <c r="X1119" s="9"/>
      <c r="Y1119" s="6"/>
      <c r="Z1119" s="8"/>
    </row>
    <row r="1120" spans="11:26" x14ac:dyDescent="0.3">
      <c r="K1120" s="6"/>
      <c r="L1120" s="6"/>
      <c r="M1120" s="7"/>
      <c r="U1120" s="8"/>
      <c r="V1120" s="8"/>
      <c r="W1120" s="8"/>
      <c r="X1120" s="9"/>
      <c r="Y1120" s="6"/>
      <c r="Z1120" s="8"/>
    </row>
    <row r="1121" spans="11:26" x14ac:dyDescent="0.3">
      <c r="K1121" s="6"/>
      <c r="L1121" s="6"/>
      <c r="M1121" s="7"/>
      <c r="U1121" s="8"/>
      <c r="V1121" s="8"/>
      <c r="W1121" s="8"/>
      <c r="X1121" s="9"/>
      <c r="Y1121" s="6"/>
      <c r="Z1121" s="8"/>
    </row>
    <row r="1122" spans="11:26" x14ac:dyDescent="0.3">
      <c r="K1122" s="6"/>
      <c r="L1122" s="6"/>
      <c r="M1122" s="7"/>
      <c r="U1122" s="8"/>
      <c r="V1122" s="8"/>
      <c r="W1122" s="8"/>
      <c r="X1122" s="9"/>
      <c r="Y1122" s="6"/>
      <c r="Z1122" s="8"/>
    </row>
    <row r="1123" spans="11:26" x14ac:dyDescent="0.3">
      <c r="K1123" s="6"/>
      <c r="L1123" s="6"/>
      <c r="M1123" s="7"/>
      <c r="U1123" s="8"/>
      <c r="V1123" s="8"/>
      <c r="W1123" s="8"/>
      <c r="X1123" s="9"/>
      <c r="Y1123" s="6"/>
      <c r="Z1123" s="8"/>
    </row>
    <row r="1124" spans="11:26" x14ac:dyDescent="0.3">
      <c r="K1124" s="6"/>
      <c r="L1124" s="6"/>
      <c r="M1124" s="7"/>
      <c r="U1124" s="8"/>
      <c r="V1124" s="8"/>
      <c r="W1124" s="8"/>
      <c r="X1124" s="9"/>
      <c r="Y1124" s="6"/>
      <c r="Z1124" s="8"/>
    </row>
    <row r="1125" spans="11:26" x14ac:dyDescent="0.3">
      <c r="K1125" s="6"/>
      <c r="L1125" s="6"/>
      <c r="M1125" s="7"/>
      <c r="U1125" s="8"/>
      <c r="V1125" s="8"/>
      <c r="W1125" s="8"/>
      <c r="X1125" s="9"/>
      <c r="Y1125" s="6"/>
      <c r="Z1125" s="8"/>
    </row>
    <row r="1126" spans="11:26" x14ac:dyDescent="0.3">
      <c r="K1126" s="6"/>
      <c r="L1126" s="6"/>
      <c r="M1126" s="7"/>
      <c r="U1126" s="8"/>
      <c r="V1126" s="8"/>
      <c r="W1126" s="8"/>
      <c r="X1126" s="9"/>
      <c r="Y1126" s="6"/>
      <c r="Z1126" s="8"/>
    </row>
    <row r="1127" spans="11:26" x14ac:dyDescent="0.3">
      <c r="K1127" s="6"/>
      <c r="L1127" s="6"/>
      <c r="M1127" s="7"/>
      <c r="U1127" s="8"/>
      <c r="V1127" s="8"/>
      <c r="W1127" s="8"/>
      <c r="X1127" s="9"/>
      <c r="Y1127" s="6"/>
      <c r="Z1127" s="8"/>
    </row>
    <row r="1128" spans="11:26" x14ac:dyDescent="0.3">
      <c r="K1128" s="6"/>
      <c r="L1128" s="6"/>
      <c r="M1128" s="7"/>
      <c r="U1128" s="8"/>
      <c r="V1128" s="8"/>
      <c r="W1128" s="8"/>
      <c r="X1128" s="9"/>
      <c r="Y1128" s="6"/>
      <c r="Z1128" s="8"/>
    </row>
    <row r="1129" spans="11:26" x14ac:dyDescent="0.3">
      <c r="K1129" s="6"/>
      <c r="L1129" s="6"/>
      <c r="M1129" s="7"/>
      <c r="U1129" s="8"/>
      <c r="V1129" s="8"/>
      <c r="W1129" s="8"/>
      <c r="X1129" s="9"/>
      <c r="Y1129" s="6"/>
      <c r="Z1129" s="8"/>
    </row>
    <row r="1130" spans="11:26" x14ac:dyDescent="0.3">
      <c r="K1130" s="6"/>
      <c r="L1130" s="6"/>
      <c r="M1130" s="7"/>
      <c r="U1130" s="8"/>
      <c r="V1130" s="8"/>
      <c r="W1130" s="8"/>
      <c r="X1130" s="9"/>
      <c r="Y1130" s="6"/>
      <c r="Z1130" s="8"/>
    </row>
    <row r="1131" spans="11:26" x14ac:dyDescent="0.3">
      <c r="K1131" s="6"/>
      <c r="L1131" s="6"/>
      <c r="M1131" s="7"/>
      <c r="U1131" s="8"/>
      <c r="V1131" s="8"/>
      <c r="W1131" s="8"/>
      <c r="X1131" s="9"/>
      <c r="Y1131" s="6"/>
      <c r="Z1131" s="8"/>
    </row>
    <row r="1132" spans="11:26" x14ac:dyDescent="0.3">
      <c r="K1132" s="6"/>
      <c r="L1132" s="6"/>
      <c r="M1132" s="7"/>
      <c r="U1132" s="8"/>
      <c r="V1132" s="8"/>
      <c r="W1132" s="8"/>
      <c r="X1132" s="9"/>
      <c r="Y1132" s="6"/>
      <c r="Z1132" s="8"/>
    </row>
    <row r="1133" spans="11:26" x14ac:dyDescent="0.3">
      <c r="K1133" s="6"/>
      <c r="L1133" s="6"/>
      <c r="M1133" s="7"/>
      <c r="U1133" s="8"/>
      <c r="V1133" s="8"/>
      <c r="W1133" s="8"/>
      <c r="X1133" s="9"/>
      <c r="Y1133" s="6"/>
      <c r="Z1133" s="8"/>
    </row>
    <row r="1134" spans="11:26" x14ac:dyDescent="0.3">
      <c r="K1134" s="6"/>
      <c r="L1134" s="6"/>
      <c r="M1134" s="7"/>
      <c r="U1134" s="8"/>
      <c r="V1134" s="8"/>
      <c r="W1134" s="8"/>
      <c r="X1134" s="9"/>
      <c r="Y1134" s="6"/>
      <c r="Z1134" s="8"/>
    </row>
    <row r="1135" spans="11:26" x14ac:dyDescent="0.3">
      <c r="K1135" s="6"/>
      <c r="L1135" s="6"/>
      <c r="M1135" s="7"/>
      <c r="U1135" s="8"/>
      <c r="V1135" s="8"/>
      <c r="W1135" s="8"/>
      <c r="X1135" s="9"/>
      <c r="Y1135" s="6"/>
      <c r="Z1135" s="8"/>
    </row>
    <row r="1136" spans="11:26" x14ac:dyDescent="0.3">
      <c r="K1136" s="6"/>
      <c r="L1136" s="6"/>
      <c r="M1136" s="7"/>
      <c r="U1136" s="8"/>
      <c r="V1136" s="8"/>
      <c r="W1136" s="8"/>
      <c r="X1136" s="9"/>
      <c r="Y1136" s="6"/>
      <c r="Z1136" s="8"/>
    </row>
    <row r="1137" spans="11:26" x14ac:dyDescent="0.3">
      <c r="K1137" s="6"/>
      <c r="L1137" s="6"/>
      <c r="M1137" s="7"/>
      <c r="U1137" s="8"/>
      <c r="V1137" s="8"/>
      <c r="W1137" s="8"/>
      <c r="X1137" s="9"/>
      <c r="Y1137" s="6"/>
      <c r="Z1137" s="8"/>
    </row>
    <row r="1138" spans="11:26" x14ac:dyDescent="0.3">
      <c r="K1138" s="6"/>
      <c r="L1138" s="6"/>
      <c r="M1138" s="7"/>
      <c r="U1138" s="8"/>
      <c r="V1138" s="8"/>
      <c r="W1138" s="8"/>
      <c r="X1138" s="9"/>
      <c r="Y1138" s="6"/>
      <c r="Z1138" s="8"/>
    </row>
    <row r="1139" spans="11:26" x14ac:dyDescent="0.3">
      <c r="K1139" s="6"/>
      <c r="L1139" s="6"/>
      <c r="M1139" s="7"/>
      <c r="U1139" s="8"/>
      <c r="V1139" s="8"/>
      <c r="W1139" s="8"/>
      <c r="X1139" s="9"/>
      <c r="Y1139" s="6"/>
      <c r="Z1139" s="8"/>
    </row>
    <row r="1140" spans="11:26" x14ac:dyDescent="0.3">
      <c r="K1140" s="6"/>
      <c r="L1140" s="6"/>
      <c r="M1140" s="7"/>
      <c r="U1140" s="8"/>
      <c r="V1140" s="8"/>
      <c r="W1140" s="8"/>
      <c r="X1140" s="9"/>
      <c r="Y1140" s="6"/>
      <c r="Z1140" s="8"/>
    </row>
    <row r="1141" spans="11:26" x14ac:dyDescent="0.3">
      <c r="K1141" s="6"/>
      <c r="L1141" s="6"/>
      <c r="M1141" s="7"/>
      <c r="U1141" s="8"/>
      <c r="V1141" s="8"/>
      <c r="W1141" s="8"/>
      <c r="X1141" s="9"/>
      <c r="Y1141" s="6"/>
      <c r="Z1141" s="8"/>
    </row>
    <row r="1142" spans="11:26" x14ac:dyDescent="0.3">
      <c r="K1142" s="6"/>
      <c r="L1142" s="6"/>
      <c r="M1142" s="7"/>
      <c r="U1142" s="8"/>
      <c r="V1142" s="8"/>
      <c r="W1142" s="8"/>
      <c r="X1142" s="9"/>
      <c r="Y1142" s="6"/>
      <c r="Z1142" s="8"/>
    </row>
    <row r="1143" spans="11:26" x14ac:dyDescent="0.3">
      <c r="K1143" s="6"/>
      <c r="L1143" s="6"/>
      <c r="M1143" s="7"/>
      <c r="U1143" s="8"/>
      <c r="V1143" s="8"/>
      <c r="W1143" s="8"/>
      <c r="X1143" s="9"/>
      <c r="Y1143" s="6"/>
      <c r="Z1143" s="8"/>
    </row>
    <row r="1144" spans="11:26" x14ac:dyDescent="0.3">
      <c r="K1144" s="6"/>
      <c r="L1144" s="6"/>
      <c r="M1144" s="7"/>
      <c r="U1144" s="8"/>
      <c r="V1144" s="8"/>
      <c r="W1144" s="8"/>
      <c r="X1144" s="9"/>
      <c r="Y1144" s="6"/>
      <c r="Z1144" s="8"/>
    </row>
    <row r="1145" spans="11:26" x14ac:dyDescent="0.3">
      <c r="K1145" s="6"/>
      <c r="L1145" s="6"/>
      <c r="M1145" s="7"/>
      <c r="U1145" s="8"/>
      <c r="V1145" s="8"/>
      <c r="W1145" s="8"/>
      <c r="X1145" s="9"/>
      <c r="Y1145" s="6"/>
      <c r="Z1145" s="8"/>
    </row>
    <row r="1146" spans="11:26" x14ac:dyDescent="0.3">
      <c r="K1146" s="6"/>
      <c r="L1146" s="6"/>
      <c r="M1146" s="7"/>
      <c r="U1146" s="8"/>
      <c r="V1146" s="8"/>
      <c r="W1146" s="8"/>
      <c r="X1146" s="9"/>
      <c r="Y1146" s="6"/>
      <c r="Z1146" s="8"/>
    </row>
    <row r="1147" spans="11:26" x14ac:dyDescent="0.3">
      <c r="K1147" s="6"/>
      <c r="L1147" s="6"/>
      <c r="M1147" s="7"/>
      <c r="U1147" s="8"/>
      <c r="V1147" s="8"/>
      <c r="W1147" s="8"/>
      <c r="X1147" s="9"/>
      <c r="Y1147" s="6"/>
      <c r="Z1147" s="8"/>
    </row>
    <row r="1148" spans="11:26" x14ac:dyDescent="0.3">
      <c r="K1148" s="6"/>
      <c r="L1148" s="6"/>
      <c r="M1148" s="7"/>
      <c r="U1148" s="8"/>
      <c r="V1148" s="8"/>
      <c r="W1148" s="8"/>
      <c r="X1148" s="9"/>
      <c r="Y1148" s="6"/>
      <c r="Z1148" s="8"/>
    </row>
    <row r="1149" spans="11:26" x14ac:dyDescent="0.3">
      <c r="K1149" s="6"/>
      <c r="L1149" s="6"/>
      <c r="M1149" s="7"/>
      <c r="U1149" s="8"/>
      <c r="V1149" s="8"/>
      <c r="W1149" s="8"/>
      <c r="X1149" s="9"/>
      <c r="Y1149" s="6"/>
      <c r="Z1149" s="8"/>
    </row>
    <row r="1150" spans="11:26" x14ac:dyDescent="0.3">
      <c r="K1150" s="6"/>
      <c r="L1150" s="6"/>
      <c r="M1150" s="7"/>
      <c r="U1150" s="8"/>
      <c r="V1150" s="8"/>
      <c r="W1150" s="8"/>
      <c r="X1150" s="9"/>
      <c r="Y1150" s="6"/>
      <c r="Z1150" s="8"/>
    </row>
    <row r="1151" spans="11:26" x14ac:dyDescent="0.3">
      <c r="K1151" s="6"/>
      <c r="L1151" s="6"/>
      <c r="M1151" s="7"/>
      <c r="U1151" s="8"/>
      <c r="V1151" s="8"/>
      <c r="W1151" s="8"/>
      <c r="X1151" s="9"/>
      <c r="Y1151" s="6"/>
      <c r="Z1151" s="8"/>
    </row>
    <row r="1152" spans="11:26" x14ac:dyDescent="0.3">
      <c r="K1152" s="6"/>
      <c r="L1152" s="6"/>
      <c r="M1152" s="7"/>
      <c r="U1152" s="8"/>
      <c r="V1152" s="8"/>
      <c r="W1152" s="8"/>
      <c r="X1152" s="9"/>
      <c r="Y1152" s="6"/>
      <c r="Z1152" s="8"/>
    </row>
    <row r="1153" spans="1:26" x14ac:dyDescent="0.3">
      <c r="K1153" s="6"/>
      <c r="L1153" s="6"/>
      <c r="M1153" s="7"/>
      <c r="U1153" s="8"/>
      <c r="V1153" s="8"/>
      <c r="W1153" s="8"/>
      <c r="X1153" s="9"/>
      <c r="Y1153" s="6"/>
      <c r="Z1153" s="8"/>
    </row>
    <row r="1154" spans="1:26" x14ac:dyDescent="0.3">
      <c r="K1154" s="6"/>
      <c r="L1154" s="6"/>
      <c r="M1154" s="7"/>
      <c r="U1154" s="8"/>
      <c r="V1154" s="8"/>
      <c r="W1154" s="8"/>
      <c r="X1154" s="9"/>
      <c r="Y1154" s="6"/>
      <c r="Z1154" s="8"/>
    </row>
    <row r="1155" spans="1:26" x14ac:dyDescent="0.3">
      <c r="K1155" s="6"/>
      <c r="L1155" s="6"/>
      <c r="M1155" s="7"/>
      <c r="U1155" s="8"/>
      <c r="V1155" s="8"/>
      <c r="W1155" s="8"/>
      <c r="X1155" s="9"/>
      <c r="Y1155" s="6"/>
      <c r="Z1155" s="8"/>
    </row>
    <row r="1156" spans="1:26" x14ac:dyDescent="0.3">
      <c r="K1156" s="6"/>
      <c r="L1156" s="6"/>
      <c r="M1156" s="7"/>
      <c r="U1156" s="8"/>
      <c r="V1156" s="8"/>
      <c r="W1156" s="8"/>
      <c r="X1156" s="9"/>
      <c r="Y1156" s="6"/>
      <c r="Z1156" s="8"/>
    </row>
    <row r="1157" spans="1:26" x14ac:dyDescent="0.3">
      <c r="K1157" s="6"/>
      <c r="L1157" s="6"/>
      <c r="M1157" s="7"/>
      <c r="U1157" s="8"/>
      <c r="V1157" s="8"/>
      <c r="W1157" s="8"/>
      <c r="X1157" s="9"/>
      <c r="Y1157" s="6"/>
      <c r="Z1157" s="8"/>
    </row>
    <row r="1158" spans="1:26" x14ac:dyDescent="0.3">
      <c r="K1158" s="6"/>
      <c r="L1158" s="6"/>
      <c r="U1158" s="8"/>
      <c r="V1158" s="8"/>
      <c r="W1158" s="8"/>
      <c r="X1158" s="9"/>
      <c r="Y1158" s="6"/>
      <c r="Z1158" s="8"/>
    </row>
    <row r="1160" spans="1:26" x14ac:dyDescent="0.3">
      <c r="A1160" s="10" t="s">
        <v>1592</v>
      </c>
    </row>
  </sheetData>
  <protectedRanges>
    <protectedRange sqref="E3" name="Range1"/>
  </protectedRanges>
  <mergeCells count="1">
    <mergeCell ref="G2:H2"/>
  </mergeCells>
  <dataValidations count="1">
    <dataValidation type="list" errorStyle="information" allowBlank="1" showInputMessage="1" sqref="E3">
      <formula1>_xlfn.ANCHORARRAY($B$3)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9"/>
  <sheetViews>
    <sheetView workbookViewId="0">
      <selection activeCell="S14" sqref="S14:V19"/>
    </sheetView>
  </sheetViews>
  <sheetFormatPr defaultRowHeight="14.4" x14ac:dyDescent="0.3"/>
  <sheetData>
    <row r="1" spans="1:22" ht="15" thickBot="1" x14ac:dyDescent="0.35"/>
    <row r="2" spans="1:22" ht="15" thickBot="1" x14ac:dyDescent="0.35">
      <c r="A2" s="45" t="s">
        <v>1759</v>
      </c>
      <c r="B2" s="45" t="s">
        <v>2659</v>
      </c>
      <c r="C2" s="32"/>
      <c r="D2" s="47" t="s">
        <v>2658</v>
      </c>
      <c r="E2" s="48"/>
      <c r="F2" s="48"/>
      <c r="G2" s="49"/>
      <c r="L2" t="s">
        <v>18</v>
      </c>
    </row>
    <row r="3" spans="1:22" ht="18" thickTop="1" thickBot="1" x14ac:dyDescent="0.35">
      <c r="A3" s="46"/>
      <c r="B3" s="46"/>
      <c r="C3" s="28"/>
      <c r="D3" s="31" t="s">
        <v>2657</v>
      </c>
      <c r="E3" s="30" t="s">
        <v>2656</v>
      </c>
      <c r="F3" s="30" t="s">
        <v>2655</v>
      </c>
      <c r="G3" s="30" t="s">
        <v>2654</v>
      </c>
    </row>
    <row r="4" spans="1:22" ht="18" thickTop="1" thickBot="1" x14ac:dyDescent="0.35">
      <c r="A4" s="29"/>
      <c r="B4" s="28"/>
      <c r="C4" s="28"/>
      <c r="D4" s="27" t="s">
        <v>2653</v>
      </c>
      <c r="E4" s="27" t="s">
        <v>2652</v>
      </c>
      <c r="F4" s="27" t="s">
        <v>2651</v>
      </c>
      <c r="G4" s="27" t="s">
        <v>2650</v>
      </c>
    </row>
    <row r="5" spans="1:22" ht="15.6" thickTop="1" thickBot="1" x14ac:dyDescent="0.35">
      <c r="A5" s="50" t="s">
        <v>2649</v>
      </c>
      <c r="B5" s="23" t="s">
        <v>17</v>
      </c>
      <c r="C5" s="23"/>
      <c r="D5" s="23" t="s">
        <v>2648</v>
      </c>
      <c r="E5" s="23" t="s">
        <v>2647</v>
      </c>
      <c r="F5" s="23" t="s">
        <v>2646</v>
      </c>
      <c r="G5" s="23" t="s">
        <v>2645</v>
      </c>
    </row>
    <row r="6" spans="1:22" ht="15" thickBot="1" x14ac:dyDescent="0.35">
      <c r="A6" s="44"/>
      <c r="B6" s="25" t="s">
        <v>1775</v>
      </c>
      <c r="C6" s="25"/>
      <c r="D6" s="25" t="s">
        <v>2644</v>
      </c>
      <c r="E6" s="25" t="s">
        <v>2643</v>
      </c>
      <c r="F6" s="25" t="s">
        <v>2642</v>
      </c>
      <c r="G6" s="25" t="s">
        <v>2641</v>
      </c>
    </row>
    <row r="7" spans="1:22" ht="15" thickBot="1" x14ac:dyDescent="0.35">
      <c r="A7" s="26" t="s">
        <v>2640</v>
      </c>
      <c r="B7" s="23" t="s">
        <v>2625</v>
      </c>
      <c r="C7" s="23"/>
      <c r="D7" s="23" t="s">
        <v>2639</v>
      </c>
      <c r="E7" s="23" t="s">
        <v>2638</v>
      </c>
      <c r="F7" s="23" t="s">
        <v>2637</v>
      </c>
      <c r="G7" s="23" t="s">
        <v>2636</v>
      </c>
    </row>
    <row r="8" spans="1:22" ht="15" thickBot="1" x14ac:dyDescent="0.35">
      <c r="A8" s="43" t="s">
        <v>2635</v>
      </c>
      <c r="B8" s="23" t="s">
        <v>17</v>
      </c>
      <c r="C8" s="23"/>
      <c r="D8" s="23" t="s">
        <v>2634</v>
      </c>
      <c r="E8" s="23" t="s">
        <v>2633</v>
      </c>
      <c r="F8" s="23" t="s">
        <v>2632</v>
      </c>
      <c r="G8" s="23" t="s">
        <v>2631</v>
      </c>
    </row>
    <row r="9" spans="1:22" ht="15" thickBot="1" x14ac:dyDescent="0.35">
      <c r="A9" s="44"/>
      <c r="B9" s="25" t="s">
        <v>1775</v>
      </c>
      <c r="C9" s="25"/>
      <c r="D9" s="25" t="s">
        <v>2630</v>
      </c>
      <c r="E9" s="25" t="s">
        <v>2629</v>
      </c>
      <c r="F9" s="25" t="s">
        <v>2628</v>
      </c>
      <c r="G9" s="25" t="s">
        <v>2627</v>
      </c>
    </row>
    <row r="10" spans="1:22" ht="34.799999999999997" thickBot="1" x14ac:dyDescent="0.35">
      <c r="A10" s="24" t="s">
        <v>2626</v>
      </c>
      <c r="B10" s="23" t="s">
        <v>2625</v>
      </c>
      <c r="C10" s="23"/>
      <c r="D10" s="23" t="s">
        <v>2624</v>
      </c>
      <c r="E10" s="23" t="s">
        <v>2623</v>
      </c>
      <c r="F10" s="23" t="s">
        <v>2622</v>
      </c>
      <c r="G10" s="23" t="s">
        <v>2621</v>
      </c>
    </row>
    <row r="13" spans="1:22" x14ac:dyDescent="0.3">
      <c r="A13">
        <v>2022</v>
      </c>
      <c r="I13">
        <v>2021</v>
      </c>
      <c r="Q13">
        <v>2020</v>
      </c>
    </row>
    <row r="14" spans="1:22" x14ac:dyDescent="0.3">
      <c r="A14" t="s">
        <v>14</v>
      </c>
      <c r="B14" t="s">
        <v>17</v>
      </c>
      <c r="C14" t="str">
        <f>A14&amp;B14</f>
        <v>OfficeLarge</v>
      </c>
      <c r="D14">
        <v>122</v>
      </c>
      <c r="E14">
        <v>160</v>
      </c>
      <c r="F14">
        <v>206</v>
      </c>
      <c r="I14" t="s">
        <v>14</v>
      </c>
      <c r="J14" t="s">
        <v>17</v>
      </c>
      <c r="K14" t="str">
        <f t="shared" ref="K14:K19" si="0">I14&amp;J14</f>
        <v>OfficeLarge</v>
      </c>
      <c r="L14">
        <v>121</v>
      </c>
      <c r="M14">
        <v>156</v>
      </c>
      <c r="N14">
        <v>201</v>
      </c>
      <c r="Q14" t="s">
        <v>14</v>
      </c>
      <c r="R14" t="s">
        <v>17</v>
      </c>
      <c r="S14" t="str">
        <f t="shared" ref="S14:S19" si="1">Q14&amp;R14</f>
        <v>OfficeLarge</v>
      </c>
      <c r="T14">
        <v>124</v>
      </c>
      <c r="U14">
        <v>163</v>
      </c>
      <c r="V14">
        <v>211</v>
      </c>
    </row>
    <row r="15" spans="1:22" x14ac:dyDescent="0.3">
      <c r="A15" t="s">
        <v>14</v>
      </c>
      <c r="B15" s="1" t="s">
        <v>1588</v>
      </c>
      <c r="C15" t="str">
        <f t="shared" ref="C15:C19" si="2">A15&amp;B15</f>
        <v>OfficeMedium</v>
      </c>
      <c r="D15">
        <v>109</v>
      </c>
      <c r="E15">
        <v>255</v>
      </c>
      <c r="F15">
        <v>215</v>
      </c>
      <c r="I15" t="s">
        <v>14</v>
      </c>
      <c r="J15" s="1" t="s">
        <v>1588</v>
      </c>
      <c r="K15" t="str">
        <f t="shared" si="0"/>
        <v>OfficeMedium</v>
      </c>
      <c r="L15">
        <v>113</v>
      </c>
      <c r="M15">
        <v>151</v>
      </c>
      <c r="N15">
        <v>224</v>
      </c>
      <c r="Q15" t="s">
        <v>14</v>
      </c>
      <c r="R15" s="1" t="s">
        <v>1588</v>
      </c>
      <c r="S15" t="str">
        <f t="shared" si="1"/>
        <v>OfficeMedium</v>
      </c>
      <c r="T15">
        <v>110</v>
      </c>
      <c r="U15">
        <v>142</v>
      </c>
      <c r="V15">
        <v>225</v>
      </c>
    </row>
    <row r="16" spans="1:22" x14ac:dyDescent="0.3">
      <c r="A16" t="s">
        <v>29</v>
      </c>
      <c r="C16" t="str">
        <f t="shared" si="2"/>
        <v>Hotel</v>
      </c>
      <c r="D16">
        <v>199</v>
      </c>
      <c r="E16">
        <v>232</v>
      </c>
      <c r="F16">
        <v>284</v>
      </c>
      <c r="I16" t="s">
        <v>29</v>
      </c>
      <c r="K16" t="str">
        <f t="shared" si="0"/>
        <v>Hotel</v>
      </c>
      <c r="L16">
        <v>189</v>
      </c>
      <c r="M16">
        <v>219</v>
      </c>
      <c r="N16">
        <v>276</v>
      </c>
      <c r="Q16" t="s">
        <v>29</v>
      </c>
      <c r="S16" t="str">
        <f t="shared" si="1"/>
        <v>Hotel</v>
      </c>
      <c r="T16">
        <v>187</v>
      </c>
      <c r="U16">
        <v>219</v>
      </c>
      <c r="V16">
        <v>270</v>
      </c>
    </row>
    <row r="17" spans="1:22" x14ac:dyDescent="0.3">
      <c r="A17" t="s">
        <v>12</v>
      </c>
      <c r="B17" t="s">
        <v>17</v>
      </c>
      <c r="C17" t="str">
        <f t="shared" si="2"/>
        <v>RetailLarge</v>
      </c>
      <c r="D17">
        <v>189</v>
      </c>
      <c r="E17">
        <v>367</v>
      </c>
      <c r="F17">
        <v>472</v>
      </c>
      <c r="I17" t="s">
        <v>12</v>
      </c>
      <c r="J17" t="s">
        <v>17</v>
      </c>
      <c r="K17" t="str">
        <f t="shared" si="0"/>
        <v>RetailLarge</v>
      </c>
      <c r="L17">
        <v>196</v>
      </c>
      <c r="M17">
        <v>389</v>
      </c>
      <c r="N17">
        <v>509</v>
      </c>
      <c r="Q17" t="s">
        <v>12</v>
      </c>
      <c r="R17" t="s">
        <v>17</v>
      </c>
      <c r="S17" t="str">
        <f t="shared" si="1"/>
        <v>RetailLarge</v>
      </c>
      <c r="T17">
        <v>190</v>
      </c>
      <c r="U17">
        <v>390</v>
      </c>
      <c r="V17">
        <v>460</v>
      </c>
    </row>
    <row r="18" spans="1:22" x14ac:dyDescent="0.3">
      <c r="A18" t="s">
        <v>12</v>
      </c>
      <c r="B18" s="1" t="s">
        <v>1588</v>
      </c>
      <c r="C18" t="str">
        <f t="shared" si="2"/>
        <v>RetailMedium</v>
      </c>
      <c r="D18">
        <v>243</v>
      </c>
      <c r="E18">
        <v>331</v>
      </c>
      <c r="F18">
        <v>480</v>
      </c>
      <c r="I18" t="s">
        <v>12</v>
      </c>
      <c r="J18" s="1" t="s">
        <v>1588</v>
      </c>
      <c r="K18" t="str">
        <f t="shared" si="0"/>
        <v>RetailMedium</v>
      </c>
      <c r="L18">
        <v>227</v>
      </c>
      <c r="M18">
        <v>345</v>
      </c>
      <c r="N18">
        <v>533</v>
      </c>
      <c r="Q18" t="s">
        <v>12</v>
      </c>
      <c r="R18" s="1" t="s">
        <v>1588</v>
      </c>
      <c r="S18" t="str">
        <f t="shared" si="1"/>
        <v>RetailMedium</v>
      </c>
      <c r="T18">
        <v>216</v>
      </c>
      <c r="U18">
        <v>294</v>
      </c>
      <c r="V18">
        <v>434</v>
      </c>
    </row>
    <row r="19" spans="1:22" x14ac:dyDescent="0.3">
      <c r="A19" t="s">
        <v>8</v>
      </c>
      <c r="C19" t="str">
        <f t="shared" si="2"/>
        <v>Mixed Development</v>
      </c>
      <c r="D19">
        <v>180</v>
      </c>
      <c r="E19">
        <v>226</v>
      </c>
      <c r="F19">
        <v>259</v>
      </c>
      <c r="I19" t="s">
        <v>8</v>
      </c>
      <c r="K19" t="str">
        <f t="shared" si="0"/>
        <v>Mixed Development</v>
      </c>
      <c r="L19">
        <v>177</v>
      </c>
      <c r="M19">
        <v>224</v>
      </c>
      <c r="N19">
        <v>270</v>
      </c>
      <c r="Q19" t="s">
        <v>8</v>
      </c>
      <c r="S19" t="str">
        <f t="shared" si="1"/>
        <v>Mixed Development</v>
      </c>
      <c r="T19">
        <v>170</v>
      </c>
      <c r="U19">
        <v>199</v>
      </c>
      <c r="V19">
        <v>289</v>
      </c>
    </row>
  </sheetData>
  <mergeCells count="5">
    <mergeCell ref="A8:A9"/>
    <mergeCell ref="A2:A3"/>
    <mergeCell ref="B2:B3"/>
    <mergeCell ref="D2:G2"/>
    <mergeCell ref="A5:A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129"/>
  <sheetViews>
    <sheetView zoomScale="85" zoomScaleNormal="85" workbookViewId="0">
      <pane xSplit="1" topLeftCell="B1" activePane="topRight" state="frozen"/>
      <selection pane="topRight" activeCell="B1" sqref="B1"/>
    </sheetView>
  </sheetViews>
  <sheetFormatPr defaultColWidth="27.77734375" defaultRowHeight="14.4" x14ac:dyDescent="0.3"/>
  <cols>
    <col min="1" max="1" width="48.5546875" style="1" customWidth="1"/>
    <col min="2" max="2" width="51.33203125" style="1" customWidth="1"/>
    <col min="3" max="3" width="33.33203125" style="1" customWidth="1"/>
    <col min="4" max="4" width="20.33203125" style="1" customWidth="1"/>
    <col min="5" max="5" width="15.5546875" style="1" customWidth="1"/>
    <col min="6" max="9" width="12.21875" style="1" customWidth="1"/>
    <col min="10" max="10" width="22.33203125" style="1" customWidth="1"/>
    <col min="11" max="11" width="17.77734375" style="1" customWidth="1"/>
    <col min="12" max="12" width="27.77734375" style="1" customWidth="1"/>
    <col min="13" max="13" width="27.109375" style="1" customWidth="1"/>
    <col min="14" max="14" width="15" style="1" customWidth="1"/>
    <col min="15" max="15" width="12.21875" style="1" customWidth="1"/>
    <col min="16" max="16" width="21.5546875" style="1" customWidth="1"/>
    <col min="17" max="17" width="27.5546875" style="2" customWidth="1"/>
    <col min="18" max="18" width="21.77734375" style="1" customWidth="1"/>
    <col min="19" max="19" width="36.77734375" style="1" customWidth="1"/>
    <col min="20" max="20" width="23.77734375" style="1" customWidth="1"/>
    <col min="21" max="21" width="36.77734375" style="1" customWidth="1"/>
    <col min="22" max="22" width="21.77734375" style="1" bestFit="1" customWidth="1"/>
    <col min="23" max="23" width="33.33203125" style="1" customWidth="1"/>
    <col min="24" max="24" width="77.77734375" style="1" customWidth="1"/>
  </cols>
  <sheetData>
    <row r="1" spans="1:24" s="3" customFormat="1" ht="43.2" x14ac:dyDescent="0.3">
      <c r="A1" s="4" t="s">
        <v>0</v>
      </c>
      <c r="B1" s="4" t="s">
        <v>1</v>
      </c>
      <c r="C1" s="4" t="s">
        <v>1759</v>
      </c>
      <c r="D1" s="4" t="s">
        <v>7</v>
      </c>
      <c r="E1" s="4" t="s">
        <v>1760</v>
      </c>
      <c r="F1" s="4" t="s">
        <v>6</v>
      </c>
      <c r="G1" s="4" t="s">
        <v>1594</v>
      </c>
      <c r="H1" s="4" t="s">
        <v>1595</v>
      </c>
      <c r="I1" s="4" t="s">
        <v>1596</v>
      </c>
      <c r="J1" s="4" t="s">
        <v>1761</v>
      </c>
      <c r="K1" s="4" t="s">
        <v>1762</v>
      </c>
      <c r="L1" s="4" t="s">
        <v>1763</v>
      </c>
      <c r="M1" s="4" t="s">
        <v>1764</v>
      </c>
      <c r="N1" s="4" t="s">
        <v>2</v>
      </c>
      <c r="O1" s="4" t="s">
        <v>3</v>
      </c>
      <c r="P1" s="4" t="s">
        <v>4</v>
      </c>
      <c r="Q1" s="5" t="s">
        <v>5</v>
      </c>
      <c r="R1" s="4" t="s">
        <v>1765</v>
      </c>
      <c r="S1" s="4" t="s">
        <v>1766</v>
      </c>
      <c r="T1" s="4" t="s">
        <v>1768</v>
      </c>
      <c r="U1" s="4" t="s">
        <v>1767</v>
      </c>
      <c r="V1" s="4" t="s">
        <v>2619</v>
      </c>
      <c r="W1" s="4" t="s">
        <v>2620</v>
      </c>
      <c r="X1" s="4" t="s">
        <v>1772</v>
      </c>
    </row>
    <row r="2" spans="1:24" x14ac:dyDescent="0.3">
      <c r="A2" s="1" t="s">
        <v>2374</v>
      </c>
      <c r="B2" s="1" t="s">
        <v>1571</v>
      </c>
      <c r="C2" s="1" t="s">
        <v>1586</v>
      </c>
      <c r="D2" s="1" t="s">
        <v>14</v>
      </c>
      <c r="E2" s="1" t="s">
        <v>17</v>
      </c>
      <c r="F2" s="1">
        <v>2015</v>
      </c>
      <c r="G2" s="1" t="s">
        <v>19</v>
      </c>
      <c r="H2" s="1">
        <v>2022</v>
      </c>
      <c r="I2" s="1" t="s">
        <v>1607</v>
      </c>
      <c r="J2" s="6">
        <v>35218</v>
      </c>
      <c r="K2" s="6">
        <v>28536</v>
      </c>
      <c r="L2" s="21">
        <v>0.81026747685842471</v>
      </c>
      <c r="M2" s="1">
        <v>0</v>
      </c>
      <c r="N2" s="1" t="s">
        <v>1589</v>
      </c>
      <c r="O2" s="1">
        <v>7</v>
      </c>
      <c r="P2" s="1">
        <v>0.74399999999999999</v>
      </c>
      <c r="Q2" s="22">
        <v>45049</v>
      </c>
      <c r="R2" s="8">
        <v>3724.675904367085</v>
      </c>
      <c r="S2" s="9" t="str">
        <f>IFERROR(IF(R2&lt;=VLOOKUP($D2&amp;$E2,Benchmarks!$S$14:$V$19,2,FALSE),"Top Quartile",IF(R2&lt;=VLOOKUP($D2&amp;$E2,Benchmarks!$S$14:$V$19,3,FALSE),"2nd Quartile",IF(R2&lt;=VLOOKUP($D2&amp;$E2,Benchmarks!$S$14:$V$19,4,FALSE),"3rd Quartile",IF(R2&gt;VLOOKUP($D2&amp;$E2,Benchmarks!$S$14:$V$19,4,FALSE),"Bottom Quartile","")))),"")</f>
        <v>Bottom Quartile</v>
      </c>
      <c r="T2" s="8">
        <v>4453.2057754557327</v>
      </c>
      <c r="U2" s="9" t="str">
        <f>IFERROR(IF(T2&lt;=VLOOKUP($D2&amp;$E2,Benchmarks!$K$14:$N$19,2,FALSE),"Top Quartile",IF(T2&lt;=VLOOKUP($D2&amp;$E2,Benchmarks!$K$14:$N$19,3,FALSE),"2nd Quartile",IF(T2&lt;=VLOOKUP($D2&amp;$E2,Benchmarks!$K$14:$N$19,4,FALSE),"3rd Quartile",IF(T2&gt;VLOOKUP($D2&amp;$E2,Benchmarks!$K$14:$N$19,4,FALSE),"Bottom Quartile","")))),"")</f>
        <v>Bottom Quartile</v>
      </c>
      <c r="V2" s="8">
        <v>4579.5895280822306</v>
      </c>
      <c r="W2" s="8" t="str">
        <f>IFERROR(IF(V2&lt;=VLOOKUP($D2&amp;$E2,Benchmarks!$C$14:$F$19,2,FALSE),"Top Quartile",IF(V2&lt;=VLOOKUP($D2&amp;$E2,Benchmarks!$C$14:$F$19,3,FALSE),"2nd Quartile",IF(V2&lt;=VLOOKUP($D2&amp;$E2,Benchmarks!$C$14:$F$19,4,FALSE),"3rd Quartile",IF(V2&gt;VLOOKUP($D2&amp;$E2,Benchmarks!$C$14:$F$19,4,FALSE),"Bottom Quartile","")))),"")</f>
        <v>Bottom Quartile</v>
      </c>
      <c r="X2" s="8" t="s">
        <v>1773</v>
      </c>
    </row>
    <row r="3" spans="1:24" x14ac:dyDescent="0.3">
      <c r="A3" s="1" t="s">
        <v>1788</v>
      </c>
      <c r="B3" s="1" t="s">
        <v>1789</v>
      </c>
      <c r="C3" s="1" t="s">
        <v>1586</v>
      </c>
      <c r="D3" s="1" t="s">
        <v>14</v>
      </c>
      <c r="E3" s="1" t="s">
        <v>17</v>
      </c>
      <c r="F3" s="1">
        <v>1999</v>
      </c>
      <c r="J3" s="6">
        <v>38349</v>
      </c>
      <c r="K3" s="6">
        <v>20000</v>
      </c>
      <c r="L3" s="21">
        <v>0.52152598503220426</v>
      </c>
      <c r="M3" s="1">
        <v>0</v>
      </c>
      <c r="N3" s="1" t="s">
        <v>1589</v>
      </c>
      <c r="O3" s="1">
        <v>20</v>
      </c>
      <c r="P3" s="1" t="s">
        <v>18</v>
      </c>
      <c r="Q3" s="22" t="s">
        <v>18</v>
      </c>
      <c r="R3" s="8">
        <v>2043.5498938694616</v>
      </c>
      <c r="S3" s="9" t="s">
        <v>2654</v>
      </c>
      <c r="T3" s="8">
        <v>2213.9957524316151</v>
      </c>
      <c r="U3" s="9" t="s">
        <v>2654</v>
      </c>
      <c r="V3" s="8">
        <v>2305.2968651073043</v>
      </c>
      <c r="W3" s="8" t="s">
        <v>2654</v>
      </c>
      <c r="X3" s="8" t="s">
        <v>1773</v>
      </c>
    </row>
    <row r="4" spans="1:24" x14ac:dyDescent="0.3">
      <c r="A4" s="1" t="s">
        <v>1287</v>
      </c>
      <c r="B4" s="1" t="s">
        <v>1288</v>
      </c>
      <c r="C4" s="1" t="s">
        <v>1586</v>
      </c>
      <c r="D4" s="1" t="s">
        <v>14</v>
      </c>
      <c r="E4" s="1" t="s">
        <v>17</v>
      </c>
      <c r="F4" s="1">
        <v>2014</v>
      </c>
      <c r="G4" s="1" t="s">
        <v>19</v>
      </c>
      <c r="H4" s="1">
        <v>2020</v>
      </c>
      <c r="I4" s="1" t="s">
        <v>1603</v>
      </c>
      <c r="J4" s="6">
        <v>19173</v>
      </c>
      <c r="K4" s="6">
        <v>19173</v>
      </c>
      <c r="L4" s="21">
        <v>1</v>
      </c>
      <c r="M4" s="1">
        <v>0</v>
      </c>
      <c r="N4" s="1" t="s">
        <v>1589</v>
      </c>
      <c r="O4" s="1">
        <v>5</v>
      </c>
      <c r="P4" s="1">
        <v>0.57799999999999996</v>
      </c>
      <c r="Q4" s="22">
        <v>44977</v>
      </c>
      <c r="R4" s="8">
        <v>1157.4027538726334</v>
      </c>
      <c r="S4" s="9" t="s">
        <v>2654</v>
      </c>
      <c r="T4" s="8">
        <v>1182.1218119230168</v>
      </c>
      <c r="U4" s="9" t="s">
        <v>2654</v>
      </c>
      <c r="V4" s="8">
        <v>1150.5562900954467</v>
      </c>
      <c r="W4" s="8" t="s">
        <v>2654</v>
      </c>
      <c r="X4" s="8" t="s">
        <v>1773</v>
      </c>
    </row>
    <row r="5" spans="1:24" x14ac:dyDescent="0.3">
      <c r="A5" s="1" t="s">
        <v>2211</v>
      </c>
      <c r="B5" s="1" t="s">
        <v>2549</v>
      </c>
      <c r="C5" s="1" t="s">
        <v>1586</v>
      </c>
      <c r="D5" s="1" t="s">
        <v>14</v>
      </c>
      <c r="E5" s="1" t="s">
        <v>17</v>
      </c>
      <c r="F5" s="1">
        <v>1986</v>
      </c>
      <c r="J5" s="6">
        <v>15819.43</v>
      </c>
      <c r="K5" s="6">
        <v>12724</v>
      </c>
      <c r="L5" s="21">
        <v>0.80432733669923628</v>
      </c>
      <c r="M5" s="1">
        <v>0</v>
      </c>
      <c r="N5" s="1" t="s">
        <v>1589</v>
      </c>
      <c r="O5" s="1" t="s">
        <v>18</v>
      </c>
      <c r="P5" s="1" t="s">
        <v>18</v>
      </c>
      <c r="Q5" s="22" t="s">
        <v>18</v>
      </c>
      <c r="R5" s="8">
        <v>553.08993434023853</v>
      </c>
      <c r="S5" s="9" t="s">
        <v>2654</v>
      </c>
      <c r="T5" s="8">
        <v>660.88190282456446</v>
      </c>
      <c r="U5" s="9" t="s">
        <v>2654</v>
      </c>
      <c r="V5" s="8">
        <v>805.35280032213552</v>
      </c>
      <c r="W5" s="8" t="s">
        <v>2654</v>
      </c>
      <c r="X5" s="8"/>
    </row>
    <row r="6" spans="1:24" x14ac:dyDescent="0.3">
      <c r="A6" s="1" t="s">
        <v>1454</v>
      </c>
      <c r="B6" s="1" t="s">
        <v>1455</v>
      </c>
      <c r="C6" s="1" t="s">
        <v>1586</v>
      </c>
      <c r="D6" s="1" t="s">
        <v>14</v>
      </c>
      <c r="E6" s="1" t="s">
        <v>17</v>
      </c>
      <c r="F6" s="1">
        <v>1995</v>
      </c>
      <c r="G6" s="1" t="s">
        <v>21</v>
      </c>
      <c r="H6" s="1">
        <v>2022</v>
      </c>
      <c r="I6" s="1" t="s">
        <v>1601</v>
      </c>
      <c r="J6" s="6">
        <v>30469</v>
      </c>
      <c r="K6" s="6">
        <v>22476</v>
      </c>
      <c r="L6" s="21">
        <v>0.73766779349502776</v>
      </c>
      <c r="M6" s="1">
        <v>0</v>
      </c>
      <c r="N6" s="1" t="s">
        <v>1589</v>
      </c>
      <c r="O6" s="1">
        <v>8</v>
      </c>
      <c r="P6" s="1">
        <v>0.58199999999999996</v>
      </c>
      <c r="Q6" s="22">
        <v>44470</v>
      </c>
      <c r="R6" s="8">
        <v>712.94639633726081</v>
      </c>
      <c r="S6" s="9" t="s">
        <v>2654</v>
      </c>
      <c r="T6" s="8">
        <v>712.22323935803604</v>
      </c>
      <c r="U6" s="9" t="s">
        <v>2654</v>
      </c>
      <c r="V6" s="8">
        <v>723.91930322622989</v>
      </c>
      <c r="W6" s="8" t="s">
        <v>2654</v>
      </c>
      <c r="X6" s="8" t="s">
        <v>1773</v>
      </c>
    </row>
    <row r="7" spans="1:24" x14ac:dyDescent="0.3">
      <c r="A7" s="1" t="s">
        <v>1322</v>
      </c>
      <c r="B7" s="1" t="s">
        <v>1323</v>
      </c>
      <c r="C7" s="1" t="s">
        <v>1586</v>
      </c>
      <c r="D7" s="1" t="s">
        <v>14</v>
      </c>
      <c r="E7" s="1" t="s">
        <v>17</v>
      </c>
      <c r="F7" s="1">
        <v>1995</v>
      </c>
      <c r="J7" s="6">
        <v>31179</v>
      </c>
      <c r="K7" s="6">
        <v>21500</v>
      </c>
      <c r="L7" s="21">
        <v>0.68956669553224925</v>
      </c>
      <c r="M7" s="1">
        <v>0</v>
      </c>
      <c r="N7" s="1" t="s">
        <v>1589</v>
      </c>
      <c r="O7" s="1">
        <v>27</v>
      </c>
      <c r="P7" s="1" t="s">
        <v>18</v>
      </c>
      <c r="Q7" s="22" t="s">
        <v>18</v>
      </c>
      <c r="R7" s="8">
        <v>790.92122903236157</v>
      </c>
      <c r="S7" s="9" t="s">
        <v>2654</v>
      </c>
      <c r="T7" s="8">
        <v>753.6836332146637</v>
      </c>
      <c r="U7" s="9" t="s">
        <v>2654</v>
      </c>
      <c r="V7" s="8">
        <v>695.23615253856758</v>
      </c>
      <c r="W7" s="8" t="s">
        <v>2654</v>
      </c>
      <c r="X7" s="8" t="s">
        <v>1773</v>
      </c>
    </row>
    <row r="8" spans="1:24" x14ac:dyDescent="0.3">
      <c r="A8" s="1" t="s">
        <v>498</v>
      </c>
      <c r="B8" s="1" t="s">
        <v>499</v>
      </c>
      <c r="C8" s="1" t="s">
        <v>1586</v>
      </c>
      <c r="D8" s="1" t="s">
        <v>14</v>
      </c>
      <c r="E8" s="1" t="s">
        <v>17</v>
      </c>
      <c r="F8" s="1">
        <v>2008</v>
      </c>
      <c r="G8" s="1" t="s">
        <v>21</v>
      </c>
      <c r="H8" s="1">
        <v>2016</v>
      </c>
      <c r="I8" s="1" t="s">
        <v>1601</v>
      </c>
      <c r="J8" s="6">
        <v>36007</v>
      </c>
      <c r="K8" s="6">
        <v>25895</v>
      </c>
      <c r="L8" s="21">
        <v>0.71916571777709892</v>
      </c>
      <c r="M8" s="1">
        <v>0</v>
      </c>
      <c r="N8" s="1" t="s">
        <v>1821</v>
      </c>
      <c r="O8" s="1" t="s">
        <v>18</v>
      </c>
      <c r="P8" s="1">
        <v>0.05</v>
      </c>
      <c r="Q8" s="22">
        <v>40391</v>
      </c>
      <c r="R8" s="8">
        <v>641.82718985578492</v>
      </c>
      <c r="S8" s="9"/>
      <c r="T8" s="8">
        <v>649.48149154843838</v>
      </c>
      <c r="U8" s="9"/>
      <c r="V8" s="8">
        <v>658.71549696820716</v>
      </c>
      <c r="W8" s="8"/>
      <c r="X8" s="8"/>
    </row>
    <row r="9" spans="1:24" x14ac:dyDescent="0.3">
      <c r="A9" s="1" t="s">
        <v>1256</v>
      </c>
      <c r="B9" s="1" t="s">
        <v>1257</v>
      </c>
      <c r="C9" s="1" t="s">
        <v>1586</v>
      </c>
      <c r="D9" s="1" t="s">
        <v>14</v>
      </c>
      <c r="E9" s="1" t="s">
        <v>17</v>
      </c>
      <c r="F9" s="1">
        <v>2011</v>
      </c>
      <c r="G9" s="1" t="s">
        <v>47</v>
      </c>
      <c r="H9" s="1">
        <v>2021</v>
      </c>
      <c r="I9" s="1" t="s">
        <v>1599</v>
      </c>
      <c r="J9" s="6">
        <v>20190</v>
      </c>
      <c r="K9" s="6">
        <v>16870</v>
      </c>
      <c r="L9" s="21">
        <v>0.83556215948489354</v>
      </c>
      <c r="M9" s="1">
        <v>0</v>
      </c>
      <c r="N9" s="1" t="s">
        <v>1589</v>
      </c>
      <c r="O9" s="1">
        <v>12</v>
      </c>
      <c r="P9" s="1" t="s">
        <v>18</v>
      </c>
      <c r="Q9" s="22" t="s">
        <v>18</v>
      </c>
      <c r="R9" s="8">
        <v>566.20564635958397</v>
      </c>
      <c r="S9" s="9" t="s">
        <v>2654</v>
      </c>
      <c r="T9" s="8">
        <v>529.39249678058445</v>
      </c>
      <c r="U9" s="9" t="s">
        <v>2654</v>
      </c>
      <c r="V9" s="8">
        <v>568.24349925705792</v>
      </c>
      <c r="W9" s="8" t="s">
        <v>2654</v>
      </c>
      <c r="X9" s="8" t="s">
        <v>1773</v>
      </c>
    </row>
    <row r="10" spans="1:24" x14ac:dyDescent="0.3">
      <c r="A10" s="1" t="s">
        <v>1885</v>
      </c>
      <c r="B10" s="1" t="s">
        <v>1886</v>
      </c>
      <c r="C10" s="1" t="s">
        <v>1586</v>
      </c>
      <c r="D10" s="1" t="s">
        <v>14</v>
      </c>
      <c r="E10" s="1" t="s">
        <v>17</v>
      </c>
      <c r="F10" s="1">
        <v>2007</v>
      </c>
      <c r="G10" s="1" t="s">
        <v>19</v>
      </c>
      <c r="H10" s="1">
        <v>2007</v>
      </c>
      <c r="I10" s="1" t="s">
        <v>1606</v>
      </c>
      <c r="J10" s="6">
        <v>20619</v>
      </c>
      <c r="K10" s="6">
        <v>13947</v>
      </c>
      <c r="L10" s="21">
        <v>0.67641495707842281</v>
      </c>
      <c r="M10" s="1">
        <v>0</v>
      </c>
      <c r="N10" s="1" t="s">
        <v>1821</v>
      </c>
      <c r="O10" s="1" t="s">
        <v>18</v>
      </c>
      <c r="P10" s="1" t="s">
        <v>18</v>
      </c>
      <c r="Q10" s="22" t="s">
        <v>18</v>
      </c>
      <c r="R10" s="8">
        <v>495.96940928270044</v>
      </c>
      <c r="S10" s="9"/>
      <c r="T10" s="8">
        <v>521.52153353702897</v>
      </c>
      <c r="U10" s="9"/>
      <c r="V10" s="8">
        <v>522.81229109074161</v>
      </c>
      <c r="W10" s="8"/>
      <c r="X10" s="8"/>
    </row>
    <row r="11" spans="1:24" x14ac:dyDescent="0.3">
      <c r="A11" s="1" t="s">
        <v>1283</v>
      </c>
      <c r="B11" s="1" t="s">
        <v>1284</v>
      </c>
      <c r="C11" s="1" t="s">
        <v>1586</v>
      </c>
      <c r="D11" s="1" t="s">
        <v>14</v>
      </c>
      <c r="E11" s="1" t="s">
        <v>17</v>
      </c>
      <c r="F11" s="1">
        <v>2014</v>
      </c>
      <c r="G11" s="1" t="s">
        <v>25</v>
      </c>
      <c r="H11" s="1">
        <v>2023</v>
      </c>
      <c r="I11" s="1" t="s">
        <v>1783</v>
      </c>
      <c r="J11" s="6">
        <v>41193</v>
      </c>
      <c r="K11" s="6">
        <v>30413</v>
      </c>
      <c r="L11" s="21">
        <v>0.73830505182919426</v>
      </c>
      <c r="M11" s="1">
        <v>0</v>
      </c>
      <c r="N11" s="1" t="s">
        <v>1589</v>
      </c>
      <c r="O11" s="1">
        <v>5</v>
      </c>
      <c r="P11" s="1">
        <v>0.57799999999999996</v>
      </c>
      <c r="Q11" s="22">
        <v>44977</v>
      </c>
      <c r="R11" s="8">
        <v>503.36340324812454</v>
      </c>
      <c r="S11" s="9" t="s">
        <v>2654</v>
      </c>
      <c r="T11" s="8">
        <v>491.18200640885578</v>
      </c>
      <c r="U11" s="9" t="s">
        <v>2654</v>
      </c>
      <c r="V11" s="8">
        <v>494.47539994659286</v>
      </c>
      <c r="W11" s="8" t="s">
        <v>2654</v>
      </c>
      <c r="X11" s="8"/>
    </row>
    <row r="12" spans="1:24" x14ac:dyDescent="0.3">
      <c r="A12" s="1" t="s">
        <v>2027</v>
      </c>
      <c r="B12" s="1" t="s">
        <v>1570</v>
      </c>
      <c r="C12" s="1" t="s">
        <v>1586</v>
      </c>
      <c r="D12" s="1" t="s">
        <v>14</v>
      </c>
      <c r="E12" s="1" t="s">
        <v>17</v>
      </c>
      <c r="F12" s="1">
        <v>2017</v>
      </c>
      <c r="J12" s="6">
        <v>141841</v>
      </c>
      <c r="K12" s="6">
        <v>105166</v>
      </c>
      <c r="L12" s="21">
        <v>0.74143583308070304</v>
      </c>
      <c r="M12" s="1">
        <v>0</v>
      </c>
      <c r="N12" s="1" t="s">
        <v>1589</v>
      </c>
      <c r="O12" s="1">
        <v>2</v>
      </c>
      <c r="P12" s="1">
        <v>0.62</v>
      </c>
      <c r="Q12" s="22">
        <v>42795</v>
      </c>
      <c r="R12" s="8">
        <v>520.52023907050852</v>
      </c>
      <c r="S12" s="9" t="s">
        <v>2654</v>
      </c>
      <c r="T12" s="8">
        <v>360.17597344914378</v>
      </c>
      <c r="U12" s="9" t="s">
        <v>2654</v>
      </c>
      <c r="V12" s="8">
        <v>490.10717676835333</v>
      </c>
      <c r="W12" s="8" t="s">
        <v>2654</v>
      </c>
      <c r="X12" s="8"/>
    </row>
    <row r="13" spans="1:24" x14ac:dyDescent="0.3">
      <c r="A13" s="1" t="s">
        <v>1091</v>
      </c>
      <c r="B13" s="1" t="s">
        <v>1092</v>
      </c>
      <c r="C13" s="1" t="s">
        <v>1586</v>
      </c>
      <c r="D13" s="1" t="s">
        <v>14</v>
      </c>
      <c r="E13" s="1" t="s">
        <v>17</v>
      </c>
      <c r="F13" s="1">
        <v>1996</v>
      </c>
      <c r="G13" s="1" t="s">
        <v>19</v>
      </c>
      <c r="H13" s="1">
        <v>2020</v>
      </c>
      <c r="I13" s="1" t="s">
        <v>1597</v>
      </c>
      <c r="J13" s="6">
        <v>32147.8</v>
      </c>
      <c r="K13" s="6">
        <v>23595</v>
      </c>
      <c r="L13" s="21">
        <v>0.73395380088217543</v>
      </c>
      <c r="M13" s="1">
        <v>0</v>
      </c>
      <c r="N13" s="1" t="s">
        <v>1589</v>
      </c>
      <c r="O13" s="1">
        <v>9</v>
      </c>
      <c r="P13" s="1">
        <v>0.65</v>
      </c>
      <c r="Q13" s="22">
        <v>43836</v>
      </c>
      <c r="R13" s="8">
        <v>148.40478104255968</v>
      </c>
      <c r="S13" s="9" t="s">
        <v>2656</v>
      </c>
      <c r="T13" s="8">
        <v>507.23150573289621</v>
      </c>
      <c r="U13" s="9" t="s">
        <v>2654</v>
      </c>
      <c r="V13" s="8">
        <v>483.30921556062935</v>
      </c>
      <c r="W13" s="8" t="s">
        <v>2654</v>
      </c>
      <c r="X13" s="8"/>
    </row>
    <row r="14" spans="1:24" x14ac:dyDescent="0.3">
      <c r="A14" s="1" t="s">
        <v>930</v>
      </c>
      <c r="B14" s="1" t="s">
        <v>931</v>
      </c>
      <c r="C14" s="1" t="s">
        <v>1586</v>
      </c>
      <c r="D14" s="1" t="s">
        <v>14</v>
      </c>
      <c r="E14" s="1" t="s">
        <v>17</v>
      </c>
      <c r="F14" s="1">
        <v>2014</v>
      </c>
      <c r="G14" s="1" t="s">
        <v>19</v>
      </c>
      <c r="H14" s="1">
        <v>2015</v>
      </c>
      <c r="I14" s="1" t="s">
        <v>1598</v>
      </c>
      <c r="J14" s="6">
        <v>40880</v>
      </c>
      <c r="K14" s="6">
        <v>35333</v>
      </c>
      <c r="L14" s="21">
        <v>0.86431017612524463</v>
      </c>
      <c r="M14" s="1">
        <v>0</v>
      </c>
      <c r="N14" s="1" t="s">
        <v>1821</v>
      </c>
      <c r="O14" s="1" t="s">
        <v>18</v>
      </c>
      <c r="P14" s="1" t="s">
        <v>18</v>
      </c>
      <c r="Q14" s="22" t="s">
        <v>18</v>
      </c>
      <c r="R14" s="8">
        <v>492.7328033268102</v>
      </c>
      <c r="S14" s="9"/>
      <c r="T14" s="8">
        <v>482.50437866927592</v>
      </c>
      <c r="U14" s="9"/>
      <c r="V14" s="8">
        <v>456.91308708414874</v>
      </c>
      <c r="W14" s="8"/>
      <c r="X14" s="8"/>
    </row>
    <row r="15" spans="1:24" x14ac:dyDescent="0.3">
      <c r="A15" s="1" t="s">
        <v>2016</v>
      </c>
      <c r="B15" s="1" t="s">
        <v>352</v>
      </c>
      <c r="C15" s="1" t="s">
        <v>1586</v>
      </c>
      <c r="D15" s="1" t="s">
        <v>14</v>
      </c>
      <c r="E15" s="1" t="s">
        <v>17</v>
      </c>
      <c r="F15" s="1">
        <v>1988</v>
      </c>
      <c r="G15" s="1" t="s">
        <v>19</v>
      </c>
      <c r="H15" s="1">
        <v>2022</v>
      </c>
      <c r="I15" s="1" t="s">
        <v>1818</v>
      </c>
      <c r="J15" s="6">
        <v>17284</v>
      </c>
      <c r="K15" s="6">
        <v>15751</v>
      </c>
      <c r="L15" s="21">
        <v>0.91130525341356172</v>
      </c>
      <c r="M15" s="1">
        <v>0</v>
      </c>
      <c r="N15" s="1" t="s">
        <v>1589</v>
      </c>
      <c r="O15" s="1">
        <v>3</v>
      </c>
      <c r="P15" s="1">
        <v>0.58399999999999996</v>
      </c>
      <c r="Q15" s="22">
        <v>44715</v>
      </c>
      <c r="R15" s="8">
        <v>447.36173802360565</v>
      </c>
      <c r="S15" s="9" t="s">
        <v>2654</v>
      </c>
      <c r="T15" s="8">
        <v>458.8381526267068</v>
      </c>
      <c r="U15" s="9" t="s">
        <v>2654</v>
      </c>
      <c r="V15" s="8">
        <v>438.14511918537374</v>
      </c>
      <c r="W15" s="8" t="s">
        <v>2654</v>
      </c>
      <c r="X15" s="8" t="s">
        <v>1773</v>
      </c>
    </row>
    <row r="16" spans="1:24" x14ac:dyDescent="0.3">
      <c r="A16" s="1" t="s">
        <v>1779</v>
      </c>
      <c r="B16" s="1" t="s">
        <v>1780</v>
      </c>
      <c r="C16" s="1" t="s">
        <v>1586</v>
      </c>
      <c r="D16" s="1" t="s">
        <v>14</v>
      </c>
      <c r="E16" s="1" t="s">
        <v>17</v>
      </c>
      <c r="F16" s="1">
        <v>2008</v>
      </c>
      <c r="G16" s="1" t="s">
        <v>21</v>
      </c>
      <c r="H16" s="1">
        <v>2021</v>
      </c>
      <c r="I16" s="1" t="s">
        <v>1601</v>
      </c>
      <c r="J16" s="6">
        <v>22651</v>
      </c>
      <c r="K16" s="6">
        <v>21106</v>
      </c>
      <c r="L16" s="21">
        <v>0.93179109090106393</v>
      </c>
      <c r="M16" s="1">
        <v>0</v>
      </c>
      <c r="N16" s="1" t="s">
        <v>1589</v>
      </c>
      <c r="O16" s="1">
        <v>13</v>
      </c>
      <c r="P16" s="1">
        <v>0.64</v>
      </c>
      <c r="Q16" s="22">
        <v>44104</v>
      </c>
      <c r="R16" s="8">
        <v>348.74354333142026</v>
      </c>
      <c r="S16" s="9" t="s">
        <v>2654</v>
      </c>
      <c r="T16" s="8">
        <v>397.75692022427268</v>
      </c>
      <c r="U16" s="9" t="s">
        <v>2654</v>
      </c>
      <c r="V16" s="8">
        <v>435.14052359719216</v>
      </c>
      <c r="W16" s="8" t="s">
        <v>2654</v>
      </c>
      <c r="X16" s="8" t="s">
        <v>1773</v>
      </c>
    </row>
    <row r="17" spans="1:24" x14ac:dyDescent="0.3">
      <c r="A17" s="1" t="s">
        <v>1384</v>
      </c>
      <c r="B17" s="1" t="s">
        <v>2268</v>
      </c>
      <c r="C17" s="1" t="s">
        <v>1586</v>
      </c>
      <c r="D17" s="1" t="s">
        <v>14</v>
      </c>
      <c r="E17" s="1" t="s">
        <v>17</v>
      </c>
      <c r="F17" s="1">
        <v>2006</v>
      </c>
      <c r="G17" s="1" t="s">
        <v>25</v>
      </c>
      <c r="H17" s="1">
        <v>2023</v>
      </c>
      <c r="I17" s="1" t="s">
        <v>1783</v>
      </c>
      <c r="J17" s="6">
        <v>12960</v>
      </c>
      <c r="K17" s="6">
        <v>10000</v>
      </c>
      <c r="L17" s="21">
        <v>0.77160493827160492</v>
      </c>
      <c r="M17" s="1">
        <v>0</v>
      </c>
      <c r="N17" s="1" t="s">
        <v>1821</v>
      </c>
      <c r="O17" s="1" t="s">
        <v>18</v>
      </c>
      <c r="P17" s="1" t="s">
        <v>18</v>
      </c>
      <c r="Q17" s="22" t="s">
        <v>18</v>
      </c>
      <c r="R17" s="8">
        <v>413.49142391182096</v>
      </c>
      <c r="S17" s="9"/>
      <c r="T17" s="8">
        <v>411.26377797773029</v>
      </c>
      <c r="U17" s="9"/>
      <c r="V17" s="8">
        <v>423.68774603531659</v>
      </c>
      <c r="W17" s="8"/>
      <c r="X17" s="8"/>
    </row>
    <row r="18" spans="1:24" x14ac:dyDescent="0.3">
      <c r="A18" s="1" t="s">
        <v>1342</v>
      </c>
      <c r="B18" s="1" t="s">
        <v>1343</v>
      </c>
      <c r="C18" s="1" t="s">
        <v>1586</v>
      </c>
      <c r="D18" s="1" t="s">
        <v>14</v>
      </c>
      <c r="E18" s="1" t="s">
        <v>17</v>
      </c>
      <c r="F18" s="1">
        <v>1998</v>
      </c>
      <c r="G18" s="1" t="s">
        <v>25</v>
      </c>
      <c r="H18" s="1">
        <v>2022</v>
      </c>
      <c r="I18" s="1" t="s">
        <v>1783</v>
      </c>
      <c r="J18" s="6">
        <v>26417</v>
      </c>
      <c r="K18" s="6">
        <v>22930</v>
      </c>
      <c r="L18" s="21">
        <v>0.86800166559412495</v>
      </c>
      <c r="M18" s="1">
        <v>0</v>
      </c>
      <c r="N18" s="1" t="s">
        <v>28</v>
      </c>
      <c r="O18" s="1" t="s">
        <v>18</v>
      </c>
      <c r="P18" s="1">
        <v>0.76</v>
      </c>
      <c r="Q18" s="22">
        <v>44718</v>
      </c>
      <c r="R18" s="8">
        <v>384.91865086875873</v>
      </c>
      <c r="S18" s="9" t="s">
        <v>2654</v>
      </c>
      <c r="T18" s="8">
        <v>399.58861339289098</v>
      </c>
      <c r="U18" s="9" t="s">
        <v>2654</v>
      </c>
      <c r="V18" s="8">
        <v>407.07956240299808</v>
      </c>
      <c r="W18" s="8" t="s">
        <v>2654</v>
      </c>
      <c r="X18" s="8"/>
    </row>
    <row r="19" spans="1:24" x14ac:dyDescent="0.3">
      <c r="A19" s="1" t="s">
        <v>1510</v>
      </c>
      <c r="B19" s="1" t="s">
        <v>1512</v>
      </c>
      <c r="C19" s="1" t="s">
        <v>1586</v>
      </c>
      <c r="D19" s="1" t="s">
        <v>14</v>
      </c>
      <c r="E19" s="1" t="s">
        <v>17</v>
      </c>
      <c r="F19" s="1">
        <v>1986</v>
      </c>
      <c r="G19" s="1" t="s">
        <v>21</v>
      </c>
      <c r="H19" s="1">
        <v>2020</v>
      </c>
      <c r="I19" s="1" t="s">
        <v>1597</v>
      </c>
      <c r="J19" s="6">
        <v>44934</v>
      </c>
      <c r="K19" s="6">
        <v>41000</v>
      </c>
      <c r="L19" s="21">
        <v>0.91244937018738592</v>
      </c>
      <c r="M19" s="1">
        <v>0</v>
      </c>
      <c r="N19" s="1" t="s">
        <v>1589</v>
      </c>
      <c r="O19" s="1" t="s">
        <v>18</v>
      </c>
      <c r="P19" s="1" t="s">
        <v>18</v>
      </c>
      <c r="Q19" s="22" t="s">
        <v>18</v>
      </c>
      <c r="R19" s="8">
        <v>378.49213840641107</v>
      </c>
      <c r="S19" s="9" t="s">
        <v>2654</v>
      </c>
      <c r="T19" s="8">
        <v>390.53270405281364</v>
      </c>
      <c r="U19" s="9" t="s">
        <v>2654</v>
      </c>
      <c r="V19" s="8">
        <v>397.20681529337003</v>
      </c>
      <c r="W19" s="8" t="s">
        <v>2654</v>
      </c>
      <c r="X19" s="8"/>
    </row>
    <row r="20" spans="1:24" x14ac:dyDescent="0.3">
      <c r="A20" s="1" t="s">
        <v>470</v>
      </c>
      <c r="B20" s="1" t="s">
        <v>471</v>
      </c>
      <c r="C20" s="1" t="s">
        <v>1586</v>
      </c>
      <c r="D20" s="1" t="s">
        <v>14</v>
      </c>
      <c r="E20" s="1" t="s">
        <v>17</v>
      </c>
      <c r="F20" s="1">
        <v>1975</v>
      </c>
      <c r="G20" s="1" t="s">
        <v>25</v>
      </c>
      <c r="H20" s="1">
        <v>2021</v>
      </c>
      <c r="I20" s="1" t="s">
        <v>1601</v>
      </c>
      <c r="J20" s="6">
        <v>40939</v>
      </c>
      <c r="K20" s="6">
        <v>35950</v>
      </c>
      <c r="L20" s="21">
        <v>0.87813576296441043</v>
      </c>
      <c r="M20" s="1">
        <v>0</v>
      </c>
      <c r="N20" s="1" t="s">
        <v>1589</v>
      </c>
      <c r="O20" s="1">
        <v>10</v>
      </c>
      <c r="P20" s="1">
        <v>0.65</v>
      </c>
      <c r="Q20" s="22">
        <v>44379</v>
      </c>
      <c r="R20" s="8">
        <v>317.63807127677762</v>
      </c>
      <c r="S20" s="9" t="s">
        <v>2654</v>
      </c>
      <c r="T20" s="8">
        <v>327.99785046044116</v>
      </c>
      <c r="U20" s="9" t="s">
        <v>2654</v>
      </c>
      <c r="V20" s="8">
        <v>371.05205305454456</v>
      </c>
      <c r="W20" s="8" t="s">
        <v>2654</v>
      </c>
      <c r="X20" s="8"/>
    </row>
    <row r="21" spans="1:24" x14ac:dyDescent="0.3">
      <c r="A21" s="1" t="s">
        <v>716</v>
      </c>
      <c r="B21" s="1" t="s">
        <v>717</v>
      </c>
      <c r="C21" s="1" t="s">
        <v>1586</v>
      </c>
      <c r="D21" s="1" t="s">
        <v>14</v>
      </c>
      <c r="E21" s="1" t="s">
        <v>17</v>
      </c>
      <c r="F21" s="1">
        <v>1995</v>
      </c>
      <c r="J21" s="6">
        <v>30809</v>
      </c>
      <c r="K21" s="6">
        <v>29361</v>
      </c>
      <c r="L21" s="21">
        <v>0.95300074653510336</v>
      </c>
      <c r="M21" s="1">
        <v>180</v>
      </c>
      <c r="N21" s="1" t="s">
        <v>1589</v>
      </c>
      <c r="O21" s="1">
        <v>17</v>
      </c>
      <c r="P21" s="1" t="s">
        <v>18</v>
      </c>
      <c r="Q21" s="22" t="s">
        <v>18</v>
      </c>
      <c r="R21" s="8">
        <v>451.93334837222909</v>
      </c>
      <c r="S21" s="9" t="s">
        <v>2654</v>
      </c>
      <c r="T21" s="8">
        <v>422.77255866792171</v>
      </c>
      <c r="U21" s="9" t="s">
        <v>2654</v>
      </c>
      <c r="V21" s="8">
        <v>355.66723489889318</v>
      </c>
      <c r="W21" s="8" t="s">
        <v>2654</v>
      </c>
      <c r="X21" s="8"/>
    </row>
    <row r="22" spans="1:24" x14ac:dyDescent="0.3">
      <c r="A22" s="1" t="s">
        <v>328</v>
      </c>
      <c r="B22" s="1" t="s">
        <v>2179</v>
      </c>
      <c r="C22" s="1" t="s">
        <v>1586</v>
      </c>
      <c r="D22" s="1" t="s">
        <v>14</v>
      </c>
      <c r="E22" s="1" t="s">
        <v>17</v>
      </c>
      <c r="F22" s="1">
        <v>2014</v>
      </c>
      <c r="G22" s="1" t="s">
        <v>19</v>
      </c>
      <c r="H22" s="1">
        <v>2018</v>
      </c>
      <c r="I22" s="1" t="s">
        <v>1598</v>
      </c>
      <c r="J22" s="6">
        <v>38868</v>
      </c>
      <c r="K22" s="6">
        <v>32602</v>
      </c>
      <c r="L22" s="21">
        <v>0.83878769167438505</v>
      </c>
      <c r="M22" s="1">
        <v>0</v>
      </c>
      <c r="N22" s="1" t="s">
        <v>1589</v>
      </c>
      <c r="O22" s="1">
        <v>8</v>
      </c>
      <c r="P22" s="1">
        <v>0.47199999999999998</v>
      </c>
      <c r="Q22" s="22">
        <v>44588</v>
      </c>
      <c r="R22" s="8">
        <v>289.32588839504075</v>
      </c>
      <c r="S22" s="9" t="s">
        <v>2654</v>
      </c>
      <c r="T22" s="8">
        <v>303.54432937073346</v>
      </c>
      <c r="U22" s="9" t="s">
        <v>2654</v>
      </c>
      <c r="V22" s="8">
        <v>327.36448121132213</v>
      </c>
      <c r="W22" s="8" t="s">
        <v>2654</v>
      </c>
      <c r="X22" s="8"/>
    </row>
    <row r="23" spans="1:24" x14ac:dyDescent="0.3">
      <c r="A23" s="1" t="s">
        <v>1262</v>
      </c>
      <c r="B23" s="1" t="s">
        <v>1263</v>
      </c>
      <c r="C23" s="1" t="s">
        <v>1586</v>
      </c>
      <c r="D23" s="1" t="s">
        <v>14</v>
      </c>
      <c r="E23" s="1" t="s">
        <v>17</v>
      </c>
      <c r="F23" s="1">
        <v>1998</v>
      </c>
      <c r="G23" s="1" t="s">
        <v>25</v>
      </c>
      <c r="H23" s="1">
        <v>2022</v>
      </c>
      <c r="I23" s="1" t="s">
        <v>1783</v>
      </c>
      <c r="J23" s="6">
        <v>33322</v>
      </c>
      <c r="K23" s="6">
        <v>11653</v>
      </c>
      <c r="L23" s="21">
        <v>0.34970890102634894</v>
      </c>
      <c r="M23" s="1">
        <v>0</v>
      </c>
      <c r="N23" s="1" t="s">
        <v>28</v>
      </c>
      <c r="O23" s="1" t="s">
        <v>18</v>
      </c>
      <c r="P23" s="1">
        <v>0.21540000000000001</v>
      </c>
      <c r="Q23" s="22">
        <v>44896</v>
      </c>
      <c r="R23" s="8">
        <v>271.42636246323752</v>
      </c>
      <c r="S23" s="9" t="s">
        <v>2654</v>
      </c>
      <c r="T23" s="8">
        <v>298.64363423564009</v>
      </c>
      <c r="U23" s="9" t="s">
        <v>2654</v>
      </c>
      <c r="V23" s="8">
        <v>315.31023918132161</v>
      </c>
      <c r="W23" s="8" t="s">
        <v>2654</v>
      </c>
      <c r="X23" s="8" t="s">
        <v>1773</v>
      </c>
    </row>
    <row r="24" spans="1:24" x14ac:dyDescent="0.3">
      <c r="A24" s="1" t="s">
        <v>2100</v>
      </c>
      <c r="B24" s="1" t="s">
        <v>2615</v>
      </c>
      <c r="C24" s="1" t="s">
        <v>1586</v>
      </c>
      <c r="D24" s="1" t="s">
        <v>14</v>
      </c>
      <c r="E24" s="1" t="s">
        <v>17</v>
      </c>
      <c r="F24" s="1">
        <v>2012</v>
      </c>
      <c r="G24" s="1" t="s">
        <v>21</v>
      </c>
      <c r="H24" s="1">
        <v>2022</v>
      </c>
      <c r="I24" s="1" t="s">
        <v>1599</v>
      </c>
      <c r="J24" s="6">
        <v>31539</v>
      </c>
      <c r="K24" s="6">
        <v>28385</v>
      </c>
      <c r="L24" s="21">
        <v>0.8999968293224262</v>
      </c>
      <c r="M24" s="1">
        <v>0</v>
      </c>
      <c r="N24" s="1" t="s">
        <v>1821</v>
      </c>
      <c r="O24" s="1" t="s">
        <v>18</v>
      </c>
      <c r="P24" s="1" t="s">
        <v>18</v>
      </c>
      <c r="Q24" s="22" t="s">
        <v>18</v>
      </c>
      <c r="R24" s="8">
        <v>296.43049082088845</v>
      </c>
      <c r="S24" s="9"/>
      <c r="T24" s="8">
        <v>309.63121849139162</v>
      </c>
      <c r="U24" s="9"/>
      <c r="V24" s="8">
        <v>311.01983258822412</v>
      </c>
      <c r="W24" s="8"/>
      <c r="X24" s="8"/>
    </row>
    <row r="25" spans="1:24" x14ac:dyDescent="0.3">
      <c r="A25" s="1" t="s">
        <v>810</v>
      </c>
      <c r="B25" s="1" t="s">
        <v>811</v>
      </c>
      <c r="C25" s="1" t="s">
        <v>1586</v>
      </c>
      <c r="D25" s="1" t="s">
        <v>14</v>
      </c>
      <c r="E25" s="1" t="s">
        <v>17</v>
      </c>
      <c r="F25" s="1">
        <v>2000</v>
      </c>
      <c r="G25" s="1" t="s">
        <v>47</v>
      </c>
      <c r="H25" s="1">
        <v>2021</v>
      </c>
      <c r="I25" s="1" t="s">
        <v>1599</v>
      </c>
      <c r="J25" s="6">
        <v>18275</v>
      </c>
      <c r="K25" s="6">
        <v>18074</v>
      </c>
      <c r="L25" s="21">
        <v>0.98900136798905613</v>
      </c>
      <c r="M25" s="1">
        <v>0</v>
      </c>
      <c r="N25" s="1" t="s">
        <v>28</v>
      </c>
      <c r="O25" s="1" t="s">
        <v>18</v>
      </c>
      <c r="P25" s="1">
        <v>0.81</v>
      </c>
      <c r="Q25" s="22">
        <v>44804</v>
      </c>
      <c r="R25" s="8">
        <v>377.95256908344732</v>
      </c>
      <c r="S25" s="9" t="s">
        <v>2654</v>
      </c>
      <c r="T25" s="8">
        <v>343.66616689466485</v>
      </c>
      <c r="U25" s="9" t="s">
        <v>2654</v>
      </c>
      <c r="V25" s="8">
        <v>303.53361422708616</v>
      </c>
      <c r="W25" s="8" t="s">
        <v>2654</v>
      </c>
      <c r="X25" s="8"/>
    </row>
    <row r="26" spans="1:24" x14ac:dyDescent="0.3">
      <c r="A26" s="1" t="s">
        <v>460</v>
      </c>
      <c r="B26" s="1" t="s">
        <v>461</v>
      </c>
      <c r="C26" s="1" t="s">
        <v>1586</v>
      </c>
      <c r="D26" s="1" t="s">
        <v>14</v>
      </c>
      <c r="E26" s="1" t="s">
        <v>17</v>
      </c>
      <c r="F26" s="1">
        <v>2001</v>
      </c>
      <c r="G26" s="1" t="s">
        <v>19</v>
      </c>
      <c r="H26" s="1">
        <v>2019</v>
      </c>
      <c r="I26" s="1" t="s">
        <v>1599</v>
      </c>
      <c r="J26" s="6">
        <v>99091</v>
      </c>
      <c r="K26" s="6">
        <v>77451</v>
      </c>
      <c r="L26" s="21">
        <v>0.78161487925240436</v>
      </c>
      <c r="M26" s="1">
        <v>0</v>
      </c>
      <c r="N26" s="1" t="s">
        <v>1589</v>
      </c>
      <c r="O26" s="1">
        <v>16</v>
      </c>
      <c r="P26" s="1" t="s">
        <v>18</v>
      </c>
      <c r="Q26" s="22" t="s">
        <v>18</v>
      </c>
      <c r="R26" s="8">
        <v>319.10667971864245</v>
      </c>
      <c r="S26" s="9" t="s">
        <v>2654</v>
      </c>
      <c r="T26" s="8">
        <v>304.78687267259386</v>
      </c>
      <c r="U26" s="9" t="s">
        <v>2654</v>
      </c>
      <c r="V26" s="8">
        <v>302.92237438314277</v>
      </c>
      <c r="W26" s="8" t="s">
        <v>2654</v>
      </c>
      <c r="X26" s="8" t="s">
        <v>1773</v>
      </c>
    </row>
    <row r="27" spans="1:24" x14ac:dyDescent="0.3">
      <c r="A27" s="1" t="s">
        <v>242</v>
      </c>
      <c r="B27" s="1" t="s">
        <v>243</v>
      </c>
      <c r="C27" s="1" t="s">
        <v>1586</v>
      </c>
      <c r="D27" s="1" t="s">
        <v>14</v>
      </c>
      <c r="E27" s="1" t="s">
        <v>17</v>
      </c>
      <c r="F27" s="1">
        <v>1953</v>
      </c>
      <c r="J27" s="6">
        <v>15480</v>
      </c>
      <c r="K27" s="6">
        <v>15480</v>
      </c>
      <c r="L27" s="21">
        <v>1</v>
      </c>
      <c r="M27" s="1">
        <v>0</v>
      </c>
      <c r="N27" s="1" t="s">
        <v>28</v>
      </c>
      <c r="O27" s="1" t="s">
        <v>18</v>
      </c>
      <c r="P27" s="1" t="s">
        <v>18</v>
      </c>
      <c r="Q27" s="22" t="s">
        <v>18</v>
      </c>
      <c r="R27" s="8">
        <v>301.97509043927653</v>
      </c>
      <c r="S27" s="9" t="s">
        <v>2654</v>
      </c>
      <c r="T27" s="8">
        <v>295.50542635658917</v>
      </c>
      <c r="U27" s="9" t="s">
        <v>2654</v>
      </c>
      <c r="V27" s="8">
        <v>300.88201550387595</v>
      </c>
      <c r="W27" s="8" t="s">
        <v>2654</v>
      </c>
      <c r="X27" s="8"/>
    </row>
    <row r="28" spans="1:24" x14ac:dyDescent="0.3">
      <c r="A28" s="1" t="s">
        <v>1352</v>
      </c>
      <c r="B28" s="1" t="s">
        <v>1353</v>
      </c>
      <c r="C28" s="1" t="s">
        <v>1586</v>
      </c>
      <c r="D28" s="1" t="s">
        <v>14</v>
      </c>
      <c r="E28" s="1" t="s">
        <v>17</v>
      </c>
      <c r="F28" s="1">
        <v>2014</v>
      </c>
      <c r="G28" s="1" t="s">
        <v>21</v>
      </c>
      <c r="H28" s="1">
        <v>2022</v>
      </c>
      <c r="I28" s="1" t="s">
        <v>1818</v>
      </c>
      <c r="J28" s="6">
        <v>20484</v>
      </c>
      <c r="K28" s="6">
        <v>18058</v>
      </c>
      <c r="L28" s="21">
        <v>0.88156610037102123</v>
      </c>
      <c r="M28" s="1">
        <v>0</v>
      </c>
      <c r="N28" s="1" t="s">
        <v>1589</v>
      </c>
      <c r="O28" s="1">
        <v>9</v>
      </c>
      <c r="P28" s="1">
        <v>0.64</v>
      </c>
      <c r="Q28" s="22">
        <v>45122</v>
      </c>
      <c r="R28" s="8">
        <v>297.46145772310098</v>
      </c>
      <c r="S28" s="9" t="s">
        <v>2654</v>
      </c>
      <c r="T28" s="8">
        <v>294.98093634055846</v>
      </c>
      <c r="U28" s="9" t="s">
        <v>2654</v>
      </c>
      <c r="V28" s="8">
        <v>300.8384348760008</v>
      </c>
      <c r="W28" s="8" t="s">
        <v>2654</v>
      </c>
      <c r="X28" s="8"/>
    </row>
    <row r="29" spans="1:24" x14ac:dyDescent="0.3">
      <c r="A29" s="1" t="s">
        <v>361</v>
      </c>
      <c r="B29" s="1" t="s">
        <v>2270</v>
      </c>
      <c r="C29" s="1" t="s">
        <v>1586</v>
      </c>
      <c r="D29" s="1" t="s">
        <v>14</v>
      </c>
      <c r="E29" s="1" t="s">
        <v>17</v>
      </c>
      <c r="F29" s="1">
        <v>2008</v>
      </c>
      <c r="G29" s="1" t="s">
        <v>19</v>
      </c>
      <c r="H29" s="1">
        <v>2018</v>
      </c>
      <c r="I29" s="1" t="s">
        <v>1601</v>
      </c>
      <c r="J29" s="6">
        <v>38774</v>
      </c>
      <c r="K29" s="6">
        <v>34511</v>
      </c>
      <c r="L29" s="21">
        <v>0.89005519162325275</v>
      </c>
      <c r="M29" s="1">
        <v>0</v>
      </c>
      <c r="N29" s="1" t="s">
        <v>1821</v>
      </c>
      <c r="O29" s="1" t="s">
        <v>18</v>
      </c>
      <c r="P29" s="1" t="s">
        <v>18</v>
      </c>
      <c r="Q29" s="22" t="s">
        <v>18</v>
      </c>
      <c r="R29" s="8">
        <v>298.50928457213598</v>
      </c>
      <c r="S29" s="9"/>
      <c r="T29" s="8">
        <v>283.21442203538453</v>
      </c>
      <c r="U29" s="9"/>
      <c r="V29" s="8">
        <v>299.36323309434158</v>
      </c>
      <c r="W29" s="8"/>
      <c r="X29" s="8"/>
    </row>
    <row r="30" spans="1:24" x14ac:dyDescent="0.3">
      <c r="A30" s="1" t="s">
        <v>1473</v>
      </c>
      <c r="B30" s="1" t="s">
        <v>2316</v>
      </c>
      <c r="C30" s="1" t="s">
        <v>1586</v>
      </c>
      <c r="D30" s="1" t="s">
        <v>14</v>
      </c>
      <c r="E30" s="1" t="s">
        <v>17</v>
      </c>
      <c r="F30" s="1">
        <v>1983</v>
      </c>
      <c r="G30" s="1" t="s">
        <v>19</v>
      </c>
      <c r="H30" s="1">
        <v>2022</v>
      </c>
      <c r="I30" s="1" t="s">
        <v>1818</v>
      </c>
      <c r="J30" s="6">
        <v>94753</v>
      </c>
      <c r="K30" s="6">
        <v>94753</v>
      </c>
      <c r="L30" s="21">
        <v>1</v>
      </c>
      <c r="M30" s="1">
        <v>0</v>
      </c>
      <c r="N30" s="1" t="s">
        <v>1589</v>
      </c>
      <c r="O30" s="1">
        <v>10</v>
      </c>
      <c r="P30" s="1">
        <v>0.63100000000000001</v>
      </c>
      <c r="Q30" s="22">
        <v>44844</v>
      </c>
      <c r="R30" s="8">
        <v>260.69736778782737</v>
      </c>
      <c r="S30" s="9" t="s">
        <v>2654</v>
      </c>
      <c r="T30" s="8">
        <v>300.70776935822613</v>
      </c>
      <c r="U30" s="9" t="s">
        <v>2654</v>
      </c>
      <c r="V30" s="8">
        <v>298.99086456365501</v>
      </c>
      <c r="W30" s="8" t="s">
        <v>2654</v>
      </c>
      <c r="X30" s="8"/>
    </row>
    <row r="31" spans="1:24" x14ac:dyDescent="0.3">
      <c r="A31" s="1" t="s">
        <v>1285</v>
      </c>
      <c r="B31" s="1" t="s">
        <v>1286</v>
      </c>
      <c r="C31" s="1" t="s">
        <v>1586</v>
      </c>
      <c r="D31" s="1" t="s">
        <v>14</v>
      </c>
      <c r="E31" s="1" t="s">
        <v>17</v>
      </c>
      <c r="F31" s="1">
        <v>2014</v>
      </c>
      <c r="G31" s="1" t="s">
        <v>19</v>
      </c>
      <c r="H31" s="1">
        <v>2020</v>
      </c>
      <c r="I31" s="1" t="s">
        <v>1603</v>
      </c>
      <c r="J31" s="6">
        <v>33123</v>
      </c>
      <c r="K31" s="6">
        <v>26327</v>
      </c>
      <c r="L31" s="21">
        <v>0.79482534794553639</v>
      </c>
      <c r="M31" s="1">
        <v>0</v>
      </c>
      <c r="N31" s="1" t="s">
        <v>1589</v>
      </c>
      <c r="O31" s="1">
        <v>5</v>
      </c>
      <c r="P31" s="1">
        <v>0.57799999999999996</v>
      </c>
      <c r="Q31" s="22">
        <v>44977</v>
      </c>
      <c r="R31" s="8">
        <v>290.5293853213779</v>
      </c>
      <c r="S31" s="9" t="s">
        <v>2654</v>
      </c>
      <c r="T31" s="8">
        <v>299.40596443558854</v>
      </c>
      <c r="U31" s="9" t="s">
        <v>2654</v>
      </c>
      <c r="V31" s="8">
        <v>298.63147359840599</v>
      </c>
      <c r="W31" s="8" t="s">
        <v>2654</v>
      </c>
      <c r="X31" s="8"/>
    </row>
    <row r="32" spans="1:24" x14ac:dyDescent="0.3">
      <c r="A32" s="1" t="s">
        <v>1100</v>
      </c>
      <c r="B32" s="1" t="s">
        <v>1101</v>
      </c>
      <c r="C32" s="1" t="s">
        <v>1586</v>
      </c>
      <c r="D32" s="1" t="s">
        <v>14</v>
      </c>
      <c r="E32" s="1" t="s">
        <v>17</v>
      </c>
      <c r="F32" s="1">
        <v>2011</v>
      </c>
      <c r="G32" s="1" t="s">
        <v>25</v>
      </c>
      <c r="H32" s="1">
        <v>2022</v>
      </c>
      <c r="I32" s="1" t="s">
        <v>1597</v>
      </c>
      <c r="J32" s="6">
        <v>38624</v>
      </c>
      <c r="K32" s="6">
        <v>38624</v>
      </c>
      <c r="L32" s="21">
        <v>1</v>
      </c>
      <c r="M32" s="1">
        <v>0</v>
      </c>
      <c r="N32" s="1" t="s">
        <v>1589</v>
      </c>
      <c r="O32" s="1">
        <v>11</v>
      </c>
      <c r="P32" s="1">
        <v>0.81599999999999995</v>
      </c>
      <c r="Q32" s="22">
        <v>44550</v>
      </c>
      <c r="R32" s="8">
        <v>271.51940667490732</v>
      </c>
      <c r="S32" s="9" t="s">
        <v>2654</v>
      </c>
      <c r="T32" s="8">
        <v>276.22927070457354</v>
      </c>
      <c r="U32" s="9" t="s">
        <v>2654</v>
      </c>
      <c r="V32" s="8">
        <v>293.94932014833125</v>
      </c>
      <c r="W32" s="8" t="s">
        <v>2654</v>
      </c>
      <c r="X32" s="8"/>
    </row>
    <row r="33" spans="1:24" x14ac:dyDescent="0.3">
      <c r="A33" s="1" t="s">
        <v>456</v>
      </c>
      <c r="B33" s="1" t="s">
        <v>457</v>
      </c>
      <c r="C33" s="1" t="s">
        <v>1586</v>
      </c>
      <c r="D33" s="1" t="s">
        <v>14</v>
      </c>
      <c r="E33" s="1" t="s">
        <v>17</v>
      </c>
      <c r="F33" s="1">
        <v>2000</v>
      </c>
      <c r="G33" s="1" t="s">
        <v>21</v>
      </c>
      <c r="H33" s="1">
        <v>2022</v>
      </c>
      <c r="I33" s="1" t="s">
        <v>1818</v>
      </c>
      <c r="J33" s="6">
        <v>22349</v>
      </c>
      <c r="K33" s="6">
        <v>18949</v>
      </c>
      <c r="L33" s="21">
        <v>0.84786791355317914</v>
      </c>
      <c r="M33" s="1">
        <v>0</v>
      </c>
      <c r="N33" s="1" t="s">
        <v>1589</v>
      </c>
      <c r="O33" s="1">
        <v>2018</v>
      </c>
      <c r="P33" s="1">
        <v>0.65</v>
      </c>
      <c r="Q33" s="22">
        <v>44510</v>
      </c>
      <c r="R33" s="8">
        <v>293.10204014999215</v>
      </c>
      <c r="S33" s="9" t="s">
        <v>2654</v>
      </c>
      <c r="T33" s="8">
        <v>284.14535851262531</v>
      </c>
      <c r="U33" s="9" t="s">
        <v>2654</v>
      </c>
      <c r="V33" s="8">
        <v>289.08467713189901</v>
      </c>
      <c r="W33" s="8" t="s">
        <v>2654</v>
      </c>
      <c r="X33" s="8"/>
    </row>
    <row r="34" spans="1:24" x14ac:dyDescent="0.3">
      <c r="A34" s="1" t="s">
        <v>1274</v>
      </c>
      <c r="B34" s="1" t="s">
        <v>1275</v>
      </c>
      <c r="C34" s="1" t="s">
        <v>1586</v>
      </c>
      <c r="D34" s="1" t="s">
        <v>14</v>
      </c>
      <c r="E34" s="1" t="s">
        <v>17</v>
      </c>
      <c r="F34" s="1">
        <v>2012</v>
      </c>
      <c r="G34" s="1" t="s">
        <v>19</v>
      </c>
      <c r="H34" s="1">
        <v>2021</v>
      </c>
      <c r="I34" s="1" t="s">
        <v>1603</v>
      </c>
      <c r="J34" s="6">
        <v>28800</v>
      </c>
      <c r="K34" s="6">
        <v>20897</v>
      </c>
      <c r="L34" s="21">
        <v>0.72559027777777774</v>
      </c>
      <c r="M34" s="1">
        <v>0</v>
      </c>
      <c r="N34" s="1" t="s">
        <v>1589</v>
      </c>
      <c r="O34" s="1">
        <v>11</v>
      </c>
      <c r="P34" s="1" t="s">
        <v>18</v>
      </c>
      <c r="Q34" s="22" t="s">
        <v>18</v>
      </c>
      <c r="R34" s="8">
        <v>289.62226840277771</v>
      </c>
      <c r="S34" s="9" t="s">
        <v>2654</v>
      </c>
      <c r="T34" s="8">
        <v>298.30469027777781</v>
      </c>
      <c r="U34" s="9" t="s">
        <v>2654</v>
      </c>
      <c r="V34" s="8">
        <v>288.91996736111111</v>
      </c>
      <c r="W34" s="8" t="s">
        <v>2654</v>
      </c>
      <c r="X34" s="8" t="s">
        <v>1773</v>
      </c>
    </row>
    <row r="35" spans="1:24" x14ac:dyDescent="0.3">
      <c r="A35" s="1" t="s">
        <v>1006</v>
      </c>
      <c r="B35" s="1" t="s">
        <v>1007</v>
      </c>
      <c r="C35" s="1" t="s">
        <v>1586</v>
      </c>
      <c r="D35" s="1" t="s">
        <v>14</v>
      </c>
      <c r="E35" s="1" t="s">
        <v>17</v>
      </c>
      <c r="F35" s="1">
        <v>1997</v>
      </c>
      <c r="G35" s="1" t="s">
        <v>19</v>
      </c>
      <c r="H35" s="1">
        <v>2022</v>
      </c>
      <c r="I35" s="1" t="s">
        <v>1875</v>
      </c>
      <c r="J35" s="6">
        <v>37000</v>
      </c>
      <c r="K35" s="6">
        <v>3700</v>
      </c>
      <c r="L35" s="21">
        <v>0.1</v>
      </c>
      <c r="M35" s="1">
        <v>0</v>
      </c>
      <c r="N35" s="1" t="s">
        <v>1589</v>
      </c>
      <c r="O35" s="1">
        <v>2</v>
      </c>
      <c r="P35" s="1" t="s">
        <v>18</v>
      </c>
      <c r="Q35" s="22" t="s">
        <v>18</v>
      </c>
      <c r="R35" s="8">
        <v>351.00491891891892</v>
      </c>
      <c r="S35" s="9" t="s">
        <v>2654</v>
      </c>
      <c r="T35" s="8">
        <v>307.06140540540542</v>
      </c>
      <c r="U35" s="9" t="s">
        <v>2654</v>
      </c>
      <c r="V35" s="8">
        <v>288.80886486486486</v>
      </c>
      <c r="W35" s="8" t="s">
        <v>2654</v>
      </c>
      <c r="X35" s="8" t="s">
        <v>1773</v>
      </c>
    </row>
    <row r="36" spans="1:24" x14ac:dyDescent="0.3">
      <c r="A36" s="1" t="s">
        <v>1070</v>
      </c>
      <c r="B36" s="1" t="s">
        <v>1071</v>
      </c>
      <c r="C36" s="1" t="s">
        <v>1586</v>
      </c>
      <c r="D36" s="1" t="s">
        <v>14</v>
      </c>
      <c r="E36" s="1" t="s">
        <v>17</v>
      </c>
      <c r="F36" s="1">
        <v>1981</v>
      </c>
      <c r="J36" s="6">
        <v>104962</v>
      </c>
      <c r="K36" s="6">
        <v>83076</v>
      </c>
      <c r="L36" s="21">
        <v>0.79148644271260071</v>
      </c>
      <c r="M36" s="1">
        <v>0</v>
      </c>
      <c r="N36" s="1" t="s">
        <v>1589</v>
      </c>
      <c r="O36" s="1">
        <v>5</v>
      </c>
      <c r="P36" s="1">
        <v>0.72</v>
      </c>
      <c r="Q36" s="22">
        <v>41973</v>
      </c>
      <c r="R36" s="8">
        <v>328.68092261961471</v>
      </c>
      <c r="S36" s="9" t="s">
        <v>2654</v>
      </c>
      <c r="T36" s="8">
        <v>315.5146433947524</v>
      </c>
      <c r="U36" s="9" t="s">
        <v>2654</v>
      </c>
      <c r="V36" s="8">
        <v>288.40408909891198</v>
      </c>
      <c r="W36" s="8" t="s">
        <v>2654</v>
      </c>
      <c r="X36" s="8" t="s">
        <v>1773</v>
      </c>
    </row>
    <row r="37" spans="1:24" x14ac:dyDescent="0.3">
      <c r="A37" s="1" t="s">
        <v>146</v>
      </c>
      <c r="B37" s="1" t="s">
        <v>147</v>
      </c>
      <c r="C37" s="1" t="s">
        <v>1586</v>
      </c>
      <c r="D37" s="1" t="s">
        <v>14</v>
      </c>
      <c r="E37" s="1" t="s">
        <v>17</v>
      </c>
      <c r="F37" s="1">
        <v>1997</v>
      </c>
      <c r="G37" s="1" t="s">
        <v>21</v>
      </c>
      <c r="H37" s="1">
        <v>2021</v>
      </c>
      <c r="I37" s="1" t="s">
        <v>1599</v>
      </c>
      <c r="J37" s="6">
        <v>15550</v>
      </c>
      <c r="K37" s="6">
        <v>13873</v>
      </c>
      <c r="L37" s="21">
        <v>0.89215434083601286</v>
      </c>
      <c r="M37" s="1">
        <v>0</v>
      </c>
      <c r="N37" s="1" t="s">
        <v>1589</v>
      </c>
      <c r="O37" s="1">
        <v>2</v>
      </c>
      <c r="P37" s="1">
        <v>0.61799999999999999</v>
      </c>
      <c r="Q37" s="22">
        <v>43521</v>
      </c>
      <c r="R37" s="8">
        <v>296.04778906752415</v>
      </c>
      <c r="S37" s="9" t="s">
        <v>2654</v>
      </c>
      <c r="T37" s="8">
        <v>281.01022122186492</v>
      </c>
      <c r="U37" s="9" t="s">
        <v>2654</v>
      </c>
      <c r="V37" s="8">
        <v>287.62980707395496</v>
      </c>
      <c r="W37" s="8" t="s">
        <v>2654</v>
      </c>
      <c r="X37" s="8" t="s">
        <v>1773</v>
      </c>
    </row>
    <row r="38" spans="1:24" x14ac:dyDescent="0.3">
      <c r="A38" s="1" t="s">
        <v>1252</v>
      </c>
      <c r="B38" s="1" t="s">
        <v>1253</v>
      </c>
      <c r="C38" s="1" t="s">
        <v>1586</v>
      </c>
      <c r="D38" s="1" t="s">
        <v>14</v>
      </c>
      <c r="E38" s="1" t="s">
        <v>17</v>
      </c>
      <c r="F38" s="1">
        <v>1998</v>
      </c>
      <c r="G38" s="1" t="s">
        <v>21</v>
      </c>
      <c r="H38" s="1">
        <v>2021</v>
      </c>
      <c r="I38" s="1" t="s">
        <v>1601</v>
      </c>
      <c r="J38" s="6">
        <v>38209</v>
      </c>
      <c r="K38" s="6">
        <v>31200</v>
      </c>
      <c r="L38" s="21">
        <v>0.81656154309194173</v>
      </c>
      <c r="M38" s="1">
        <v>0</v>
      </c>
      <c r="N38" s="1" t="s">
        <v>1589</v>
      </c>
      <c r="O38" s="1">
        <v>5</v>
      </c>
      <c r="P38" s="1">
        <v>0.6</v>
      </c>
      <c r="Q38" s="22">
        <v>44463</v>
      </c>
      <c r="R38" s="8">
        <v>282.70601167264255</v>
      </c>
      <c r="S38" s="9" t="s">
        <v>2654</v>
      </c>
      <c r="T38" s="8">
        <v>266.22836242770029</v>
      </c>
      <c r="U38" s="9" t="s">
        <v>2654</v>
      </c>
      <c r="V38" s="8">
        <v>283.73698605040698</v>
      </c>
      <c r="W38" s="8" t="s">
        <v>2654</v>
      </c>
      <c r="X38" s="8" t="s">
        <v>1773</v>
      </c>
    </row>
    <row r="39" spans="1:24" x14ac:dyDescent="0.3">
      <c r="A39" s="1" t="s">
        <v>1558</v>
      </c>
      <c r="B39" s="1" t="s">
        <v>2092</v>
      </c>
      <c r="C39" s="1" t="s">
        <v>1586</v>
      </c>
      <c r="D39" s="1" t="s">
        <v>14</v>
      </c>
      <c r="E39" s="1" t="s">
        <v>17</v>
      </c>
      <c r="F39" s="1">
        <v>2001</v>
      </c>
      <c r="G39" s="1" t="s">
        <v>21</v>
      </c>
      <c r="H39" s="1">
        <v>2022</v>
      </c>
      <c r="I39" s="1" t="s">
        <v>1818</v>
      </c>
      <c r="J39" s="6">
        <v>28602</v>
      </c>
      <c r="K39" s="6">
        <v>28602</v>
      </c>
      <c r="L39" s="21">
        <v>1</v>
      </c>
      <c r="M39" s="1">
        <v>0</v>
      </c>
      <c r="N39" s="1" t="s">
        <v>1590</v>
      </c>
      <c r="O39" s="1" t="s">
        <v>18</v>
      </c>
      <c r="P39" s="1" t="s">
        <v>18</v>
      </c>
      <c r="Q39" s="22" t="s">
        <v>18</v>
      </c>
      <c r="R39" s="8">
        <v>264.2544954898259</v>
      </c>
      <c r="S39" s="9" t="s">
        <v>2654</v>
      </c>
      <c r="T39" s="8">
        <v>275.80436927487585</v>
      </c>
      <c r="U39" s="9" t="s">
        <v>2654</v>
      </c>
      <c r="V39" s="8">
        <v>278.09360813929095</v>
      </c>
      <c r="W39" s="8" t="s">
        <v>2654</v>
      </c>
      <c r="X39" s="8" t="s">
        <v>1773</v>
      </c>
    </row>
    <row r="40" spans="1:24" x14ac:dyDescent="0.3">
      <c r="A40" s="1" t="s">
        <v>48</v>
      </c>
      <c r="B40" s="1" t="s">
        <v>49</v>
      </c>
      <c r="C40" s="1" t="s">
        <v>1586</v>
      </c>
      <c r="D40" s="1" t="s">
        <v>14</v>
      </c>
      <c r="E40" s="1" t="s">
        <v>17</v>
      </c>
      <c r="F40" s="1">
        <v>1999</v>
      </c>
      <c r="G40" s="1" t="s">
        <v>19</v>
      </c>
      <c r="H40" s="1">
        <v>2020</v>
      </c>
      <c r="I40" s="1" t="s">
        <v>1599</v>
      </c>
      <c r="J40" s="6">
        <v>36280</v>
      </c>
      <c r="K40" s="6">
        <v>30698</v>
      </c>
      <c r="L40" s="21">
        <v>0.84614112458654911</v>
      </c>
      <c r="M40" s="1">
        <v>0</v>
      </c>
      <c r="N40" s="1" t="s">
        <v>1589</v>
      </c>
      <c r="O40" s="1">
        <v>1999</v>
      </c>
      <c r="P40" s="1">
        <v>0.56000000000000005</v>
      </c>
      <c r="Q40" s="22">
        <v>44283</v>
      </c>
      <c r="R40" s="8">
        <v>296.74744349503857</v>
      </c>
      <c r="S40" s="9" t="s">
        <v>2654</v>
      </c>
      <c r="T40" s="8">
        <v>278.64310915104738</v>
      </c>
      <c r="U40" s="9" t="s">
        <v>2654</v>
      </c>
      <c r="V40" s="8">
        <v>275.19443219404633</v>
      </c>
      <c r="W40" s="8" t="s">
        <v>2654</v>
      </c>
      <c r="X40" s="8" t="s">
        <v>1773</v>
      </c>
    </row>
    <row r="41" spans="1:24" x14ac:dyDescent="0.3">
      <c r="A41" s="1" t="s">
        <v>2211</v>
      </c>
      <c r="B41" s="1" t="s">
        <v>332</v>
      </c>
      <c r="C41" s="1" t="s">
        <v>1586</v>
      </c>
      <c r="D41" s="1" t="s">
        <v>14</v>
      </c>
      <c r="E41" s="1" t="s">
        <v>17</v>
      </c>
      <c r="F41" s="1">
        <v>2013</v>
      </c>
      <c r="G41" s="1" t="s">
        <v>21</v>
      </c>
      <c r="H41" s="1">
        <v>2013</v>
      </c>
      <c r="I41" s="1" t="s">
        <v>1600</v>
      </c>
      <c r="J41" s="6">
        <v>45637</v>
      </c>
      <c r="K41" s="6">
        <v>30912</v>
      </c>
      <c r="L41" s="21">
        <v>0.6773451366216009</v>
      </c>
      <c r="M41" s="1">
        <v>0</v>
      </c>
      <c r="N41" s="1" t="s">
        <v>1589</v>
      </c>
      <c r="O41" s="1">
        <v>7</v>
      </c>
      <c r="P41" s="1">
        <v>0.65</v>
      </c>
      <c r="Q41" s="22">
        <v>44124</v>
      </c>
      <c r="R41" s="8">
        <v>246.18021555849845</v>
      </c>
      <c r="S41" s="9" t="s">
        <v>2654</v>
      </c>
      <c r="T41" s="8">
        <v>264.46478817837334</v>
      </c>
      <c r="U41" s="9" t="s">
        <v>2654</v>
      </c>
      <c r="V41" s="8">
        <v>266.94398625880132</v>
      </c>
      <c r="W41" s="8" t="s">
        <v>2654</v>
      </c>
      <c r="X41" s="8" t="s">
        <v>1773</v>
      </c>
    </row>
    <row r="42" spans="1:24" x14ac:dyDescent="0.3">
      <c r="A42" s="1" t="s">
        <v>1820</v>
      </c>
      <c r="B42" s="1" t="s">
        <v>1124</v>
      </c>
      <c r="C42" s="1" t="s">
        <v>1586</v>
      </c>
      <c r="D42" s="1" t="s">
        <v>14</v>
      </c>
      <c r="E42" s="1" t="s">
        <v>17</v>
      </c>
      <c r="F42" s="1">
        <v>2013</v>
      </c>
      <c r="G42" s="1" t="s">
        <v>19</v>
      </c>
      <c r="H42" s="1">
        <v>2022</v>
      </c>
      <c r="I42" s="1" t="s">
        <v>1601</v>
      </c>
      <c r="J42" s="6">
        <v>22500</v>
      </c>
      <c r="K42" s="6">
        <v>2800</v>
      </c>
      <c r="L42" s="21">
        <v>0.12444444444444444</v>
      </c>
      <c r="M42" s="1">
        <v>0</v>
      </c>
      <c r="N42" s="1" t="s">
        <v>1821</v>
      </c>
      <c r="O42" s="1" t="s">
        <v>18</v>
      </c>
      <c r="P42" s="1" t="s">
        <v>18</v>
      </c>
      <c r="Q42" s="22" t="s">
        <v>18</v>
      </c>
      <c r="R42" s="8">
        <v>256.5496</v>
      </c>
      <c r="S42" s="9"/>
      <c r="T42" s="8">
        <v>243.08789999999999</v>
      </c>
      <c r="U42" s="9"/>
      <c r="V42" s="8">
        <v>259.32676666666669</v>
      </c>
      <c r="W42" s="8"/>
      <c r="X42" s="8"/>
    </row>
    <row r="43" spans="1:24" x14ac:dyDescent="0.3">
      <c r="A43" s="1" t="s">
        <v>1520</v>
      </c>
      <c r="B43" s="1" t="s">
        <v>1521</v>
      </c>
      <c r="C43" s="1" t="s">
        <v>1586</v>
      </c>
      <c r="D43" s="1" t="s">
        <v>14</v>
      </c>
      <c r="E43" s="1" t="s">
        <v>17</v>
      </c>
      <c r="F43" s="1">
        <v>1970</v>
      </c>
      <c r="G43" s="1" t="s">
        <v>25</v>
      </c>
      <c r="H43" s="1">
        <v>2014</v>
      </c>
      <c r="I43" s="1" t="s">
        <v>1601</v>
      </c>
      <c r="J43" s="6">
        <v>20999</v>
      </c>
      <c r="K43" s="6">
        <v>18900</v>
      </c>
      <c r="L43" s="21">
        <v>0.90004285918377069</v>
      </c>
      <c r="M43" s="1">
        <v>0</v>
      </c>
      <c r="N43" s="1" t="s">
        <v>1589</v>
      </c>
      <c r="O43" s="1">
        <v>13</v>
      </c>
      <c r="P43" s="1">
        <v>0.52600000000000002</v>
      </c>
      <c r="Q43" s="22">
        <v>44927</v>
      </c>
      <c r="R43" s="8">
        <v>241.77654793085387</v>
      </c>
      <c r="S43" s="9" t="s">
        <v>2654</v>
      </c>
      <c r="T43" s="8">
        <v>243.19198390399546</v>
      </c>
      <c r="U43" s="9" t="s">
        <v>2654</v>
      </c>
      <c r="V43" s="8">
        <v>247.63525405971714</v>
      </c>
      <c r="W43" s="8" t="s">
        <v>2654</v>
      </c>
      <c r="X43" s="8"/>
    </row>
    <row r="44" spans="1:24" x14ac:dyDescent="0.3">
      <c r="A44" s="1" t="s">
        <v>472</v>
      </c>
      <c r="B44" s="1" t="s">
        <v>473</v>
      </c>
      <c r="C44" s="1" t="s">
        <v>1586</v>
      </c>
      <c r="D44" s="1" t="s">
        <v>14</v>
      </c>
      <c r="E44" s="1" t="s">
        <v>17</v>
      </c>
      <c r="F44" s="1">
        <v>1993</v>
      </c>
      <c r="G44" s="1" t="s">
        <v>25</v>
      </c>
      <c r="H44" s="1">
        <v>2021</v>
      </c>
      <c r="I44" s="1" t="s">
        <v>1601</v>
      </c>
      <c r="J44" s="6">
        <v>49048</v>
      </c>
      <c r="K44" s="6">
        <v>26199</v>
      </c>
      <c r="L44" s="21">
        <v>0.5341502201924645</v>
      </c>
      <c r="M44" s="1">
        <v>0</v>
      </c>
      <c r="N44" s="1" t="s">
        <v>1589</v>
      </c>
      <c r="O44" s="1">
        <v>12</v>
      </c>
      <c r="P44" s="1">
        <v>0.60099999999999998</v>
      </c>
      <c r="Q44" s="22">
        <v>44379</v>
      </c>
      <c r="R44" s="8">
        <v>225.98765495025282</v>
      </c>
      <c r="S44" s="9" t="s">
        <v>2654</v>
      </c>
      <c r="T44" s="8">
        <v>237.47619678682108</v>
      </c>
      <c r="U44" s="9" t="s">
        <v>2654</v>
      </c>
      <c r="V44" s="8">
        <v>240.23010112542815</v>
      </c>
      <c r="W44" s="8" t="s">
        <v>2654</v>
      </c>
      <c r="X44" s="8"/>
    </row>
    <row r="45" spans="1:24" x14ac:dyDescent="0.3">
      <c r="A45" s="1" t="s">
        <v>2140</v>
      </c>
      <c r="B45" s="1" t="s">
        <v>2141</v>
      </c>
      <c r="C45" s="1" t="s">
        <v>1586</v>
      </c>
      <c r="D45" s="1" t="s">
        <v>14</v>
      </c>
      <c r="E45" s="1" t="s">
        <v>17</v>
      </c>
      <c r="F45" s="1">
        <v>2016</v>
      </c>
      <c r="G45" s="1" t="s">
        <v>19</v>
      </c>
      <c r="H45" s="1">
        <v>2020</v>
      </c>
      <c r="I45" s="1" t="s">
        <v>1600</v>
      </c>
      <c r="J45" s="6">
        <v>129726</v>
      </c>
      <c r="K45" s="6">
        <v>115000</v>
      </c>
      <c r="L45" s="21">
        <v>0.88648381974315094</v>
      </c>
      <c r="M45" s="1">
        <v>223</v>
      </c>
      <c r="N45" s="1" t="s">
        <v>1589</v>
      </c>
      <c r="O45" s="1">
        <v>5</v>
      </c>
      <c r="P45" s="1">
        <v>0.64500000000000002</v>
      </c>
      <c r="Q45" s="22">
        <v>43237</v>
      </c>
      <c r="R45" s="8">
        <v>326.89234232150841</v>
      </c>
      <c r="S45" s="9" t="s">
        <v>2654</v>
      </c>
      <c r="T45" s="8">
        <v>226.47304318332485</v>
      </c>
      <c r="U45" s="9" t="s">
        <v>2654</v>
      </c>
      <c r="V45" s="8">
        <v>234.80560566116276</v>
      </c>
      <c r="W45" s="8" t="s">
        <v>2654</v>
      </c>
      <c r="X45" s="8"/>
    </row>
    <row r="46" spans="1:24" x14ac:dyDescent="0.3">
      <c r="A46" s="1" t="s">
        <v>806</v>
      </c>
      <c r="B46" s="1" t="s">
        <v>807</v>
      </c>
      <c r="C46" s="1" t="s">
        <v>1586</v>
      </c>
      <c r="D46" s="1" t="s">
        <v>14</v>
      </c>
      <c r="E46" s="1" t="s">
        <v>17</v>
      </c>
      <c r="F46" s="1">
        <v>1990</v>
      </c>
      <c r="G46" s="1" t="s">
        <v>21</v>
      </c>
      <c r="H46" s="1">
        <v>2019</v>
      </c>
      <c r="I46" s="1" t="s">
        <v>1601</v>
      </c>
      <c r="J46" s="6">
        <v>15159</v>
      </c>
      <c r="K46" s="6">
        <v>14547</v>
      </c>
      <c r="L46" s="21">
        <v>0.95962794379576488</v>
      </c>
      <c r="M46" s="1">
        <v>0</v>
      </c>
      <c r="N46" s="1" t="s">
        <v>1589</v>
      </c>
      <c r="O46" s="1">
        <v>9</v>
      </c>
      <c r="P46" s="1">
        <v>0.6</v>
      </c>
      <c r="Q46" s="22">
        <v>41899</v>
      </c>
      <c r="R46" s="8">
        <v>239.85549276521968</v>
      </c>
      <c r="S46" s="9" t="s">
        <v>2654</v>
      </c>
      <c r="T46" s="8">
        <v>236.34577615523108</v>
      </c>
      <c r="U46" s="9" t="s">
        <v>2654</v>
      </c>
      <c r="V46" s="8">
        <v>229.43097152763886</v>
      </c>
      <c r="W46" s="8" t="s">
        <v>2654</v>
      </c>
      <c r="X46" s="8"/>
    </row>
    <row r="47" spans="1:24" x14ac:dyDescent="0.3">
      <c r="A47" s="1" t="s">
        <v>61</v>
      </c>
      <c r="B47" s="1" t="s">
        <v>62</v>
      </c>
      <c r="C47" s="1" t="s">
        <v>1586</v>
      </c>
      <c r="D47" s="1" t="s">
        <v>14</v>
      </c>
      <c r="E47" s="1" t="s">
        <v>17</v>
      </c>
      <c r="F47" s="1">
        <v>1979</v>
      </c>
      <c r="G47" s="1" t="s">
        <v>19</v>
      </c>
      <c r="H47" s="1">
        <v>2022</v>
      </c>
      <c r="I47" s="1" t="s">
        <v>1818</v>
      </c>
      <c r="J47" s="6">
        <v>110520</v>
      </c>
      <c r="K47" s="6">
        <v>79182</v>
      </c>
      <c r="L47" s="21">
        <v>0.7164495114006515</v>
      </c>
      <c r="M47" s="1">
        <v>0</v>
      </c>
      <c r="N47" s="1" t="s">
        <v>1589</v>
      </c>
      <c r="O47" s="1">
        <v>13</v>
      </c>
      <c r="P47" s="1">
        <v>0.64700000000000002</v>
      </c>
      <c r="Q47" s="22">
        <v>43894</v>
      </c>
      <c r="R47" s="8">
        <v>204.23494028230186</v>
      </c>
      <c r="S47" s="9" t="s">
        <v>2655</v>
      </c>
      <c r="T47" s="8">
        <v>211.80369163952227</v>
      </c>
      <c r="U47" s="9" t="s">
        <v>2654</v>
      </c>
      <c r="V47" s="8">
        <v>225.45038002171552</v>
      </c>
      <c r="W47" s="8" t="s">
        <v>2654</v>
      </c>
      <c r="X47" s="8"/>
    </row>
    <row r="48" spans="1:24" x14ac:dyDescent="0.3">
      <c r="A48" s="1" t="s">
        <v>163</v>
      </c>
      <c r="B48" s="1" t="s">
        <v>164</v>
      </c>
      <c r="C48" s="1" t="s">
        <v>1586</v>
      </c>
      <c r="D48" s="1" t="s">
        <v>14</v>
      </c>
      <c r="E48" s="1" t="s">
        <v>17</v>
      </c>
      <c r="F48" s="1">
        <v>2002</v>
      </c>
      <c r="J48" s="6">
        <v>39145</v>
      </c>
      <c r="K48" s="6">
        <v>34501</v>
      </c>
      <c r="L48" s="21">
        <v>0.88136415889641073</v>
      </c>
      <c r="M48" s="1">
        <v>0</v>
      </c>
      <c r="N48" s="1" t="s">
        <v>1589</v>
      </c>
      <c r="O48" s="1">
        <v>21</v>
      </c>
      <c r="P48" s="1" t="s">
        <v>18</v>
      </c>
      <c r="Q48" s="22" t="s">
        <v>18</v>
      </c>
      <c r="R48" s="8">
        <v>202.69234793715671</v>
      </c>
      <c r="S48" s="9" t="s">
        <v>2655</v>
      </c>
      <c r="T48" s="8">
        <v>200.19914803934088</v>
      </c>
      <c r="U48" s="9" t="s">
        <v>2655</v>
      </c>
      <c r="V48" s="8">
        <v>218.24720705070891</v>
      </c>
      <c r="W48" s="8" t="s">
        <v>2654</v>
      </c>
      <c r="X48" s="8"/>
    </row>
    <row r="49" spans="1:24" x14ac:dyDescent="0.3">
      <c r="A49" s="1" t="s">
        <v>2577</v>
      </c>
      <c r="B49" s="1" t="s">
        <v>271</v>
      </c>
      <c r="C49" s="1" t="s">
        <v>1586</v>
      </c>
      <c r="D49" s="1" t="s">
        <v>14</v>
      </c>
      <c r="E49" s="1" t="s">
        <v>17</v>
      </c>
      <c r="F49" s="1">
        <v>2002</v>
      </c>
      <c r="J49" s="6">
        <v>53581.36</v>
      </c>
      <c r="K49" s="6">
        <v>42866</v>
      </c>
      <c r="L49" s="21">
        <v>0.80001702084456239</v>
      </c>
      <c r="M49" s="1">
        <v>0</v>
      </c>
      <c r="N49" s="1" t="s">
        <v>1589</v>
      </c>
      <c r="O49" s="1" t="s">
        <v>18</v>
      </c>
      <c r="P49" s="1" t="s">
        <v>18</v>
      </c>
      <c r="Q49" s="22" t="s">
        <v>18</v>
      </c>
      <c r="R49" s="8">
        <v>76.248609964360739</v>
      </c>
      <c r="S49" s="9" t="s">
        <v>2657</v>
      </c>
      <c r="T49" s="8">
        <v>210.09429454571517</v>
      </c>
      <c r="U49" s="9" t="s">
        <v>2654</v>
      </c>
      <c r="V49" s="8">
        <v>215.47779115722332</v>
      </c>
      <c r="W49" s="8" t="s">
        <v>2654</v>
      </c>
      <c r="X49" s="8"/>
    </row>
    <row r="50" spans="1:24" x14ac:dyDescent="0.3">
      <c r="A50" s="1" t="s">
        <v>2365</v>
      </c>
      <c r="B50" s="1" t="s">
        <v>2366</v>
      </c>
      <c r="C50" s="1" t="s">
        <v>1586</v>
      </c>
      <c r="D50" s="1" t="s">
        <v>14</v>
      </c>
      <c r="E50" s="1" t="s">
        <v>17</v>
      </c>
      <c r="F50" s="1">
        <v>2019</v>
      </c>
      <c r="J50" s="6">
        <v>42630</v>
      </c>
      <c r="K50" s="6">
        <v>36510</v>
      </c>
      <c r="L50" s="21">
        <v>0.85643912737508798</v>
      </c>
      <c r="M50" s="1">
        <v>0</v>
      </c>
      <c r="N50" s="1" t="s">
        <v>1590</v>
      </c>
      <c r="O50" s="1" t="s">
        <v>18</v>
      </c>
      <c r="P50" s="1">
        <v>0.57299999999999995</v>
      </c>
      <c r="Q50" s="22">
        <v>44404</v>
      </c>
      <c r="R50" s="8">
        <v>95.731367581515372</v>
      </c>
      <c r="S50" s="9" t="s">
        <v>2657</v>
      </c>
      <c r="T50" s="8">
        <v>203.51817968566738</v>
      </c>
      <c r="U50" s="9" t="s">
        <v>2654</v>
      </c>
      <c r="V50" s="8">
        <v>214.31550551254983</v>
      </c>
      <c r="W50" s="8" t="s">
        <v>2654</v>
      </c>
      <c r="X50" s="8"/>
    </row>
    <row r="51" spans="1:24" x14ac:dyDescent="0.3">
      <c r="A51" s="1" t="s">
        <v>772</v>
      </c>
      <c r="B51" s="1" t="s">
        <v>1849</v>
      </c>
      <c r="C51" s="1" t="s">
        <v>1586</v>
      </c>
      <c r="D51" s="1" t="s">
        <v>14</v>
      </c>
      <c r="E51" s="1" t="s">
        <v>17</v>
      </c>
      <c r="F51" s="1">
        <v>2014</v>
      </c>
      <c r="G51" s="1" t="s">
        <v>21</v>
      </c>
      <c r="H51" s="1">
        <v>2021</v>
      </c>
      <c r="I51" s="1" t="s">
        <v>1600</v>
      </c>
      <c r="J51" s="6">
        <v>62328</v>
      </c>
      <c r="K51" s="6">
        <v>57395</v>
      </c>
      <c r="L51" s="21">
        <v>0.92085419073289698</v>
      </c>
      <c r="M51" s="1">
        <v>0</v>
      </c>
      <c r="N51" s="1" t="s">
        <v>1589</v>
      </c>
      <c r="O51" s="1">
        <v>8</v>
      </c>
      <c r="P51" s="1" t="s">
        <v>18</v>
      </c>
      <c r="Q51" s="22" t="s">
        <v>18</v>
      </c>
      <c r="R51" s="8">
        <v>213.31976800154024</v>
      </c>
      <c r="S51" s="9" t="s">
        <v>2654</v>
      </c>
      <c r="T51" s="8">
        <v>218.06505102040816</v>
      </c>
      <c r="U51" s="9" t="s">
        <v>2654</v>
      </c>
      <c r="V51" s="8">
        <v>211.94657296881016</v>
      </c>
      <c r="W51" s="8" t="s">
        <v>2654</v>
      </c>
      <c r="X51" s="8"/>
    </row>
    <row r="52" spans="1:24" x14ac:dyDescent="0.3">
      <c r="A52" s="1" t="s">
        <v>1052</v>
      </c>
      <c r="B52" s="1" t="s">
        <v>1053</v>
      </c>
      <c r="C52" s="1" t="s">
        <v>1586</v>
      </c>
      <c r="D52" s="1" t="s">
        <v>14</v>
      </c>
      <c r="E52" s="1" t="s">
        <v>17</v>
      </c>
      <c r="F52" s="1">
        <v>1999</v>
      </c>
      <c r="G52" s="1" t="s">
        <v>19</v>
      </c>
      <c r="H52" s="1">
        <v>2015</v>
      </c>
      <c r="I52" s="1" t="s">
        <v>1601</v>
      </c>
      <c r="J52" s="6">
        <v>38324</v>
      </c>
      <c r="K52" s="6">
        <v>30249</v>
      </c>
      <c r="L52" s="21">
        <v>0.78929652437115128</v>
      </c>
      <c r="M52" s="1">
        <v>0</v>
      </c>
      <c r="N52" s="1" t="s">
        <v>1589</v>
      </c>
      <c r="O52" s="1">
        <v>7</v>
      </c>
      <c r="P52" s="1">
        <v>0.6</v>
      </c>
      <c r="Q52" s="22">
        <v>44135</v>
      </c>
      <c r="R52" s="8">
        <v>212.22555970149253</v>
      </c>
      <c r="S52" s="9" t="s">
        <v>2654</v>
      </c>
      <c r="T52" s="8">
        <v>209.77163631144973</v>
      </c>
      <c r="U52" s="9" t="s">
        <v>2654</v>
      </c>
      <c r="V52" s="8">
        <v>211.75532747103642</v>
      </c>
      <c r="W52" s="8" t="s">
        <v>2654</v>
      </c>
      <c r="X52" s="8"/>
    </row>
    <row r="53" spans="1:24" x14ac:dyDescent="0.3">
      <c r="A53" s="1" t="s">
        <v>986</v>
      </c>
      <c r="B53" s="1" t="s">
        <v>2451</v>
      </c>
      <c r="C53" s="1" t="s">
        <v>1586</v>
      </c>
      <c r="D53" s="1" t="s">
        <v>14</v>
      </c>
      <c r="E53" s="1" t="s">
        <v>17</v>
      </c>
      <c r="F53" s="1">
        <v>2016</v>
      </c>
      <c r="G53" s="1" t="s">
        <v>19</v>
      </c>
      <c r="H53" s="1">
        <v>2020</v>
      </c>
      <c r="I53" s="1" t="s">
        <v>1598</v>
      </c>
      <c r="J53" s="6">
        <v>120267.9</v>
      </c>
      <c r="K53" s="6">
        <v>42473</v>
      </c>
      <c r="L53" s="21">
        <v>0.35315325203150633</v>
      </c>
      <c r="M53" s="1">
        <v>0</v>
      </c>
      <c r="N53" s="1" t="s">
        <v>1589</v>
      </c>
      <c r="O53" s="1">
        <v>7</v>
      </c>
      <c r="P53" s="1" t="s">
        <v>18</v>
      </c>
      <c r="Q53" s="22" t="s">
        <v>18</v>
      </c>
      <c r="R53" s="8">
        <v>215.47421988743469</v>
      </c>
      <c r="S53" s="9" t="s">
        <v>2654</v>
      </c>
      <c r="T53" s="8">
        <v>207.86453825168644</v>
      </c>
      <c r="U53" s="9" t="s">
        <v>2654</v>
      </c>
      <c r="V53" s="8">
        <v>211.75307160098413</v>
      </c>
      <c r="W53" s="8" t="s">
        <v>2654</v>
      </c>
      <c r="X53" s="8"/>
    </row>
    <row r="54" spans="1:24" x14ac:dyDescent="0.3">
      <c r="A54" s="1" t="s">
        <v>1636</v>
      </c>
      <c r="B54" s="1" t="s">
        <v>602</v>
      </c>
      <c r="C54" s="1" t="s">
        <v>1586</v>
      </c>
      <c r="D54" s="1" t="s">
        <v>14</v>
      </c>
      <c r="E54" s="1" t="s">
        <v>17</v>
      </c>
      <c r="F54" s="1">
        <v>2002</v>
      </c>
      <c r="J54" s="6">
        <v>15345</v>
      </c>
      <c r="K54" s="6">
        <v>13475</v>
      </c>
      <c r="L54" s="21">
        <v>0.87813620071684584</v>
      </c>
      <c r="M54" s="1">
        <v>0</v>
      </c>
      <c r="N54" s="1" t="s">
        <v>28</v>
      </c>
      <c r="Q54" s="22"/>
      <c r="R54" s="8">
        <v>207.08830237862495</v>
      </c>
      <c r="S54" s="9" t="s">
        <v>2655</v>
      </c>
      <c r="T54" s="8">
        <v>211.63554903877485</v>
      </c>
      <c r="U54" s="9" t="s">
        <v>2654</v>
      </c>
      <c r="V54" s="8">
        <v>210.81759530791788</v>
      </c>
      <c r="W54" s="8" t="s">
        <v>2654</v>
      </c>
      <c r="X54" s="8"/>
    </row>
    <row r="55" spans="1:24" x14ac:dyDescent="0.3">
      <c r="A55" s="1" t="s">
        <v>341</v>
      </c>
      <c r="B55" s="1" t="s">
        <v>342</v>
      </c>
      <c r="C55" s="1" t="s">
        <v>1586</v>
      </c>
      <c r="D55" s="1" t="s">
        <v>14</v>
      </c>
      <c r="E55" s="1" t="s">
        <v>17</v>
      </c>
      <c r="F55" s="1">
        <v>2001</v>
      </c>
      <c r="J55" s="6">
        <v>15423</v>
      </c>
      <c r="K55" s="6">
        <v>8863</v>
      </c>
      <c r="L55" s="21">
        <v>0.57466122025546262</v>
      </c>
      <c r="M55" s="1">
        <v>0</v>
      </c>
      <c r="N55" s="1" t="s">
        <v>1589</v>
      </c>
      <c r="O55" s="1">
        <v>22</v>
      </c>
      <c r="P55" s="1" t="s">
        <v>18</v>
      </c>
      <c r="Q55" s="22" t="s">
        <v>18</v>
      </c>
      <c r="R55" s="8">
        <v>199.60130973221811</v>
      </c>
      <c r="S55" s="9" t="s">
        <v>2655</v>
      </c>
      <c r="T55" s="8">
        <v>208.23964209297802</v>
      </c>
      <c r="U55" s="9" t="s">
        <v>2654</v>
      </c>
      <c r="V55" s="8">
        <v>210.04399273811839</v>
      </c>
      <c r="W55" s="8" t="s">
        <v>2654</v>
      </c>
      <c r="X55" s="8"/>
    </row>
    <row r="56" spans="1:24" x14ac:dyDescent="0.3">
      <c r="A56" s="1" t="s">
        <v>496</v>
      </c>
      <c r="B56" s="1" t="s">
        <v>2599</v>
      </c>
      <c r="C56" s="1" t="s">
        <v>1586</v>
      </c>
      <c r="D56" s="1" t="s">
        <v>14</v>
      </c>
      <c r="E56" s="1" t="s">
        <v>17</v>
      </c>
      <c r="F56" s="1">
        <v>2008</v>
      </c>
      <c r="J56" s="6">
        <v>120383</v>
      </c>
      <c r="K56" s="6">
        <v>86950</v>
      </c>
      <c r="L56" s="21">
        <v>0.72227806251713278</v>
      </c>
      <c r="M56" s="1">
        <v>0</v>
      </c>
      <c r="N56" s="1" t="s">
        <v>1821</v>
      </c>
      <c r="Q56" s="22"/>
      <c r="R56" s="8">
        <v>197.49235911749074</v>
      </c>
      <c r="S56" s="9"/>
      <c r="T56" s="8">
        <v>204.45041616826157</v>
      </c>
      <c r="U56" s="9"/>
      <c r="V56" s="8">
        <v>209.95402395667202</v>
      </c>
      <c r="W56" s="8"/>
      <c r="X56" s="8"/>
    </row>
    <row r="57" spans="1:24" x14ac:dyDescent="0.3">
      <c r="A57" s="1" t="s">
        <v>902</v>
      </c>
      <c r="B57" s="1" t="s">
        <v>903</v>
      </c>
      <c r="C57" s="1" t="s">
        <v>1586</v>
      </c>
      <c r="D57" s="1" t="s">
        <v>14</v>
      </c>
      <c r="E57" s="1" t="s">
        <v>17</v>
      </c>
      <c r="F57" s="1">
        <v>2000</v>
      </c>
      <c r="G57" s="1" t="s">
        <v>19</v>
      </c>
      <c r="H57" s="1">
        <v>2020</v>
      </c>
      <c r="I57" s="1" t="s">
        <v>1601</v>
      </c>
      <c r="J57" s="6">
        <v>75021</v>
      </c>
      <c r="K57" s="6">
        <v>69037</v>
      </c>
      <c r="L57" s="21">
        <v>0.92023566734647633</v>
      </c>
      <c r="M57" s="1">
        <v>0</v>
      </c>
      <c r="N57" s="1" t="s">
        <v>1589</v>
      </c>
      <c r="O57" s="1">
        <v>23</v>
      </c>
      <c r="P57" s="1">
        <v>3.617</v>
      </c>
      <c r="Q57" s="22">
        <v>44195</v>
      </c>
      <c r="R57" s="8">
        <v>266.97900587835409</v>
      </c>
      <c r="S57" s="9" t="s">
        <v>2654</v>
      </c>
      <c r="T57" s="8">
        <v>236.22181789099054</v>
      </c>
      <c r="U57" s="9" t="s">
        <v>2654</v>
      </c>
      <c r="V57" s="8">
        <v>209.74075258927499</v>
      </c>
      <c r="W57" s="8" t="s">
        <v>2654</v>
      </c>
      <c r="X57" s="8"/>
    </row>
    <row r="58" spans="1:24" x14ac:dyDescent="0.3">
      <c r="A58" s="1" t="s">
        <v>1314</v>
      </c>
      <c r="B58" s="1" t="s">
        <v>1315</v>
      </c>
      <c r="C58" s="1" t="s">
        <v>1586</v>
      </c>
      <c r="D58" s="1" t="s">
        <v>14</v>
      </c>
      <c r="E58" s="1" t="s">
        <v>17</v>
      </c>
      <c r="F58" s="1">
        <v>2000</v>
      </c>
      <c r="G58" s="1" t="s">
        <v>19</v>
      </c>
      <c r="H58" s="1">
        <v>2020</v>
      </c>
      <c r="I58" s="1" t="s">
        <v>1601</v>
      </c>
      <c r="J58" s="6">
        <v>187345</v>
      </c>
      <c r="K58" s="6">
        <v>122472</v>
      </c>
      <c r="L58" s="21">
        <v>0.65372441218073607</v>
      </c>
      <c r="M58" s="1">
        <v>0</v>
      </c>
      <c r="N58" s="1" t="s">
        <v>1589</v>
      </c>
      <c r="O58" s="1">
        <v>10</v>
      </c>
      <c r="P58" s="1">
        <v>0.65</v>
      </c>
      <c r="Q58" s="22">
        <v>43723</v>
      </c>
      <c r="R58" s="8">
        <v>217.2691570631722</v>
      </c>
      <c r="S58" s="9" t="s">
        <v>2654</v>
      </c>
      <c r="T58" s="8">
        <v>205.15591934665991</v>
      </c>
      <c r="U58" s="9" t="s">
        <v>2654</v>
      </c>
      <c r="V58" s="8">
        <v>209.33697184339056</v>
      </c>
      <c r="W58" s="8" t="s">
        <v>2654</v>
      </c>
      <c r="X58" s="8"/>
    </row>
    <row r="59" spans="1:24" x14ac:dyDescent="0.3">
      <c r="A59" s="1" t="s">
        <v>2047</v>
      </c>
      <c r="B59" s="1" t="s">
        <v>866</v>
      </c>
      <c r="C59" s="1" t="s">
        <v>1586</v>
      </c>
      <c r="D59" s="1" t="s">
        <v>14</v>
      </c>
      <c r="E59" s="1" t="s">
        <v>17</v>
      </c>
      <c r="F59" s="1">
        <v>2005</v>
      </c>
      <c r="J59" s="6">
        <v>16616</v>
      </c>
      <c r="K59" s="6">
        <v>9195</v>
      </c>
      <c r="L59" s="21">
        <v>0.55338228213769858</v>
      </c>
      <c r="M59" s="1">
        <v>0</v>
      </c>
      <c r="N59" s="1" t="s">
        <v>1590</v>
      </c>
      <c r="O59" s="1" t="s">
        <v>18</v>
      </c>
      <c r="P59" s="1">
        <v>1.41</v>
      </c>
      <c r="Q59" s="22">
        <v>43770</v>
      </c>
      <c r="R59" s="8">
        <v>210.76085158883004</v>
      </c>
      <c r="S59" s="9" t="s">
        <v>2655</v>
      </c>
      <c r="T59" s="8">
        <v>220.23695414058739</v>
      </c>
      <c r="U59" s="9" t="s">
        <v>2654</v>
      </c>
      <c r="V59" s="8">
        <v>208.60228574867597</v>
      </c>
      <c r="W59" s="8" t="s">
        <v>2654</v>
      </c>
      <c r="X59" s="8"/>
    </row>
    <row r="60" spans="1:24" x14ac:dyDescent="0.3">
      <c r="A60" s="1" t="s">
        <v>244</v>
      </c>
      <c r="B60" s="1" t="s">
        <v>245</v>
      </c>
      <c r="C60" s="1" t="s">
        <v>1586</v>
      </c>
      <c r="D60" s="1" t="s">
        <v>14</v>
      </c>
      <c r="E60" s="1" t="s">
        <v>17</v>
      </c>
      <c r="F60" s="1">
        <v>1980</v>
      </c>
      <c r="G60" s="1" t="s">
        <v>19</v>
      </c>
      <c r="H60" s="1">
        <v>2022</v>
      </c>
      <c r="I60" s="1" t="s">
        <v>1599</v>
      </c>
      <c r="J60" s="6">
        <v>47740</v>
      </c>
      <c r="K60" s="6">
        <v>44136</v>
      </c>
      <c r="L60" s="21">
        <v>0.92450775031420196</v>
      </c>
      <c r="M60" s="1">
        <v>0</v>
      </c>
      <c r="N60" s="1" t="s">
        <v>1589</v>
      </c>
      <c r="O60" s="1">
        <v>13</v>
      </c>
      <c r="P60" s="1" t="s">
        <v>18</v>
      </c>
      <c r="Q60" s="22" t="s">
        <v>18</v>
      </c>
      <c r="R60" s="8">
        <v>224.30858965228322</v>
      </c>
      <c r="S60" s="9" t="s">
        <v>2654</v>
      </c>
      <c r="T60" s="8">
        <v>212.58265354000841</v>
      </c>
      <c r="U60" s="9" t="s">
        <v>2654</v>
      </c>
      <c r="V60" s="8">
        <v>208.4438680351906</v>
      </c>
      <c r="W60" s="8" t="s">
        <v>2654</v>
      </c>
      <c r="X60" s="8"/>
    </row>
    <row r="61" spans="1:24" x14ac:dyDescent="0.3">
      <c r="A61" s="1" t="s">
        <v>1072</v>
      </c>
      <c r="B61" s="1" t="s">
        <v>1073</v>
      </c>
      <c r="C61" s="1" t="s">
        <v>1586</v>
      </c>
      <c r="D61" s="1" t="s">
        <v>14</v>
      </c>
      <c r="E61" s="1" t="s">
        <v>17</v>
      </c>
      <c r="F61" s="1">
        <v>1989</v>
      </c>
      <c r="J61" s="6">
        <v>34560</v>
      </c>
      <c r="K61" s="6">
        <v>18000</v>
      </c>
      <c r="L61" s="21">
        <v>0.52083333333333337</v>
      </c>
      <c r="M61" s="1">
        <v>0</v>
      </c>
      <c r="N61" s="1" t="s">
        <v>1589</v>
      </c>
      <c r="O61" s="1">
        <v>3</v>
      </c>
      <c r="P61" s="1" t="s">
        <v>18</v>
      </c>
      <c r="Q61" s="22" t="s">
        <v>18</v>
      </c>
      <c r="R61" s="8">
        <v>222.24270833333333</v>
      </c>
      <c r="S61" s="9" t="s">
        <v>2654</v>
      </c>
      <c r="T61" s="8">
        <v>215.66996527777778</v>
      </c>
      <c r="U61" s="9" t="s">
        <v>2654</v>
      </c>
      <c r="V61" s="8">
        <v>206.42528935185186</v>
      </c>
      <c r="W61" s="8" t="s">
        <v>2654</v>
      </c>
      <c r="X61" s="8"/>
    </row>
    <row r="62" spans="1:24" x14ac:dyDescent="0.3">
      <c r="A62" s="1" t="s">
        <v>1370</v>
      </c>
      <c r="B62" s="1" t="s">
        <v>1371</v>
      </c>
      <c r="C62" s="1" t="s">
        <v>1586</v>
      </c>
      <c r="D62" s="1" t="s">
        <v>14</v>
      </c>
      <c r="E62" s="1" t="s">
        <v>17</v>
      </c>
      <c r="F62" s="1">
        <v>2016</v>
      </c>
      <c r="G62" s="1" t="s">
        <v>19</v>
      </c>
      <c r="H62" s="1">
        <v>2022</v>
      </c>
      <c r="I62" s="1" t="s">
        <v>1818</v>
      </c>
      <c r="J62" s="6">
        <v>51564</v>
      </c>
      <c r="K62" s="6">
        <v>41400</v>
      </c>
      <c r="L62" s="21">
        <v>0.80288573423318599</v>
      </c>
      <c r="M62" s="1">
        <v>0</v>
      </c>
      <c r="N62" s="1" t="s">
        <v>1589</v>
      </c>
      <c r="O62" s="1">
        <v>2016</v>
      </c>
      <c r="P62" s="1">
        <v>0.55000000000000004</v>
      </c>
      <c r="Q62" s="22">
        <v>44982</v>
      </c>
      <c r="R62" s="8">
        <v>186.14735862229463</v>
      </c>
      <c r="S62" s="9" t="s">
        <v>2655</v>
      </c>
      <c r="T62" s="8">
        <v>190.31193856178731</v>
      </c>
      <c r="U62" s="9" t="s">
        <v>2655</v>
      </c>
      <c r="V62" s="8">
        <v>204.60139632301608</v>
      </c>
      <c r="W62" s="8" t="s">
        <v>2655</v>
      </c>
      <c r="X62" s="8"/>
    </row>
    <row r="63" spans="1:24" x14ac:dyDescent="0.3">
      <c r="A63" s="1" t="s">
        <v>2416</v>
      </c>
      <c r="B63" s="1" t="s">
        <v>654</v>
      </c>
      <c r="C63" s="1" t="s">
        <v>1586</v>
      </c>
      <c r="D63" s="1" t="s">
        <v>14</v>
      </c>
      <c r="E63" s="1" t="s">
        <v>17</v>
      </c>
      <c r="F63" s="1">
        <v>2005</v>
      </c>
      <c r="G63" s="1" t="s">
        <v>19</v>
      </c>
      <c r="H63" s="1">
        <v>2019</v>
      </c>
      <c r="I63" s="1" t="s">
        <v>1597</v>
      </c>
      <c r="J63" s="6">
        <v>58783</v>
      </c>
      <c r="K63" s="6">
        <v>58783</v>
      </c>
      <c r="L63" s="21">
        <v>1</v>
      </c>
      <c r="M63" s="1">
        <v>0</v>
      </c>
      <c r="N63" s="1" t="s">
        <v>1589</v>
      </c>
      <c r="O63" s="1">
        <v>18</v>
      </c>
      <c r="P63" s="1">
        <v>0.81</v>
      </c>
      <c r="Q63" s="22">
        <v>43615</v>
      </c>
      <c r="R63" s="8">
        <v>188.46804007961487</v>
      </c>
      <c r="S63" s="9" t="s">
        <v>2655</v>
      </c>
      <c r="T63" s="8">
        <v>201.28971981695386</v>
      </c>
      <c r="U63" s="9" t="s">
        <v>2654</v>
      </c>
      <c r="V63" s="8">
        <v>204.13669258118841</v>
      </c>
      <c r="W63" s="8" t="s">
        <v>2655</v>
      </c>
      <c r="X63" s="8"/>
    </row>
    <row r="64" spans="1:24" x14ac:dyDescent="0.3">
      <c r="A64" s="1" t="s">
        <v>1406</v>
      </c>
      <c r="B64" s="1" t="s">
        <v>1407</v>
      </c>
      <c r="C64" s="1" t="s">
        <v>1586</v>
      </c>
      <c r="D64" s="1" t="s">
        <v>14</v>
      </c>
      <c r="E64" s="1" t="s">
        <v>17</v>
      </c>
      <c r="F64" s="1">
        <v>2001</v>
      </c>
      <c r="G64" s="1" t="s">
        <v>19</v>
      </c>
      <c r="H64" s="1">
        <v>2019</v>
      </c>
      <c r="I64" s="1" t="s">
        <v>1601</v>
      </c>
      <c r="J64" s="6">
        <v>106793</v>
      </c>
      <c r="K64" s="6">
        <v>27600</v>
      </c>
      <c r="L64" s="21">
        <v>0.25844390549942414</v>
      </c>
      <c r="M64" s="1">
        <v>0</v>
      </c>
      <c r="N64" s="1" t="s">
        <v>1589</v>
      </c>
      <c r="O64" s="1">
        <v>3</v>
      </c>
      <c r="P64" s="1">
        <v>0.52</v>
      </c>
      <c r="Q64" s="22">
        <v>43699</v>
      </c>
      <c r="R64" s="8">
        <v>216.86317455263921</v>
      </c>
      <c r="S64" s="9" t="s">
        <v>2654</v>
      </c>
      <c r="T64" s="8">
        <v>214.4199385727529</v>
      </c>
      <c r="U64" s="9" t="s">
        <v>2654</v>
      </c>
      <c r="V64" s="8">
        <v>203.0746022679389</v>
      </c>
      <c r="W64" s="8" t="s">
        <v>2655</v>
      </c>
      <c r="X64" s="8"/>
    </row>
    <row r="65" spans="1:24" x14ac:dyDescent="0.3">
      <c r="A65" s="1" t="s">
        <v>2041</v>
      </c>
      <c r="B65" s="1" t="s">
        <v>604</v>
      </c>
      <c r="C65" s="1" t="s">
        <v>1586</v>
      </c>
      <c r="D65" s="1" t="s">
        <v>14</v>
      </c>
      <c r="E65" s="1" t="s">
        <v>17</v>
      </c>
      <c r="F65" s="1">
        <v>1986</v>
      </c>
      <c r="G65" s="1" t="s">
        <v>21</v>
      </c>
      <c r="H65" s="1">
        <v>2018</v>
      </c>
      <c r="I65" s="1" t="s">
        <v>1597</v>
      </c>
      <c r="J65" s="6">
        <v>79650</v>
      </c>
      <c r="K65" s="6">
        <v>74816</v>
      </c>
      <c r="L65" s="21">
        <v>0.93930947897049588</v>
      </c>
      <c r="M65" s="1">
        <v>0</v>
      </c>
      <c r="N65" s="1" t="s">
        <v>1589</v>
      </c>
      <c r="O65" s="1">
        <v>11</v>
      </c>
      <c r="P65" s="1">
        <v>0.69</v>
      </c>
      <c r="Q65" s="22">
        <v>44306</v>
      </c>
      <c r="R65" s="8">
        <v>198.66567269303201</v>
      </c>
      <c r="S65" s="9" t="s">
        <v>2655</v>
      </c>
      <c r="T65" s="8">
        <v>192.30346327683617</v>
      </c>
      <c r="U65" s="9" t="s">
        <v>2655</v>
      </c>
      <c r="V65" s="8">
        <v>202.59139962335217</v>
      </c>
      <c r="W65" s="8" t="s">
        <v>2655</v>
      </c>
      <c r="X65" s="8"/>
    </row>
    <row r="66" spans="1:24" x14ac:dyDescent="0.3">
      <c r="A66" s="1" t="s">
        <v>2052</v>
      </c>
      <c r="B66" s="1" t="s">
        <v>1489</v>
      </c>
      <c r="C66" s="1" t="s">
        <v>1586</v>
      </c>
      <c r="D66" s="1" t="s">
        <v>14</v>
      </c>
      <c r="E66" s="1" t="s">
        <v>17</v>
      </c>
      <c r="F66" s="1">
        <v>2003</v>
      </c>
      <c r="G66" s="1" t="s">
        <v>25</v>
      </c>
      <c r="H66" s="1">
        <v>2020</v>
      </c>
      <c r="I66" s="1" t="s">
        <v>1599</v>
      </c>
      <c r="J66" s="6">
        <v>35533</v>
      </c>
      <c r="K66" s="6">
        <v>26752</v>
      </c>
      <c r="L66" s="21">
        <v>0.75287760673177051</v>
      </c>
      <c r="M66" s="1">
        <v>0</v>
      </c>
      <c r="N66" s="1" t="s">
        <v>1589</v>
      </c>
      <c r="O66" s="1">
        <v>2</v>
      </c>
      <c r="P66" s="1">
        <v>0.59</v>
      </c>
      <c r="Q66" s="22">
        <v>42515</v>
      </c>
      <c r="R66" s="8">
        <v>204.28530098781414</v>
      </c>
      <c r="S66" s="9" t="s">
        <v>2655</v>
      </c>
      <c r="T66" s="8">
        <v>212.43659696620043</v>
      </c>
      <c r="U66" s="9" t="s">
        <v>2654</v>
      </c>
      <c r="V66" s="8">
        <v>198.55955872006302</v>
      </c>
      <c r="W66" s="8" t="s">
        <v>2655</v>
      </c>
      <c r="X66" s="8"/>
    </row>
    <row r="67" spans="1:24" x14ac:dyDescent="0.3">
      <c r="A67" s="1" t="s">
        <v>2251</v>
      </c>
      <c r="B67" s="1" t="s">
        <v>2252</v>
      </c>
      <c r="C67" s="1" t="s">
        <v>1586</v>
      </c>
      <c r="D67" s="1" t="s">
        <v>14</v>
      </c>
      <c r="E67" s="1" t="s">
        <v>17</v>
      </c>
      <c r="F67" s="1">
        <v>2021</v>
      </c>
      <c r="J67" s="6">
        <v>80102</v>
      </c>
      <c r="K67" s="6">
        <v>67798</v>
      </c>
      <c r="L67" s="21">
        <v>0.84639584529724599</v>
      </c>
      <c r="M67" s="1">
        <v>0</v>
      </c>
      <c r="N67" s="1" t="s">
        <v>1589</v>
      </c>
      <c r="O67" s="1">
        <v>2</v>
      </c>
      <c r="P67" s="1">
        <v>0.752</v>
      </c>
      <c r="Q67" s="22">
        <v>44807</v>
      </c>
      <c r="R67" s="8" t="s">
        <v>18</v>
      </c>
      <c r="S67" s="9"/>
      <c r="T67" s="8">
        <v>67.07278220269157</v>
      </c>
      <c r="U67" s="9" t="s">
        <v>2657</v>
      </c>
      <c r="V67" s="8">
        <v>198.34778157848743</v>
      </c>
      <c r="W67" s="8" t="s">
        <v>2655</v>
      </c>
      <c r="X67" s="8"/>
    </row>
    <row r="68" spans="1:24" x14ac:dyDescent="0.3">
      <c r="A68" s="1" t="s">
        <v>648</v>
      </c>
      <c r="B68" s="1" t="s">
        <v>649</v>
      </c>
      <c r="C68" s="1" t="s">
        <v>1586</v>
      </c>
      <c r="D68" s="1" t="s">
        <v>14</v>
      </c>
      <c r="E68" s="1" t="s">
        <v>17</v>
      </c>
      <c r="F68" s="1">
        <v>1983</v>
      </c>
      <c r="J68" s="6">
        <v>19928</v>
      </c>
      <c r="K68" s="6">
        <v>14629</v>
      </c>
      <c r="L68" s="21">
        <v>0.7340927338418306</v>
      </c>
      <c r="M68" s="1">
        <v>3</v>
      </c>
      <c r="N68" s="1" t="s">
        <v>1787</v>
      </c>
      <c r="P68" s="1">
        <v>0.83</v>
      </c>
      <c r="Q68" s="22">
        <v>42928</v>
      </c>
      <c r="R68" s="8">
        <v>210.40291649939783</v>
      </c>
      <c r="S68" s="9" t="s">
        <v>2655</v>
      </c>
      <c r="T68" s="8">
        <v>197.75843235648338</v>
      </c>
      <c r="U68" s="9" t="s">
        <v>2655</v>
      </c>
      <c r="V68" s="8">
        <v>198.21868576876759</v>
      </c>
      <c r="W68" s="8" t="s">
        <v>2655</v>
      </c>
      <c r="X68" s="8"/>
    </row>
    <row r="69" spans="1:24" x14ac:dyDescent="0.3">
      <c r="A69" s="1" t="s">
        <v>2262</v>
      </c>
      <c r="B69" s="1" t="s">
        <v>2263</v>
      </c>
      <c r="C69" s="1" t="s">
        <v>1586</v>
      </c>
      <c r="D69" s="1" t="s">
        <v>14</v>
      </c>
      <c r="E69" s="1" t="s">
        <v>17</v>
      </c>
      <c r="F69" s="1">
        <v>2012</v>
      </c>
      <c r="G69" s="1" t="s">
        <v>21</v>
      </c>
      <c r="H69" s="1">
        <v>2022</v>
      </c>
      <c r="I69" s="1" t="s">
        <v>1818</v>
      </c>
      <c r="J69" s="6">
        <v>71158</v>
      </c>
      <c r="K69" s="6">
        <v>53000</v>
      </c>
      <c r="L69" s="21">
        <v>0.74482138340032045</v>
      </c>
      <c r="M69" s="1">
        <v>0</v>
      </c>
      <c r="N69" s="1" t="s">
        <v>1589</v>
      </c>
      <c r="O69" s="1">
        <v>10</v>
      </c>
      <c r="P69" s="1">
        <v>0.63200000000000001</v>
      </c>
      <c r="Q69" s="22">
        <v>45046</v>
      </c>
      <c r="R69" s="8">
        <v>199.87414275274742</v>
      </c>
      <c r="S69" s="9" t="s">
        <v>2655</v>
      </c>
      <c r="T69" s="8">
        <v>192.81696365833778</v>
      </c>
      <c r="U69" s="9" t="s">
        <v>2655</v>
      </c>
      <c r="V69" s="8">
        <v>196.11769934511932</v>
      </c>
      <c r="W69" s="8" t="s">
        <v>2655</v>
      </c>
      <c r="X69" s="8"/>
    </row>
    <row r="70" spans="1:24" x14ac:dyDescent="0.3">
      <c r="A70" s="1" t="s">
        <v>559</v>
      </c>
      <c r="B70" s="1" t="s">
        <v>560</v>
      </c>
      <c r="C70" s="1" t="s">
        <v>1586</v>
      </c>
      <c r="D70" s="1" t="s">
        <v>14</v>
      </c>
      <c r="E70" s="1" t="s">
        <v>17</v>
      </c>
      <c r="F70" s="1">
        <v>1997</v>
      </c>
      <c r="G70" s="1" t="s">
        <v>21</v>
      </c>
      <c r="H70" s="1">
        <v>2016</v>
      </c>
      <c r="I70" s="1" t="s">
        <v>1601</v>
      </c>
      <c r="J70" s="6">
        <v>18110</v>
      </c>
      <c r="K70" s="6">
        <v>14803</v>
      </c>
      <c r="L70" s="21">
        <v>0.81739370513528442</v>
      </c>
      <c r="M70" s="1">
        <v>0</v>
      </c>
      <c r="N70" s="1" t="s">
        <v>1589</v>
      </c>
      <c r="O70" s="1">
        <v>6</v>
      </c>
      <c r="P70" s="1" t="s">
        <v>18</v>
      </c>
      <c r="Q70" s="22" t="s">
        <v>18</v>
      </c>
      <c r="R70" s="8">
        <v>184.0236057426836</v>
      </c>
      <c r="S70" s="9" t="s">
        <v>2655</v>
      </c>
      <c r="T70" s="8">
        <v>186.81165102153506</v>
      </c>
      <c r="U70" s="9" t="s">
        <v>2655</v>
      </c>
      <c r="V70" s="8">
        <v>194.48520154610713</v>
      </c>
      <c r="W70" s="8" t="s">
        <v>2655</v>
      </c>
      <c r="X70" s="8"/>
    </row>
    <row r="71" spans="1:24" x14ac:dyDescent="0.3">
      <c r="A71" s="1" t="s">
        <v>1634</v>
      </c>
      <c r="B71" s="1" t="s">
        <v>182</v>
      </c>
      <c r="C71" s="1" t="s">
        <v>1586</v>
      </c>
      <c r="D71" s="1" t="s">
        <v>14</v>
      </c>
      <c r="E71" s="1" t="s">
        <v>17</v>
      </c>
      <c r="F71" s="1">
        <v>1992</v>
      </c>
      <c r="J71" s="6">
        <v>16105</v>
      </c>
      <c r="K71" s="6">
        <v>16000</v>
      </c>
      <c r="L71" s="21">
        <v>0.9934802856255821</v>
      </c>
      <c r="M71" s="1">
        <v>0</v>
      </c>
      <c r="N71" s="1" t="s">
        <v>28</v>
      </c>
      <c r="O71" s="1" t="s">
        <v>18</v>
      </c>
      <c r="P71" s="1" t="s">
        <v>18</v>
      </c>
      <c r="Q71" s="22" t="s">
        <v>18</v>
      </c>
      <c r="R71" s="8">
        <v>210.41181310152126</v>
      </c>
      <c r="S71" s="9" t="s">
        <v>2655</v>
      </c>
      <c r="T71" s="8">
        <v>196.3417342440236</v>
      </c>
      <c r="U71" s="9" t="s">
        <v>2655</v>
      </c>
      <c r="V71" s="8">
        <v>194.20538652592361</v>
      </c>
      <c r="W71" s="8" t="s">
        <v>2655</v>
      </c>
      <c r="X71" s="8"/>
    </row>
    <row r="72" spans="1:24" x14ac:dyDescent="0.3">
      <c r="A72" s="1" t="s">
        <v>1518</v>
      </c>
      <c r="B72" s="1" t="s">
        <v>2284</v>
      </c>
      <c r="C72" s="1" t="s">
        <v>1586</v>
      </c>
      <c r="D72" s="1" t="s">
        <v>14</v>
      </c>
      <c r="E72" s="1" t="s">
        <v>17</v>
      </c>
      <c r="F72" s="1">
        <v>1980</v>
      </c>
      <c r="G72" s="1" t="s">
        <v>25</v>
      </c>
      <c r="H72" s="1">
        <v>2018</v>
      </c>
      <c r="I72" s="1" t="s">
        <v>1601</v>
      </c>
      <c r="J72" s="6">
        <v>23965</v>
      </c>
      <c r="K72" s="6">
        <v>20875</v>
      </c>
      <c r="L72" s="21">
        <v>0.87106196536615899</v>
      </c>
      <c r="M72" s="1">
        <v>0</v>
      </c>
      <c r="N72" s="1" t="s">
        <v>1589</v>
      </c>
      <c r="O72" s="1">
        <v>2015</v>
      </c>
      <c r="P72" s="1">
        <v>0.55600000000000005</v>
      </c>
      <c r="Q72" s="22">
        <v>45028</v>
      </c>
      <c r="R72" s="8">
        <v>204.47373628207799</v>
      </c>
      <c r="S72" s="9" t="s">
        <v>2655</v>
      </c>
      <c r="T72" s="8">
        <v>196.79816190277484</v>
      </c>
      <c r="U72" s="9" t="s">
        <v>2655</v>
      </c>
      <c r="V72" s="8">
        <v>193.84607928228667</v>
      </c>
      <c r="W72" s="8" t="s">
        <v>2655</v>
      </c>
      <c r="X72" s="8"/>
    </row>
    <row r="73" spans="1:24" x14ac:dyDescent="0.3">
      <c r="A73" s="1" t="s">
        <v>2337</v>
      </c>
      <c r="B73" s="1" t="s">
        <v>2338</v>
      </c>
      <c r="C73" s="1" t="s">
        <v>1586</v>
      </c>
      <c r="D73" s="1" t="s">
        <v>14</v>
      </c>
      <c r="E73" s="1" t="s">
        <v>17</v>
      </c>
      <c r="F73" s="1">
        <v>2002</v>
      </c>
      <c r="G73" s="1" t="s">
        <v>47</v>
      </c>
      <c r="H73" s="1">
        <v>2019</v>
      </c>
      <c r="I73" s="1" t="s">
        <v>1601</v>
      </c>
      <c r="J73" s="6">
        <v>15343</v>
      </c>
      <c r="K73" s="6">
        <v>13475</v>
      </c>
      <c r="L73" s="21">
        <v>0.8782506680570944</v>
      </c>
      <c r="M73" s="1">
        <v>0</v>
      </c>
      <c r="N73" s="1" t="s">
        <v>28</v>
      </c>
      <c r="O73" s="1" t="s">
        <v>18</v>
      </c>
      <c r="P73" s="1">
        <v>0.87</v>
      </c>
      <c r="Q73" s="22">
        <v>40700</v>
      </c>
      <c r="R73" s="8">
        <v>190.22730235286451</v>
      </c>
      <c r="S73" s="9" t="s">
        <v>2655</v>
      </c>
      <c r="T73" s="8">
        <v>198.37020139477286</v>
      </c>
      <c r="U73" s="9" t="s">
        <v>2655</v>
      </c>
      <c r="V73" s="8">
        <v>192.40070390406049</v>
      </c>
      <c r="W73" s="8" t="s">
        <v>2655</v>
      </c>
      <c r="X73" s="8"/>
    </row>
    <row r="74" spans="1:24" x14ac:dyDescent="0.3">
      <c r="A74" s="1" t="s">
        <v>910</v>
      </c>
      <c r="B74" s="1" t="s">
        <v>911</v>
      </c>
      <c r="C74" s="1" t="s">
        <v>1586</v>
      </c>
      <c r="D74" s="1" t="s">
        <v>14</v>
      </c>
      <c r="E74" s="1" t="s">
        <v>17</v>
      </c>
      <c r="F74" s="1">
        <v>2006</v>
      </c>
      <c r="G74" s="1" t="s">
        <v>21</v>
      </c>
      <c r="H74" s="1">
        <v>2021</v>
      </c>
      <c r="I74" s="1" t="s">
        <v>1597</v>
      </c>
      <c r="J74" s="6">
        <v>50310</v>
      </c>
      <c r="K74" s="6">
        <v>41621</v>
      </c>
      <c r="L74" s="21">
        <v>0.82729079705823894</v>
      </c>
      <c r="M74" s="1">
        <v>0</v>
      </c>
      <c r="N74" s="1" t="s">
        <v>1589</v>
      </c>
      <c r="O74" s="1">
        <v>18.5</v>
      </c>
      <c r="P74" s="1">
        <v>0.9</v>
      </c>
      <c r="Q74" s="22">
        <v>45064</v>
      </c>
      <c r="R74" s="8">
        <v>193.63430232558139</v>
      </c>
      <c r="S74" s="9" t="s">
        <v>2655</v>
      </c>
      <c r="T74" s="8">
        <v>186.21499701848538</v>
      </c>
      <c r="U74" s="9" t="s">
        <v>2655</v>
      </c>
      <c r="V74" s="8">
        <v>191.73297555158021</v>
      </c>
      <c r="W74" s="8" t="s">
        <v>2655</v>
      </c>
      <c r="X74" s="8"/>
    </row>
    <row r="75" spans="1:24" x14ac:dyDescent="0.3">
      <c r="A75" s="1" t="s">
        <v>2073</v>
      </c>
      <c r="B75" s="1" t="s">
        <v>2074</v>
      </c>
      <c r="C75" s="1" t="s">
        <v>1586</v>
      </c>
      <c r="D75" s="1" t="s">
        <v>14</v>
      </c>
      <c r="E75" s="1" t="s">
        <v>17</v>
      </c>
      <c r="F75" s="1">
        <v>1975</v>
      </c>
      <c r="G75" s="1" t="s">
        <v>21</v>
      </c>
      <c r="H75" s="1">
        <v>2023</v>
      </c>
      <c r="I75" s="1" t="s">
        <v>1783</v>
      </c>
      <c r="J75" s="6">
        <v>30477</v>
      </c>
      <c r="K75" s="6">
        <v>27429</v>
      </c>
      <c r="L75" s="21">
        <v>0.89999015651146763</v>
      </c>
      <c r="M75" s="1">
        <v>0</v>
      </c>
      <c r="N75" s="1" t="s">
        <v>1589</v>
      </c>
      <c r="O75" s="1">
        <v>0</v>
      </c>
      <c r="P75" s="1">
        <v>0.629</v>
      </c>
      <c r="Q75" s="22">
        <v>43174</v>
      </c>
      <c r="R75" s="8">
        <v>164.06634511270795</v>
      </c>
      <c r="S75" s="9" t="s">
        <v>2655</v>
      </c>
      <c r="T75" s="8">
        <v>178.79579683039668</v>
      </c>
      <c r="U75" s="9" t="s">
        <v>2655</v>
      </c>
      <c r="V75" s="8">
        <v>190.57371132329297</v>
      </c>
      <c r="W75" s="8" t="s">
        <v>2655</v>
      </c>
      <c r="X75" s="8"/>
    </row>
    <row r="76" spans="1:24" x14ac:dyDescent="0.3">
      <c r="A76" s="1" t="s">
        <v>1635</v>
      </c>
      <c r="B76" s="1" t="s">
        <v>932</v>
      </c>
      <c r="C76" s="1" t="s">
        <v>1586</v>
      </c>
      <c r="D76" s="1" t="s">
        <v>14</v>
      </c>
      <c r="E76" s="1" t="s">
        <v>17</v>
      </c>
      <c r="F76" s="1">
        <v>1988</v>
      </c>
      <c r="J76" s="6">
        <v>23278</v>
      </c>
      <c r="K76" s="6">
        <v>22000</v>
      </c>
      <c r="L76" s="21">
        <v>0.94509837614915371</v>
      </c>
      <c r="M76" s="1">
        <v>0</v>
      </c>
      <c r="N76" s="1" t="s">
        <v>1589</v>
      </c>
      <c r="O76" s="1">
        <v>19</v>
      </c>
      <c r="P76" s="1" t="s">
        <v>18</v>
      </c>
      <c r="Q76" s="22" t="s">
        <v>18</v>
      </c>
      <c r="R76" s="8">
        <v>210.76349987112295</v>
      </c>
      <c r="S76" s="9" t="s">
        <v>2655</v>
      </c>
      <c r="T76" s="8">
        <v>209.38686742847324</v>
      </c>
      <c r="U76" s="9" t="s">
        <v>2654</v>
      </c>
      <c r="V76" s="8">
        <v>188.6774851791391</v>
      </c>
      <c r="W76" s="8" t="s">
        <v>2655</v>
      </c>
      <c r="X76" s="8"/>
    </row>
    <row r="77" spans="1:24" x14ac:dyDescent="0.3">
      <c r="A77" s="1" t="s">
        <v>598</v>
      </c>
      <c r="B77" s="1" t="s">
        <v>599</v>
      </c>
      <c r="C77" s="1" t="s">
        <v>1586</v>
      </c>
      <c r="D77" s="1" t="s">
        <v>14</v>
      </c>
      <c r="E77" s="1" t="s">
        <v>17</v>
      </c>
      <c r="F77" s="1">
        <v>2000</v>
      </c>
      <c r="G77" s="1" t="s">
        <v>19</v>
      </c>
      <c r="H77" s="1">
        <v>2022</v>
      </c>
      <c r="I77" s="1" t="s">
        <v>1599</v>
      </c>
      <c r="J77" s="6">
        <v>51479</v>
      </c>
      <c r="K77" s="6">
        <v>30615</v>
      </c>
      <c r="L77" s="21">
        <v>0.59470852192156021</v>
      </c>
      <c r="M77" s="1">
        <v>0</v>
      </c>
      <c r="N77" s="1" t="s">
        <v>1589</v>
      </c>
      <c r="O77" s="1">
        <v>2</v>
      </c>
      <c r="P77" s="1">
        <v>0.18</v>
      </c>
      <c r="Q77" s="22">
        <v>43395</v>
      </c>
      <c r="R77" s="8">
        <v>182.50061189999806</v>
      </c>
      <c r="S77" s="9" t="s">
        <v>2655</v>
      </c>
      <c r="T77" s="8">
        <v>188.81289457837175</v>
      </c>
      <c r="U77" s="9" t="s">
        <v>2655</v>
      </c>
      <c r="V77" s="8">
        <v>188.43116610656773</v>
      </c>
      <c r="W77" s="8" t="s">
        <v>2655</v>
      </c>
      <c r="X77" s="8"/>
    </row>
    <row r="78" spans="1:24" x14ac:dyDescent="0.3">
      <c r="A78" s="1" t="s">
        <v>1368</v>
      </c>
      <c r="B78" s="1" t="s">
        <v>1369</v>
      </c>
      <c r="C78" s="1" t="s">
        <v>1586</v>
      </c>
      <c r="D78" s="1" t="s">
        <v>14</v>
      </c>
      <c r="E78" s="1" t="s">
        <v>17</v>
      </c>
      <c r="F78" s="1">
        <v>2014</v>
      </c>
      <c r="G78" s="1" t="s">
        <v>21</v>
      </c>
      <c r="H78" s="1">
        <v>2022</v>
      </c>
      <c r="I78" s="1" t="s">
        <v>1818</v>
      </c>
      <c r="J78" s="6">
        <v>46612</v>
      </c>
      <c r="K78" s="6">
        <v>38820</v>
      </c>
      <c r="L78" s="21">
        <v>0.8328327469321205</v>
      </c>
      <c r="M78" s="1">
        <v>0</v>
      </c>
      <c r="N78" s="1" t="s">
        <v>1821</v>
      </c>
      <c r="O78" s="1" t="s">
        <v>18</v>
      </c>
      <c r="P78" s="1" t="s">
        <v>18</v>
      </c>
      <c r="Q78" s="22" t="s">
        <v>18</v>
      </c>
      <c r="R78" s="8">
        <v>152.81270917360337</v>
      </c>
      <c r="S78" s="9"/>
      <c r="T78" s="8">
        <v>157.6106689264567</v>
      </c>
      <c r="U78" s="9"/>
      <c r="V78" s="8">
        <v>186.82568866386339</v>
      </c>
      <c r="W78" s="8"/>
      <c r="X78" s="8"/>
    </row>
    <row r="79" spans="1:24" x14ac:dyDescent="0.3">
      <c r="A79" s="1" t="s">
        <v>888</v>
      </c>
      <c r="B79" s="1" t="s">
        <v>2591</v>
      </c>
      <c r="C79" s="1" t="s">
        <v>1586</v>
      </c>
      <c r="D79" s="1" t="s">
        <v>14</v>
      </c>
      <c r="E79" s="1" t="s">
        <v>17</v>
      </c>
      <c r="F79" s="1">
        <v>1998</v>
      </c>
      <c r="G79" s="1" t="s">
        <v>19</v>
      </c>
      <c r="H79" s="1">
        <v>2023</v>
      </c>
      <c r="I79" s="1" t="s">
        <v>2572</v>
      </c>
      <c r="J79" s="6">
        <v>102898</v>
      </c>
      <c r="K79" s="6">
        <v>81652</v>
      </c>
      <c r="L79" s="21">
        <v>0.79352368364788428</v>
      </c>
      <c r="M79" s="1">
        <v>0</v>
      </c>
      <c r="N79" s="1" t="s">
        <v>1589</v>
      </c>
      <c r="O79" s="1">
        <v>5</v>
      </c>
      <c r="P79" s="1">
        <v>0.61</v>
      </c>
      <c r="Q79" s="22">
        <v>42758</v>
      </c>
      <c r="R79" s="8">
        <v>183.12823378491322</v>
      </c>
      <c r="S79" s="9" t="s">
        <v>2655</v>
      </c>
      <c r="T79" s="8">
        <v>185.43405119633036</v>
      </c>
      <c r="U79" s="9" t="s">
        <v>2655</v>
      </c>
      <c r="V79" s="8">
        <v>185.6344826915975</v>
      </c>
      <c r="W79" s="8" t="s">
        <v>2655</v>
      </c>
      <c r="X79" s="8"/>
    </row>
    <row r="80" spans="1:24" x14ac:dyDescent="0.3">
      <c r="A80" s="1" t="s">
        <v>2208</v>
      </c>
      <c r="B80" s="1" t="s">
        <v>356</v>
      </c>
      <c r="C80" s="1" t="s">
        <v>1586</v>
      </c>
      <c r="D80" s="1" t="s">
        <v>14</v>
      </c>
      <c r="E80" s="1" t="s">
        <v>17</v>
      </c>
      <c r="F80" s="1">
        <v>2009</v>
      </c>
      <c r="G80" s="1" t="s">
        <v>25</v>
      </c>
      <c r="H80" s="1">
        <v>2022</v>
      </c>
      <c r="I80" s="1" t="s">
        <v>1818</v>
      </c>
      <c r="J80" s="6">
        <v>24089</v>
      </c>
      <c r="K80" s="6">
        <v>23530</v>
      </c>
      <c r="L80" s="21">
        <v>0.97679438747976255</v>
      </c>
      <c r="M80" s="1">
        <v>0</v>
      </c>
      <c r="N80" s="1" t="s">
        <v>1589</v>
      </c>
      <c r="O80" s="1">
        <v>9</v>
      </c>
      <c r="P80" s="1">
        <v>0.60199999999999998</v>
      </c>
      <c r="Q80" s="22">
        <v>44678</v>
      </c>
      <c r="R80" s="8">
        <v>177.101660508946</v>
      </c>
      <c r="S80" s="9" t="s">
        <v>2655</v>
      </c>
      <c r="T80" s="8">
        <v>166.25883183195648</v>
      </c>
      <c r="U80" s="9" t="s">
        <v>2655</v>
      </c>
      <c r="V80" s="8">
        <v>184.28411308065921</v>
      </c>
      <c r="W80" s="8" t="s">
        <v>2655</v>
      </c>
      <c r="X80" s="8"/>
    </row>
    <row r="81" spans="1:24" x14ac:dyDescent="0.3">
      <c r="A81" s="1" t="s">
        <v>1137</v>
      </c>
      <c r="B81" s="1" t="s">
        <v>1138</v>
      </c>
      <c r="C81" s="1" t="s">
        <v>1586</v>
      </c>
      <c r="D81" s="1" t="s">
        <v>14</v>
      </c>
      <c r="E81" s="1" t="s">
        <v>17</v>
      </c>
      <c r="F81" s="1">
        <v>1998</v>
      </c>
      <c r="G81" s="1" t="s">
        <v>21</v>
      </c>
      <c r="H81" s="1">
        <v>2021</v>
      </c>
      <c r="I81" s="1" t="s">
        <v>1599</v>
      </c>
      <c r="J81" s="6">
        <v>41363</v>
      </c>
      <c r="K81" s="6">
        <v>28100</v>
      </c>
      <c r="L81" s="21">
        <v>0.67935111089621159</v>
      </c>
      <c r="M81" s="1">
        <v>0</v>
      </c>
      <c r="N81" s="1" t="s">
        <v>1589</v>
      </c>
      <c r="O81" s="1">
        <v>2</v>
      </c>
      <c r="P81" s="1">
        <v>0.59899999999999998</v>
      </c>
      <c r="Q81" s="22">
        <v>44326</v>
      </c>
      <c r="R81" s="8">
        <v>197.31095423446075</v>
      </c>
      <c r="S81" s="9" t="s">
        <v>2655</v>
      </c>
      <c r="T81" s="8">
        <v>181.73974324879723</v>
      </c>
      <c r="U81" s="9" t="s">
        <v>2655</v>
      </c>
      <c r="V81" s="8">
        <v>183.61281821918141</v>
      </c>
      <c r="W81" s="8" t="s">
        <v>2655</v>
      </c>
      <c r="X81" s="8"/>
    </row>
    <row r="82" spans="1:24" x14ac:dyDescent="0.3">
      <c r="A82" s="1" t="s">
        <v>1633</v>
      </c>
      <c r="B82" s="1" t="s">
        <v>1130</v>
      </c>
      <c r="C82" s="1" t="s">
        <v>1586</v>
      </c>
      <c r="D82" s="1" t="s">
        <v>14</v>
      </c>
      <c r="E82" s="1" t="s">
        <v>17</v>
      </c>
      <c r="F82" s="1">
        <v>1997</v>
      </c>
      <c r="J82" s="6">
        <v>31031</v>
      </c>
      <c r="K82" s="6">
        <v>25833</v>
      </c>
      <c r="L82" s="21">
        <v>0.83249009055460665</v>
      </c>
      <c r="M82" s="1">
        <v>0</v>
      </c>
      <c r="N82" s="1" t="s">
        <v>1787</v>
      </c>
      <c r="P82" s="1" t="s">
        <v>18</v>
      </c>
      <c r="Q82" s="22" t="s">
        <v>18</v>
      </c>
      <c r="R82" s="8">
        <v>171.36336727788338</v>
      </c>
      <c r="S82" s="9" t="s">
        <v>2655</v>
      </c>
      <c r="T82" s="8">
        <v>181.44050078953305</v>
      </c>
      <c r="U82" s="9" t="s">
        <v>2655</v>
      </c>
      <c r="V82" s="8">
        <v>181.34834455866715</v>
      </c>
      <c r="W82" s="8" t="s">
        <v>2655</v>
      </c>
      <c r="X82" s="8"/>
    </row>
    <row r="83" spans="1:24" x14ac:dyDescent="0.3">
      <c r="A83" s="1" t="s">
        <v>1532</v>
      </c>
      <c r="B83" s="1" t="s">
        <v>1533</v>
      </c>
      <c r="C83" s="1" t="s">
        <v>1586</v>
      </c>
      <c r="D83" s="1" t="s">
        <v>14</v>
      </c>
      <c r="E83" s="1" t="s">
        <v>17</v>
      </c>
      <c r="F83" s="1">
        <v>1999</v>
      </c>
      <c r="G83" s="1" t="s">
        <v>21</v>
      </c>
      <c r="H83" s="1">
        <v>2022</v>
      </c>
      <c r="I83" s="1" t="s">
        <v>1599</v>
      </c>
      <c r="J83" s="6">
        <v>162134</v>
      </c>
      <c r="K83" s="6">
        <v>153490</v>
      </c>
      <c r="L83" s="21">
        <v>0.94668607448160169</v>
      </c>
      <c r="M83" s="1">
        <v>0</v>
      </c>
      <c r="N83" s="1" t="s">
        <v>1589</v>
      </c>
      <c r="O83" s="1">
        <v>2</v>
      </c>
      <c r="P83" s="1">
        <v>0.62</v>
      </c>
      <c r="Q83" s="22">
        <v>44728</v>
      </c>
      <c r="R83" s="8">
        <v>187.5277548200871</v>
      </c>
      <c r="S83" s="9" t="s">
        <v>2655</v>
      </c>
      <c r="T83" s="8">
        <v>181.70844795046074</v>
      </c>
      <c r="U83" s="9" t="s">
        <v>2655</v>
      </c>
      <c r="V83" s="8">
        <v>179.69007117569419</v>
      </c>
      <c r="W83" s="8" t="s">
        <v>2655</v>
      </c>
      <c r="X83" s="8"/>
    </row>
    <row r="84" spans="1:24" x14ac:dyDescent="0.3">
      <c r="A84" s="1" t="s">
        <v>2299</v>
      </c>
      <c r="B84" s="1" t="s">
        <v>1122</v>
      </c>
      <c r="C84" s="1" t="s">
        <v>1586</v>
      </c>
      <c r="D84" s="1" t="s">
        <v>14</v>
      </c>
      <c r="E84" s="1" t="s">
        <v>17</v>
      </c>
      <c r="F84" s="1">
        <v>1990</v>
      </c>
      <c r="J84" s="6">
        <v>105312</v>
      </c>
      <c r="K84" s="6">
        <v>70526</v>
      </c>
      <c r="L84" s="21">
        <v>0.66968626557277422</v>
      </c>
      <c r="M84" s="1">
        <v>0</v>
      </c>
      <c r="N84" s="1" t="s">
        <v>1589</v>
      </c>
      <c r="O84" s="1" t="s">
        <v>18</v>
      </c>
      <c r="P84" s="1">
        <v>0.72</v>
      </c>
      <c r="Q84" s="22">
        <v>45020</v>
      </c>
      <c r="R84" s="8">
        <v>271.93285665451231</v>
      </c>
      <c r="S84" s="9" t="s">
        <v>2654</v>
      </c>
      <c r="T84" s="8">
        <v>174.39335973108479</v>
      </c>
      <c r="U84" s="9" t="s">
        <v>2655</v>
      </c>
      <c r="V84" s="8">
        <v>178.55289995442115</v>
      </c>
      <c r="W84" s="8" t="s">
        <v>2655</v>
      </c>
      <c r="X84" s="8"/>
    </row>
    <row r="85" spans="1:24" x14ac:dyDescent="0.3">
      <c r="A85" s="1" t="s">
        <v>1935</v>
      </c>
      <c r="B85" s="1" t="s">
        <v>1279</v>
      </c>
      <c r="C85" s="1" t="s">
        <v>1586</v>
      </c>
      <c r="D85" s="1" t="s">
        <v>14</v>
      </c>
      <c r="E85" s="1" t="s">
        <v>17</v>
      </c>
      <c r="F85" s="1">
        <v>2014</v>
      </c>
      <c r="G85" s="1" t="s">
        <v>19</v>
      </c>
      <c r="H85" s="1">
        <v>2020</v>
      </c>
      <c r="I85" s="1" t="s">
        <v>1604</v>
      </c>
      <c r="J85" s="6">
        <v>22485</v>
      </c>
      <c r="K85" s="6">
        <v>10537</v>
      </c>
      <c r="L85" s="21">
        <v>0.46862352679564157</v>
      </c>
      <c r="M85" s="1">
        <v>0</v>
      </c>
      <c r="N85" s="1" t="s">
        <v>1589</v>
      </c>
      <c r="O85" s="1">
        <v>5</v>
      </c>
      <c r="P85" s="1">
        <v>0.6</v>
      </c>
      <c r="Q85" s="22">
        <v>44897</v>
      </c>
      <c r="R85" s="8">
        <v>149.90373137647319</v>
      </c>
      <c r="S85" s="9" t="s">
        <v>2656</v>
      </c>
      <c r="T85" s="8">
        <v>162.02221614409606</v>
      </c>
      <c r="U85" s="9" t="s">
        <v>2655</v>
      </c>
      <c r="V85" s="8">
        <v>177.87338225483657</v>
      </c>
      <c r="W85" s="8" t="s">
        <v>2655</v>
      </c>
      <c r="X85" s="8"/>
    </row>
    <row r="86" spans="1:24" x14ac:dyDescent="0.3">
      <c r="A86" s="1" t="s">
        <v>215</v>
      </c>
      <c r="B86" s="1" t="s">
        <v>1864</v>
      </c>
      <c r="C86" s="1" t="s">
        <v>1586</v>
      </c>
      <c r="D86" s="1" t="s">
        <v>14</v>
      </c>
      <c r="E86" s="1" t="s">
        <v>17</v>
      </c>
      <c r="F86" s="1">
        <v>1997</v>
      </c>
      <c r="G86" s="1" t="s">
        <v>21</v>
      </c>
      <c r="H86" s="1">
        <v>2021</v>
      </c>
      <c r="I86" s="1" t="s">
        <v>1601</v>
      </c>
      <c r="J86" s="6">
        <v>17839</v>
      </c>
      <c r="K86" s="6">
        <v>7821</v>
      </c>
      <c r="L86" s="21">
        <v>0.43842143617915802</v>
      </c>
      <c r="M86" s="1">
        <v>0</v>
      </c>
      <c r="N86" s="1" t="s">
        <v>1589</v>
      </c>
      <c r="O86" s="1">
        <v>16</v>
      </c>
      <c r="P86" s="1">
        <v>0.64200000000000002</v>
      </c>
      <c r="Q86" s="22">
        <v>44349</v>
      </c>
      <c r="R86" s="8">
        <v>173.48993833735074</v>
      </c>
      <c r="S86" s="9" t="s">
        <v>2655</v>
      </c>
      <c r="T86" s="8">
        <v>175.14885924098886</v>
      </c>
      <c r="U86" s="9" t="s">
        <v>2655</v>
      </c>
      <c r="V86" s="8">
        <v>177.55183194125232</v>
      </c>
      <c r="W86" s="8" t="s">
        <v>2655</v>
      </c>
      <c r="X86" s="8"/>
    </row>
    <row r="87" spans="1:24" x14ac:dyDescent="0.3">
      <c r="A87" s="1" t="s">
        <v>1159</v>
      </c>
      <c r="B87" s="1" t="s">
        <v>1160</v>
      </c>
      <c r="C87" s="1" t="s">
        <v>1586</v>
      </c>
      <c r="D87" s="1" t="s">
        <v>14</v>
      </c>
      <c r="E87" s="1" t="s">
        <v>17</v>
      </c>
      <c r="F87" s="1">
        <v>1988</v>
      </c>
      <c r="G87" s="1" t="s">
        <v>25</v>
      </c>
      <c r="H87" s="1">
        <v>2022</v>
      </c>
      <c r="I87" s="1" t="s">
        <v>1783</v>
      </c>
      <c r="J87" s="6">
        <v>117541</v>
      </c>
      <c r="K87" s="6">
        <v>106000</v>
      </c>
      <c r="L87" s="21">
        <v>0.90181298440544155</v>
      </c>
      <c r="M87" s="1">
        <v>0</v>
      </c>
      <c r="N87" s="1" t="s">
        <v>1589</v>
      </c>
      <c r="O87" s="1">
        <v>5</v>
      </c>
      <c r="P87" s="1">
        <v>0.623</v>
      </c>
      <c r="Q87" s="22">
        <v>44930</v>
      </c>
      <c r="R87" s="8">
        <v>172.11403680417897</v>
      </c>
      <c r="S87" s="9" t="s">
        <v>2655</v>
      </c>
      <c r="T87" s="8">
        <v>171.73765749823465</v>
      </c>
      <c r="U87" s="9" t="s">
        <v>2655</v>
      </c>
      <c r="V87" s="8">
        <v>177.18270220603875</v>
      </c>
      <c r="W87" s="8" t="s">
        <v>2655</v>
      </c>
      <c r="X87" s="8"/>
    </row>
    <row r="88" spans="1:24" x14ac:dyDescent="0.3">
      <c r="A88" s="1" t="s">
        <v>1947</v>
      </c>
      <c r="B88" s="1" t="s">
        <v>1496</v>
      </c>
      <c r="C88" s="1" t="s">
        <v>1586</v>
      </c>
      <c r="D88" s="1" t="s">
        <v>14</v>
      </c>
      <c r="E88" s="1" t="s">
        <v>17</v>
      </c>
      <c r="F88" s="1">
        <v>1992</v>
      </c>
      <c r="G88" s="1" t="s">
        <v>25</v>
      </c>
      <c r="H88" s="1">
        <v>2023</v>
      </c>
      <c r="I88" s="1" t="s">
        <v>1783</v>
      </c>
      <c r="J88" s="6">
        <v>38596</v>
      </c>
      <c r="K88" s="6">
        <v>36706</v>
      </c>
      <c r="L88" s="21">
        <v>0.95103119494248112</v>
      </c>
      <c r="M88" s="1">
        <v>0</v>
      </c>
      <c r="N88" s="1" t="s">
        <v>1589</v>
      </c>
      <c r="O88" s="1">
        <v>3</v>
      </c>
      <c r="P88" s="1">
        <v>0.60499999999999998</v>
      </c>
      <c r="Q88" s="22">
        <v>44911</v>
      </c>
      <c r="R88" s="8">
        <v>173.74909317027672</v>
      </c>
      <c r="S88" s="9" t="s">
        <v>2655</v>
      </c>
      <c r="T88" s="8">
        <v>170.84857239092133</v>
      </c>
      <c r="U88" s="9" t="s">
        <v>2655</v>
      </c>
      <c r="V88" s="8">
        <v>174.16158410197949</v>
      </c>
      <c r="W88" s="8" t="s">
        <v>2655</v>
      </c>
      <c r="X88" s="8"/>
    </row>
    <row r="89" spans="1:24" x14ac:dyDescent="0.3">
      <c r="A89" s="1" t="s">
        <v>1311</v>
      </c>
      <c r="B89" s="1" t="s">
        <v>1312</v>
      </c>
      <c r="C89" s="1" t="s">
        <v>1586</v>
      </c>
      <c r="D89" s="1" t="s">
        <v>14</v>
      </c>
      <c r="E89" s="1" t="s">
        <v>17</v>
      </c>
      <c r="F89" s="1">
        <v>2003</v>
      </c>
      <c r="J89" s="6">
        <v>33846</v>
      </c>
      <c r="K89" s="6">
        <v>33846</v>
      </c>
      <c r="L89" s="21">
        <v>1</v>
      </c>
      <c r="M89" s="1">
        <v>0</v>
      </c>
      <c r="N89" s="1" t="s">
        <v>28</v>
      </c>
      <c r="O89" s="1" t="s">
        <v>18</v>
      </c>
      <c r="P89" s="1" t="s">
        <v>18</v>
      </c>
      <c r="Q89" s="22" t="s">
        <v>18</v>
      </c>
      <c r="R89" s="8">
        <v>168.16586893576789</v>
      </c>
      <c r="S89" s="9" t="s">
        <v>2655</v>
      </c>
      <c r="T89" s="8">
        <v>162.74451929326952</v>
      </c>
      <c r="U89" s="9" t="s">
        <v>2655</v>
      </c>
      <c r="V89" s="8">
        <v>173.2335283342197</v>
      </c>
      <c r="W89" s="8" t="s">
        <v>2655</v>
      </c>
      <c r="X89" s="8"/>
    </row>
    <row r="90" spans="1:24" x14ac:dyDescent="0.3">
      <c r="A90" s="1" t="s">
        <v>2202</v>
      </c>
      <c r="B90" s="1" t="s">
        <v>853</v>
      </c>
      <c r="C90" s="1" t="s">
        <v>1586</v>
      </c>
      <c r="D90" s="1" t="s">
        <v>14</v>
      </c>
      <c r="E90" s="1" t="s">
        <v>17</v>
      </c>
      <c r="F90" s="1">
        <v>2009</v>
      </c>
      <c r="G90" s="1" t="s">
        <v>19</v>
      </c>
      <c r="H90" s="1">
        <v>2022</v>
      </c>
      <c r="I90" s="1" t="s">
        <v>1818</v>
      </c>
      <c r="J90" s="6">
        <v>35657</v>
      </c>
      <c r="K90" s="6">
        <v>32771</v>
      </c>
      <c r="L90" s="21">
        <v>0.9190621757298707</v>
      </c>
      <c r="M90" s="1">
        <v>0</v>
      </c>
      <c r="N90" s="1" t="s">
        <v>1589</v>
      </c>
      <c r="O90" s="1">
        <v>12</v>
      </c>
      <c r="P90" s="1" t="s">
        <v>18</v>
      </c>
      <c r="Q90" s="22" t="s">
        <v>18</v>
      </c>
      <c r="R90" s="8">
        <v>174.82250329528563</v>
      </c>
      <c r="S90" s="9" t="s">
        <v>2655</v>
      </c>
      <c r="T90" s="8">
        <v>162.21793757186526</v>
      </c>
      <c r="U90" s="9" t="s">
        <v>2655</v>
      </c>
      <c r="V90" s="8">
        <v>172.98948313094203</v>
      </c>
      <c r="W90" s="8" t="s">
        <v>2655</v>
      </c>
      <c r="X90" s="8"/>
    </row>
    <row r="91" spans="1:24" x14ac:dyDescent="0.3">
      <c r="A91" s="1" t="s">
        <v>2222</v>
      </c>
      <c r="B91" s="1" t="s">
        <v>177</v>
      </c>
      <c r="C91" s="1" t="s">
        <v>1586</v>
      </c>
      <c r="D91" s="1" t="s">
        <v>14</v>
      </c>
      <c r="E91" s="1" t="s">
        <v>17</v>
      </c>
      <c r="F91" s="1">
        <v>2000</v>
      </c>
      <c r="G91" s="1" t="s">
        <v>19</v>
      </c>
      <c r="H91" s="1">
        <v>2021</v>
      </c>
      <c r="I91" s="1" t="s">
        <v>1601</v>
      </c>
      <c r="J91" s="6">
        <v>30408.1</v>
      </c>
      <c r="K91" s="6">
        <v>28950</v>
      </c>
      <c r="L91" s="21">
        <v>0.9520489606387772</v>
      </c>
      <c r="M91" s="1">
        <v>0</v>
      </c>
      <c r="N91" s="1" t="s">
        <v>1589</v>
      </c>
      <c r="O91" s="1">
        <v>2</v>
      </c>
      <c r="P91" s="1">
        <v>0.55000000000000004</v>
      </c>
      <c r="Q91" s="22">
        <v>44816</v>
      </c>
      <c r="R91" s="8">
        <v>266.93795403198493</v>
      </c>
      <c r="S91" s="9" t="s">
        <v>2654</v>
      </c>
      <c r="T91" s="8">
        <v>189.87451369865266</v>
      </c>
      <c r="U91" s="9" t="s">
        <v>2655</v>
      </c>
      <c r="V91" s="8">
        <v>172.89264768268981</v>
      </c>
      <c r="W91" s="8" t="s">
        <v>2655</v>
      </c>
      <c r="X91" s="8"/>
    </row>
    <row r="92" spans="1:24" x14ac:dyDescent="0.3">
      <c r="A92" s="1" t="s">
        <v>439</v>
      </c>
      <c r="B92" s="1" t="s">
        <v>2330</v>
      </c>
      <c r="C92" s="1" t="s">
        <v>1586</v>
      </c>
      <c r="D92" s="1" t="s">
        <v>14</v>
      </c>
      <c r="E92" s="1" t="s">
        <v>17</v>
      </c>
      <c r="F92" s="1">
        <v>2011</v>
      </c>
      <c r="G92" s="1" t="s">
        <v>19</v>
      </c>
      <c r="H92" s="1">
        <v>2022</v>
      </c>
      <c r="I92" s="1" t="s">
        <v>1601</v>
      </c>
      <c r="J92" s="6">
        <v>95992</v>
      </c>
      <c r="K92" s="6">
        <v>85783</v>
      </c>
      <c r="L92" s="21">
        <v>0.89364738728227355</v>
      </c>
      <c r="M92" s="1">
        <v>0</v>
      </c>
      <c r="N92" s="1" t="s">
        <v>1821</v>
      </c>
      <c r="Q92" s="22"/>
      <c r="R92" s="8">
        <v>184.59973226935577</v>
      </c>
      <c r="S92" s="9"/>
      <c r="T92" s="8">
        <v>179.32192266022167</v>
      </c>
      <c r="U92" s="9"/>
      <c r="V92" s="8">
        <v>172.38095362113509</v>
      </c>
      <c r="W92" s="8"/>
      <c r="X92" s="8"/>
    </row>
    <row r="93" spans="1:24" x14ac:dyDescent="0.3">
      <c r="A93" s="1" t="s">
        <v>2032</v>
      </c>
      <c r="B93" s="1" t="s">
        <v>209</v>
      </c>
      <c r="C93" s="1" t="s">
        <v>1586</v>
      </c>
      <c r="D93" s="1" t="s">
        <v>14</v>
      </c>
      <c r="E93" s="1" t="s">
        <v>17</v>
      </c>
      <c r="F93" s="1">
        <v>2009</v>
      </c>
      <c r="G93" s="1" t="s">
        <v>19</v>
      </c>
      <c r="H93" s="1">
        <v>2020</v>
      </c>
      <c r="I93" s="1" t="s">
        <v>1601</v>
      </c>
      <c r="J93" s="6">
        <v>68130</v>
      </c>
      <c r="K93" s="6">
        <v>60000</v>
      </c>
      <c r="L93" s="21">
        <v>0.8806693086745927</v>
      </c>
      <c r="M93" s="1">
        <v>0</v>
      </c>
      <c r="N93" s="1" t="s">
        <v>1821</v>
      </c>
      <c r="O93" s="1" t="s">
        <v>18</v>
      </c>
      <c r="P93" s="1" t="s">
        <v>18</v>
      </c>
      <c r="Q93" s="22" t="s">
        <v>18</v>
      </c>
      <c r="R93" s="8">
        <v>173.30423175459345</v>
      </c>
      <c r="S93" s="9"/>
      <c r="T93" s="8">
        <v>167.11787285367578</v>
      </c>
      <c r="U93" s="9"/>
      <c r="V93" s="8">
        <v>171.52965485668673</v>
      </c>
      <c r="W93" s="8"/>
      <c r="X93" s="8"/>
    </row>
    <row r="94" spans="1:24" x14ac:dyDescent="0.3">
      <c r="A94" s="1" t="s">
        <v>290</v>
      </c>
      <c r="B94" s="1" t="s">
        <v>291</v>
      </c>
      <c r="C94" s="1" t="s">
        <v>1586</v>
      </c>
      <c r="D94" s="1" t="s">
        <v>14</v>
      </c>
      <c r="E94" s="1" t="s">
        <v>17</v>
      </c>
      <c r="F94" s="1">
        <v>1979</v>
      </c>
      <c r="G94" s="1" t="s">
        <v>25</v>
      </c>
      <c r="H94" s="1">
        <v>2022</v>
      </c>
      <c r="I94" s="1" t="s">
        <v>1818</v>
      </c>
      <c r="J94" s="6">
        <v>75079</v>
      </c>
      <c r="K94" s="6">
        <v>50258</v>
      </c>
      <c r="L94" s="21">
        <v>0.66940156368625048</v>
      </c>
      <c r="M94" s="1">
        <v>0</v>
      </c>
      <c r="N94" s="1" t="s">
        <v>1589</v>
      </c>
      <c r="O94" s="1">
        <v>12</v>
      </c>
      <c r="P94" s="1">
        <v>0.79</v>
      </c>
      <c r="Q94" s="22">
        <v>41916</v>
      </c>
      <c r="R94" s="8">
        <v>172.66897201614299</v>
      </c>
      <c r="S94" s="9" t="s">
        <v>2655</v>
      </c>
      <c r="T94" s="8">
        <v>165.51413844084232</v>
      </c>
      <c r="U94" s="9" t="s">
        <v>2655</v>
      </c>
      <c r="V94" s="8">
        <v>170.53309180996018</v>
      </c>
      <c r="W94" s="8" t="s">
        <v>2655</v>
      </c>
      <c r="X94" s="8"/>
    </row>
    <row r="95" spans="1:24" x14ac:dyDescent="0.3">
      <c r="A95" s="1" t="s">
        <v>246</v>
      </c>
      <c r="B95" s="1" t="s">
        <v>247</v>
      </c>
      <c r="C95" s="1" t="s">
        <v>1586</v>
      </c>
      <c r="D95" s="1" t="s">
        <v>14</v>
      </c>
      <c r="E95" s="1" t="s">
        <v>17</v>
      </c>
      <c r="F95" s="1">
        <v>1985</v>
      </c>
      <c r="G95" s="1" t="s">
        <v>47</v>
      </c>
      <c r="H95" s="1">
        <v>2021</v>
      </c>
      <c r="I95" s="1" t="s">
        <v>1597</v>
      </c>
      <c r="J95" s="6">
        <v>32150</v>
      </c>
      <c r="K95" s="6">
        <v>27761</v>
      </c>
      <c r="L95" s="21">
        <v>0.86348367029548989</v>
      </c>
      <c r="M95" s="1">
        <v>0</v>
      </c>
      <c r="N95" s="1" t="s">
        <v>1589</v>
      </c>
      <c r="O95" s="1">
        <v>10</v>
      </c>
      <c r="P95" s="1">
        <v>0.72</v>
      </c>
      <c r="Q95" s="22">
        <v>44238</v>
      </c>
      <c r="R95" s="8">
        <v>181.37670295489892</v>
      </c>
      <c r="S95" s="9" t="s">
        <v>2655</v>
      </c>
      <c r="T95" s="8">
        <v>167.67200622083982</v>
      </c>
      <c r="U95" s="9" t="s">
        <v>2655</v>
      </c>
      <c r="V95" s="8">
        <v>170.1108864696734</v>
      </c>
      <c r="W95" s="8" t="s">
        <v>2655</v>
      </c>
      <c r="X95" s="8"/>
    </row>
    <row r="96" spans="1:24" x14ac:dyDescent="0.3">
      <c r="A96" s="1" t="s">
        <v>942</v>
      </c>
      <c r="B96" s="1" t="s">
        <v>943</v>
      </c>
      <c r="C96" s="1" t="s">
        <v>1586</v>
      </c>
      <c r="D96" s="1" t="s">
        <v>14</v>
      </c>
      <c r="E96" s="1" t="s">
        <v>17</v>
      </c>
      <c r="F96" s="1">
        <v>2017</v>
      </c>
      <c r="J96" s="6">
        <v>16839</v>
      </c>
      <c r="K96" s="6">
        <v>1000</v>
      </c>
      <c r="L96" s="21">
        <v>5.938594928439931E-2</v>
      </c>
      <c r="M96" s="1">
        <v>0</v>
      </c>
      <c r="N96" s="1" t="s">
        <v>28</v>
      </c>
      <c r="O96" s="1" t="s">
        <v>18</v>
      </c>
      <c r="P96" s="1" t="s">
        <v>18</v>
      </c>
      <c r="Q96" s="22" t="s">
        <v>18</v>
      </c>
      <c r="R96" s="8">
        <v>174.165810321278</v>
      </c>
      <c r="S96" s="9" t="s">
        <v>2655</v>
      </c>
      <c r="T96" s="8">
        <v>165.80141873032846</v>
      </c>
      <c r="U96" s="9" t="s">
        <v>2655</v>
      </c>
      <c r="V96" s="8">
        <v>169.89042817269433</v>
      </c>
      <c r="W96" s="8" t="s">
        <v>2655</v>
      </c>
      <c r="X96" s="8"/>
    </row>
    <row r="97" spans="1:24" x14ac:dyDescent="0.3">
      <c r="A97" s="1" t="s">
        <v>336</v>
      </c>
      <c r="B97" s="1" t="s">
        <v>2618</v>
      </c>
      <c r="C97" s="1" t="s">
        <v>1586</v>
      </c>
      <c r="D97" s="1" t="s">
        <v>14</v>
      </c>
      <c r="E97" s="1" t="s">
        <v>17</v>
      </c>
      <c r="F97" s="1">
        <v>1995</v>
      </c>
      <c r="G97" s="1" t="s">
        <v>47</v>
      </c>
      <c r="H97" s="1">
        <v>2022</v>
      </c>
      <c r="I97" s="1" t="s">
        <v>1818</v>
      </c>
      <c r="J97" s="6">
        <v>20143</v>
      </c>
      <c r="K97" s="6">
        <v>16115</v>
      </c>
      <c r="L97" s="21">
        <v>0.80002978702278704</v>
      </c>
      <c r="M97" s="1">
        <v>0</v>
      </c>
      <c r="N97" s="1" t="s">
        <v>1787</v>
      </c>
      <c r="O97" s="1" t="s">
        <v>18</v>
      </c>
      <c r="P97" s="1">
        <v>0.65</v>
      </c>
      <c r="Q97" s="22">
        <v>44902</v>
      </c>
      <c r="R97" s="8">
        <v>163.40955617336044</v>
      </c>
      <c r="S97" s="9" t="s">
        <v>2655</v>
      </c>
      <c r="T97" s="8">
        <v>154.55290125601942</v>
      </c>
      <c r="U97" s="9" t="s">
        <v>2656</v>
      </c>
      <c r="V97" s="8">
        <v>168.28657498882987</v>
      </c>
      <c r="W97" s="8" t="s">
        <v>2655</v>
      </c>
      <c r="X97" s="8"/>
    </row>
    <row r="98" spans="1:24" x14ac:dyDescent="0.3">
      <c r="A98" s="1" t="s">
        <v>906</v>
      </c>
      <c r="B98" s="1" t="s">
        <v>907</v>
      </c>
      <c r="C98" s="1" t="s">
        <v>1586</v>
      </c>
      <c r="D98" s="1" t="s">
        <v>14</v>
      </c>
      <c r="E98" s="1" t="s">
        <v>17</v>
      </c>
      <c r="F98" s="1">
        <v>2013</v>
      </c>
      <c r="G98" s="1" t="s">
        <v>19</v>
      </c>
      <c r="H98" s="1">
        <v>2020</v>
      </c>
      <c r="I98" s="1" t="s">
        <v>1603</v>
      </c>
      <c r="J98" s="6">
        <v>99576</v>
      </c>
      <c r="K98" s="6">
        <v>82727</v>
      </c>
      <c r="L98" s="21">
        <v>0.83079256045633487</v>
      </c>
      <c r="M98" s="1">
        <v>305</v>
      </c>
      <c r="N98" s="1" t="s">
        <v>1821</v>
      </c>
      <c r="O98" s="1" t="s">
        <v>18</v>
      </c>
      <c r="P98" s="1" t="s">
        <v>18</v>
      </c>
      <c r="Q98" s="22" t="s">
        <v>18</v>
      </c>
      <c r="R98" s="8">
        <v>161.13611713665944</v>
      </c>
      <c r="S98" s="9"/>
      <c r="T98" s="8">
        <v>151.1411183417691</v>
      </c>
      <c r="U98" s="9"/>
      <c r="V98" s="8">
        <v>166.9743914196192</v>
      </c>
      <c r="W98" s="8"/>
      <c r="X98" s="8"/>
    </row>
    <row r="99" spans="1:24" x14ac:dyDescent="0.3">
      <c r="A99" s="1" t="s">
        <v>1515</v>
      </c>
      <c r="B99" s="1" t="s">
        <v>1516</v>
      </c>
      <c r="C99" s="1" t="s">
        <v>1586</v>
      </c>
      <c r="D99" s="1" t="s">
        <v>14</v>
      </c>
      <c r="E99" s="1" t="s">
        <v>17</v>
      </c>
      <c r="F99" s="1">
        <v>36161</v>
      </c>
      <c r="G99" s="1" t="s">
        <v>19</v>
      </c>
      <c r="H99" s="1">
        <v>2022</v>
      </c>
      <c r="I99" s="1" t="s">
        <v>1599</v>
      </c>
      <c r="J99" s="6">
        <v>23236</v>
      </c>
      <c r="K99" s="6">
        <v>18357</v>
      </c>
      <c r="L99" s="21">
        <v>0.79002410053365468</v>
      </c>
      <c r="M99" s="1">
        <v>0</v>
      </c>
      <c r="N99" s="1" t="s">
        <v>1589</v>
      </c>
      <c r="O99" s="1">
        <v>2022</v>
      </c>
      <c r="P99" s="1">
        <v>0.53</v>
      </c>
      <c r="Q99" s="22">
        <v>44964</v>
      </c>
      <c r="R99" s="8" t="s">
        <v>18</v>
      </c>
      <c r="S99" s="9"/>
      <c r="T99" s="8" t="s">
        <v>18</v>
      </c>
      <c r="U99" s="9"/>
      <c r="V99" s="8">
        <v>165.95050783267345</v>
      </c>
      <c r="W99" s="8" t="s">
        <v>2655</v>
      </c>
      <c r="X99" s="8"/>
    </row>
    <row r="100" spans="1:24" x14ac:dyDescent="0.3">
      <c r="A100" s="1" t="s">
        <v>2223</v>
      </c>
      <c r="B100" s="1" t="s">
        <v>179</v>
      </c>
      <c r="C100" s="1" t="s">
        <v>1586</v>
      </c>
      <c r="D100" s="1" t="s">
        <v>14</v>
      </c>
      <c r="E100" s="1" t="s">
        <v>17</v>
      </c>
      <c r="F100" s="1">
        <v>2001</v>
      </c>
      <c r="G100" s="1" t="s">
        <v>19</v>
      </c>
      <c r="H100" s="1">
        <v>2021</v>
      </c>
      <c r="I100" s="1" t="s">
        <v>1601</v>
      </c>
      <c r="J100" s="6">
        <v>30404</v>
      </c>
      <c r="K100" s="6">
        <v>28950</v>
      </c>
      <c r="L100" s="21">
        <v>0.95217734508617291</v>
      </c>
      <c r="M100" s="1">
        <v>0</v>
      </c>
      <c r="N100" s="1" t="s">
        <v>1589</v>
      </c>
      <c r="O100" s="1">
        <v>2</v>
      </c>
      <c r="P100" s="1">
        <v>0.55000000000000004</v>
      </c>
      <c r="Q100" s="22">
        <v>44816</v>
      </c>
      <c r="R100" s="8">
        <v>285.38059367188526</v>
      </c>
      <c r="S100" s="9" t="s">
        <v>2654</v>
      </c>
      <c r="T100" s="8">
        <v>188.79684712537824</v>
      </c>
      <c r="U100" s="9" t="s">
        <v>2655</v>
      </c>
      <c r="V100" s="8">
        <v>165.0619076437311</v>
      </c>
      <c r="W100" s="8" t="s">
        <v>2655</v>
      </c>
      <c r="X100" s="8"/>
    </row>
    <row r="101" spans="1:24" x14ac:dyDescent="0.3">
      <c r="A101" s="1" t="s">
        <v>1094</v>
      </c>
      <c r="B101" s="1" t="s">
        <v>1095</v>
      </c>
      <c r="C101" s="1" t="s">
        <v>1586</v>
      </c>
      <c r="D101" s="1" t="s">
        <v>14</v>
      </c>
      <c r="E101" s="1" t="s">
        <v>17</v>
      </c>
      <c r="F101" s="1">
        <v>2009</v>
      </c>
      <c r="G101" s="1" t="s">
        <v>25</v>
      </c>
      <c r="H101" s="1">
        <v>2023</v>
      </c>
      <c r="I101" s="1" t="s">
        <v>1783</v>
      </c>
      <c r="J101" s="6">
        <v>18565</v>
      </c>
      <c r="K101" s="6">
        <v>14762</v>
      </c>
      <c r="L101" s="21">
        <v>0.79515216805817401</v>
      </c>
      <c r="M101" s="1">
        <v>0</v>
      </c>
      <c r="N101" s="1" t="s">
        <v>28</v>
      </c>
      <c r="O101" s="1" t="s">
        <v>18</v>
      </c>
      <c r="P101" s="1" t="s">
        <v>18</v>
      </c>
      <c r="Q101" s="22" t="s">
        <v>18</v>
      </c>
      <c r="R101" s="8">
        <v>116.01373983301913</v>
      </c>
      <c r="S101" s="9" t="s">
        <v>2657</v>
      </c>
      <c r="T101" s="8">
        <v>153.55433342310798</v>
      </c>
      <c r="U101" s="9" t="s">
        <v>2656</v>
      </c>
      <c r="V101" s="8">
        <v>164.76571990304336</v>
      </c>
      <c r="W101" s="8" t="s">
        <v>2655</v>
      </c>
      <c r="X101" s="8"/>
    </row>
    <row r="102" spans="1:24" x14ac:dyDescent="0.3">
      <c r="A102" s="1" t="s">
        <v>1080</v>
      </c>
      <c r="B102" s="1" t="s">
        <v>1081</v>
      </c>
      <c r="C102" s="1" t="s">
        <v>1586</v>
      </c>
      <c r="D102" s="1" t="s">
        <v>14</v>
      </c>
      <c r="E102" s="1" t="s">
        <v>17</v>
      </c>
      <c r="F102" s="1">
        <v>2018</v>
      </c>
      <c r="G102" s="1" t="s">
        <v>19</v>
      </c>
      <c r="H102" s="1">
        <v>2017</v>
      </c>
      <c r="I102" s="1" t="s">
        <v>1598</v>
      </c>
      <c r="J102" s="6">
        <v>76208</v>
      </c>
      <c r="K102" s="6">
        <v>67215</v>
      </c>
      <c r="L102" s="21">
        <v>0.88199401637623343</v>
      </c>
      <c r="M102" s="1">
        <v>0</v>
      </c>
      <c r="N102" s="1" t="s">
        <v>1589</v>
      </c>
      <c r="O102" s="1">
        <v>4</v>
      </c>
      <c r="P102" s="1">
        <v>0.58199999999999996</v>
      </c>
      <c r="Q102" s="22">
        <v>44216</v>
      </c>
      <c r="R102" s="8">
        <v>153.59537056477009</v>
      </c>
      <c r="S102" s="9" t="s">
        <v>2656</v>
      </c>
      <c r="T102" s="8">
        <v>154.46261022464833</v>
      </c>
      <c r="U102" s="9" t="s">
        <v>2656</v>
      </c>
      <c r="V102" s="8">
        <v>163.47946672265377</v>
      </c>
      <c r="W102" s="8" t="s">
        <v>2655</v>
      </c>
      <c r="X102" s="8"/>
    </row>
    <row r="103" spans="1:24" x14ac:dyDescent="0.3">
      <c r="A103" s="1" t="s">
        <v>788</v>
      </c>
      <c r="B103" s="1" t="s">
        <v>789</v>
      </c>
      <c r="C103" s="1" t="s">
        <v>1586</v>
      </c>
      <c r="D103" s="1" t="s">
        <v>14</v>
      </c>
      <c r="E103" s="1" t="s">
        <v>17</v>
      </c>
      <c r="F103" s="1">
        <v>1983</v>
      </c>
      <c r="J103" s="6">
        <v>28835</v>
      </c>
      <c r="K103" s="6">
        <v>28835</v>
      </c>
      <c r="L103" s="21">
        <v>1</v>
      </c>
      <c r="M103" s="1">
        <v>0</v>
      </c>
      <c r="N103" s="1" t="s">
        <v>1589</v>
      </c>
      <c r="O103" s="1">
        <v>19</v>
      </c>
      <c r="P103" s="1" t="s">
        <v>18</v>
      </c>
      <c r="Q103" s="22" t="s">
        <v>18</v>
      </c>
      <c r="R103" s="8">
        <v>144.09994381827642</v>
      </c>
      <c r="S103" s="9" t="s">
        <v>2656</v>
      </c>
      <c r="T103" s="8">
        <v>148.39728975203744</v>
      </c>
      <c r="U103" s="9" t="s">
        <v>2656</v>
      </c>
      <c r="V103" s="8">
        <v>162.10711496445293</v>
      </c>
      <c r="W103" s="8" t="s">
        <v>2655</v>
      </c>
      <c r="X103" s="8"/>
    </row>
    <row r="104" spans="1:24" x14ac:dyDescent="0.3">
      <c r="A104" s="1" t="s">
        <v>274</v>
      </c>
      <c r="B104" s="1" t="s">
        <v>2156</v>
      </c>
      <c r="C104" s="1" t="s">
        <v>1586</v>
      </c>
      <c r="D104" s="1" t="s">
        <v>14</v>
      </c>
      <c r="E104" s="1" t="s">
        <v>17</v>
      </c>
      <c r="F104" s="1">
        <v>2005</v>
      </c>
      <c r="G104" s="1" t="s">
        <v>21</v>
      </c>
      <c r="H104" s="1">
        <v>2021</v>
      </c>
      <c r="I104" s="1" t="s">
        <v>1601</v>
      </c>
      <c r="J104" s="6">
        <v>27562.25</v>
      </c>
      <c r="K104" s="6">
        <v>33840</v>
      </c>
      <c r="L104" s="21">
        <v>1.2277662382425238</v>
      </c>
      <c r="M104" s="1">
        <v>0</v>
      </c>
      <c r="N104" s="1" t="s">
        <v>1589</v>
      </c>
      <c r="O104" s="1">
        <v>7</v>
      </c>
      <c r="P104" s="1">
        <v>0.624</v>
      </c>
      <c r="Q104" s="22">
        <v>44334</v>
      </c>
      <c r="R104" s="8">
        <v>176.37884098721983</v>
      </c>
      <c r="S104" s="9" t="s">
        <v>2655</v>
      </c>
      <c r="T104" s="8">
        <v>159.65757512539795</v>
      </c>
      <c r="U104" s="9" t="s">
        <v>2655</v>
      </c>
      <c r="V104" s="8">
        <v>161.37481519106748</v>
      </c>
      <c r="W104" s="8" t="s">
        <v>2655</v>
      </c>
      <c r="X104" s="8"/>
    </row>
    <row r="105" spans="1:24" x14ac:dyDescent="0.3">
      <c r="A105" s="1" t="s">
        <v>106</v>
      </c>
      <c r="B105" s="1" t="s">
        <v>107</v>
      </c>
      <c r="C105" s="1" t="s">
        <v>1586</v>
      </c>
      <c r="D105" s="1" t="s">
        <v>14</v>
      </c>
      <c r="E105" s="1" t="s">
        <v>17</v>
      </c>
      <c r="F105" s="1">
        <v>1989</v>
      </c>
      <c r="J105" s="6">
        <v>17306</v>
      </c>
      <c r="K105" s="6">
        <v>15000</v>
      </c>
      <c r="L105" s="21">
        <v>0.86675141569397895</v>
      </c>
      <c r="M105" s="1">
        <v>0</v>
      </c>
      <c r="N105" s="1" t="s">
        <v>1589</v>
      </c>
      <c r="O105" s="1">
        <v>20</v>
      </c>
      <c r="P105" s="1" t="s">
        <v>18</v>
      </c>
      <c r="Q105" s="22" t="s">
        <v>18</v>
      </c>
      <c r="R105" s="8">
        <v>150.73633364151164</v>
      </c>
      <c r="S105" s="9" t="s">
        <v>2656</v>
      </c>
      <c r="T105" s="8">
        <v>164.85149254593784</v>
      </c>
      <c r="U105" s="9" t="s">
        <v>2655</v>
      </c>
      <c r="V105" s="8">
        <v>160.85882930775452</v>
      </c>
      <c r="W105" s="8" t="s">
        <v>2655</v>
      </c>
      <c r="X105" s="8"/>
    </row>
    <row r="106" spans="1:24" x14ac:dyDescent="0.3">
      <c r="A106" s="1" t="s">
        <v>362</v>
      </c>
      <c r="B106" s="1" t="s">
        <v>363</v>
      </c>
      <c r="C106" s="1" t="s">
        <v>1586</v>
      </c>
      <c r="D106" s="1" t="s">
        <v>14</v>
      </c>
      <c r="E106" s="1" t="s">
        <v>17</v>
      </c>
      <c r="F106" s="1">
        <v>1997</v>
      </c>
      <c r="J106" s="6">
        <v>37923</v>
      </c>
      <c r="K106" s="6">
        <v>30003</v>
      </c>
      <c r="L106" s="21">
        <v>0.79115576299343404</v>
      </c>
      <c r="M106" s="1">
        <v>0</v>
      </c>
      <c r="N106" s="1" t="s">
        <v>28</v>
      </c>
      <c r="O106" s="1" t="s">
        <v>18</v>
      </c>
      <c r="P106" s="1" t="s">
        <v>18</v>
      </c>
      <c r="Q106" s="22" t="s">
        <v>18</v>
      </c>
      <c r="R106" s="8">
        <v>185.35978482714975</v>
      </c>
      <c r="S106" s="9" t="s">
        <v>2655</v>
      </c>
      <c r="T106" s="8">
        <v>175.24180260000526</v>
      </c>
      <c r="U106" s="9" t="s">
        <v>2655</v>
      </c>
      <c r="V106" s="8">
        <v>160.84864804999606</v>
      </c>
      <c r="W106" s="8" t="s">
        <v>2655</v>
      </c>
      <c r="X106" s="8"/>
    </row>
    <row r="107" spans="1:24" x14ac:dyDescent="0.3">
      <c r="A107" s="1" t="s">
        <v>904</v>
      </c>
      <c r="B107" s="1" t="s">
        <v>905</v>
      </c>
      <c r="C107" s="1" t="s">
        <v>1586</v>
      </c>
      <c r="D107" s="1" t="s">
        <v>14</v>
      </c>
      <c r="E107" s="1" t="s">
        <v>17</v>
      </c>
      <c r="F107" s="1">
        <v>2014</v>
      </c>
      <c r="G107" s="1" t="s">
        <v>19</v>
      </c>
      <c r="H107" s="1">
        <v>2021</v>
      </c>
      <c r="I107" s="1" t="s">
        <v>1604</v>
      </c>
      <c r="J107" s="6">
        <v>82003</v>
      </c>
      <c r="K107" s="6">
        <v>65225</v>
      </c>
      <c r="L107" s="21">
        <v>0.79539772935136521</v>
      </c>
      <c r="M107" s="1">
        <v>0</v>
      </c>
      <c r="N107" s="1" t="s">
        <v>1589</v>
      </c>
      <c r="O107" s="1">
        <v>9</v>
      </c>
      <c r="P107" s="1">
        <v>0.56000000000000005</v>
      </c>
      <c r="Q107" s="22">
        <v>44221</v>
      </c>
      <c r="R107" s="8">
        <v>156.31420191944198</v>
      </c>
      <c r="S107" s="9" t="s">
        <v>2656</v>
      </c>
      <c r="T107" s="8">
        <v>149.83533529261123</v>
      </c>
      <c r="U107" s="9" t="s">
        <v>2656</v>
      </c>
      <c r="V107" s="8">
        <v>160.40868626757558</v>
      </c>
      <c r="W107" s="8" t="s">
        <v>2655</v>
      </c>
      <c r="X107" s="8"/>
    </row>
    <row r="108" spans="1:24" x14ac:dyDescent="0.3">
      <c r="A108" s="1" t="s">
        <v>682</v>
      </c>
      <c r="B108" s="1" t="s">
        <v>683</v>
      </c>
      <c r="C108" s="1" t="s">
        <v>1586</v>
      </c>
      <c r="D108" s="1" t="s">
        <v>14</v>
      </c>
      <c r="E108" s="1" t="s">
        <v>17</v>
      </c>
      <c r="F108" s="1">
        <v>1976</v>
      </c>
      <c r="J108" s="6">
        <v>17884</v>
      </c>
      <c r="K108" s="6">
        <v>10888</v>
      </c>
      <c r="L108" s="21">
        <v>0.60881234623126812</v>
      </c>
      <c r="M108" s="1">
        <v>0</v>
      </c>
      <c r="N108" s="1" t="s">
        <v>1589</v>
      </c>
      <c r="O108" s="1">
        <v>4</v>
      </c>
      <c r="P108" s="1" t="s">
        <v>18</v>
      </c>
      <c r="Q108" s="22" t="s">
        <v>18</v>
      </c>
      <c r="R108" s="8">
        <v>152.17173115634091</v>
      </c>
      <c r="S108" s="9" t="s">
        <v>2656</v>
      </c>
      <c r="T108" s="8">
        <v>152.72779747260128</v>
      </c>
      <c r="U108" s="9" t="s">
        <v>2656</v>
      </c>
      <c r="V108" s="8">
        <v>160.19218183851487</v>
      </c>
      <c r="W108" s="8" t="s">
        <v>2655</v>
      </c>
      <c r="X108" s="8"/>
    </row>
    <row r="109" spans="1:24" x14ac:dyDescent="0.3">
      <c r="A109" s="1" t="s">
        <v>899</v>
      </c>
      <c r="B109" s="1" t="s">
        <v>1801</v>
      </c>
      <c r="C109" s="1" t="s">
        <v>1586</v>
      </c>
      <c r="D109" s="1" t="s">
        <v>14</v>
      </c>
      <c r="E109" s="1" t="s">
        <v>17</v>
      </c>
      <c r="F109" s="1">
        <v>1974</v>
      </c>
      <c r="G109" s="1" t="s">
        <v>25</v>
      </c>
      <c r="H109" s="1">
        <v>2022</v>
      </c>
      <c r="I109" s="1" t="s">
        <v>1601</v>
      </c>
      <c r="J109" s="6">
        <v>116055</v>
      </c>
      <c r="K109" s="6">
        <v>110000</v>
      </c>
      <c r="L109" s="21">
        <v>0.94782646159148676</v>
      </c>
      <c r="M109" s="1">
        <v>268</v>
      </c>
      <c r="N109" s="1" t="s">
        <v>1589</v>
      </c>
      <c r="O109" s="1">
        <v>6</v>
      </c>
      <c r="P109" s="1" t="s">
        <v>18</v>
      </c>
      <c r="Q109" s="22" t="s">
        <v>18</v>
      </c>
      <c r="R109" s="8">
        <v>159.57736848907845</v>
      </c>
      <c r="S109" s="9" t="s">
        <v>2656</v>
      </c>
      <c r="T109" s="8">
        <v>156.28364999353755</v>
      </c>
      <c r="U109" s="9" t="s">
        <v>2655</v>
      </c>
      <c r="V109" s="8">
        <v>160.03699108181465</v>
      </c>
      <c r="W109" s="8" t="s">
        <v>2655</v>
      </c>
      <c r="X109" s="8"/>
    </row>
    <row r="110" spans="1:24" x14ac:dyDescent="0.3">
      <c r="A110" s="1" t="s">
        <v>1260</v>
      </c>
      <c r="B110" s="1" t="s">
        <v>1261</v>
      </c>
      <c r="C110" s="1" t="s">
        <v>1586</v>
      </c>
      <c r="D110" s="1" t="s">
        <v>14</v>
      </c>
      <c r="E110" s="1" t="s">
        <v>17</v>
      </c>
      <c r="F110" s="1">
        <v>1995</v>
      </c>
      <c r="G110" s="1" t="s">
        <v>21</v>
      </c>
      <c r="H110" s="1">
        <v>2022</v>
      </c>
      <c r="I110" s="1" t="s">
        <v>1818</v>
      </c>
      <c r="J110" s="6">
        <v>28533</v>
      </c>
      <c r="K110" s="6">
        <v>19537</v>
      </c>
      <c r="L110" s="21">
        <v>0.68471594294325866</v>
      </c>
      <c r="M110" s="1">
        <v>0</v>
      </c>
      <c r="N110" s="1" t="s">
        <v>1589</v>
      </c>
      <c r="O110" s="1">
        <v>1995</v>
      </c>
      <c r="P110" s="1" t="s">
        <v>18</v>
      </c>
      <c r="Q110" s="22" t="s">
        <v>18</v>
      </c>
      <c r="R110" s="8">
        <v>156.03017558616338</v>
      </c>
      <c r="S110" s="9" t="s">
        <v>2656</v>
      </c>
      <c r="T110" s="8">
        <v>136.0453860442295</v>
      </c>
      <c r="U110" s="9" t="s">
        <v>2656</v>
      </c>
      <c r="V110" s="8">
        <v>158.29639364945851</v>
      </c>
      <c r="W110" s="8" t="s">
        <v>2656</v>
      </c>
      <c r="X110" s="8"/>
    </row>
    <row r="111" spans="1:24" x14ac:dyDescent="0.3">
      <c r="A111" s="1" t="s">
        <v>1469</v>
      </c>
      <c r="B111" s="1" t="s">
        <v>2432</v>
      </c>
      <c r="C111" s="1" t="s">
        <v>1586</v>
      </c>
      <c r="D111" s="1" t="s">
        <v>14</v>
      </c>
      <c r="E111" s="1" t="s">
        <v>17</v>
      </c>
      <c r="F111" s="1">
        <v>1975</v>
      </c>
      <c r="G111" s="1" t="s">
        <v>21</v>
      </c>
      <c r="H111" s="1">
        <v>2011</v>
      </c>
      <c r="I111" s="1" t="s">
        <v>1605</v>
      </c>
      <c r="J111" s="6">
        <v>71214</v>
      </c>
      <c r="K111" s="6">
        <v>70000</v>
      </c>
      <c r="L111" s="21">
        <v>0.98295279018170589</v>
      </c>
      <c r="M111" s="1">
        <v>0</v>
      </c>
      <c r="N111" s="1" t="s">
        <v>1589</v>
      </c>
      <c r="O111" s="1">
        <v>1</v>
      </c>
      <c r="P111" s="1" t="s">
        <v>18</v>
      </c>
      <c r="Q111" s="22" t="s">
        <v>18</v>
      </c>
      <c r="R111" s="8">
        <v>150.64925955570536</v>
      </c>
      <c r="S111" s="9" t="s">
        <v>2656</v>
      </c>
      <c r="T111" s="8">
        <v>153.16785758418285</v>
      </c>
      <c r="U111" s="9" t="s">
        <v>2656</v>
      </c>
      <c r="V111" s="8">
        <v>158.24373536102451</v>
      </c>
      <c r="W111" s="8" t="s">
        <v>2656</v>
      </c>
      <c r="X111" s="8"/>
    </row>
    <row r="112" spans="1:24" x14ac:dyDescent="0.3">
      <c r="A112" s="1" t="s">
        <v>775</v>
      </c>
      <c r="B112" s="1" t="s">
        <v>776</v>
      </c>
      <c r="C112" s="1" t="s">
        <v>1586</v>
      </c>
      <c r="D112" s="1" t="s">
        <v>14</v>
      </c>
      <c r="E112" s="1" t="s">
        <v>17</v>
      </c>
      <c r="F112" s="1">
        <v>1999</v>
      </c>
      <c r="G112" s="1" t="s">
        <v>25</v>
      </c>
      <c r="H112" s="1">
        <v>2022</v>
      </c>
      <c r="I112" s="1" t="s">
        <v>1818</v>
      </c>
      <c r="J112" s="6">
        <v>17815</v>
      </c>
      <c r="K112" s="6">
        <v>16000</v>
      </c>
      <c r="L112" s="21">
        <v>0.8981195621667134</v>
      </c>
      <c r="M112" s="1">
        <v>0</v>
      </c>
      <c r="N112" s="1" t="s">
        <v>28</v>
      </c>
      <c r="O112" s="1" t="s">
        <v>18</v>
      </c>
      <c r="P112" s="1">
        <v>0.75</v>
      </c>
      <c r="Q112" s="22">
        <v>43834</v>
      </c>
      <c r="R112" s="8">
        <v>145.508830760595</v>
      </c>
      <c r="S112" s="9" t="s">
        <v>2656</v>
      </c>
      <c r="T112" s="8">
        <v>156.0730008419871</v>
      </c>
      <c r="U112" s="9" t="s">
        <v>2655</v>
      </c>
      <c r="V112" s="8">
        <v>157.872877911872</v>
      </c>
      <c r="W112" s="8" t="s">
        <v>2656</v>
      </c>
      <c r="X112" s="8"/>
    </row>
    <row r="113" spans="1:24" x14ac:dyDescent="0.3">
      <c r="A113" s="1" t="s">
        <v>1628</v>
      </c>
      <c r="B113" s="1" t="s">
        <v>1501</v>
      </c>
      <c r="C113" s="1" t="s">
        <v>1586</v>
      </c>
      <c r="D113" s="1" t="s">
        <v>14</v>
      </c>
      <c r="E113" s="1" t="s">
        <v>17</v>
      </c>
      <c r="F113" s="1">
        <v>1989</v>
      </c>
      <c r="J113" s="6">
        <v>38697.85</v>
      </c>
      <c r="K113" s="6">
        <v>31000</v>
      </c>
      <c r="L113" s="21">
        <v>0.80107809606993674</v>
      </c>
      <c r="M113" s="1">
        <v>0</v>
      </c>
      <c r="N113" s="1" t="s">
        <v>1589</v>
      </c>
      <c r="O113" s="1" t="s">
        <v>18</v>
      </c>
      <c r="P113" s="1" t="s">
        <v>18</v>
      </c>
      <c r="Q113" s="22" t="s">
        <v>18</v>
      </c>
      <c r="R113" s="8">
        <v>172.59396839876118</v>
      </c>
      <c r="S113" s="9" t="s">
        <v>2655</v>
      </c>
      <c r="T113" s="8">
        <v>162.13799991472396</v>
      </c>
      <c r="U113" s="9" t="s">
        <v>2655</v>
      </c>
      <c r="V113" s="8">
        <v>157.76814474189135</v>
      </c>
      <c r="W113" s="8" t="s">
        <v>2656</v>
      </c>
      <c r="X113" s="8"/>
    </row>
    <row r="114" spans="1:24" x14ac:dyDescent="0.3">
      <c r="A114" s="1" t="s">
        <v>1156</v>
      </c>
      <c r="B114" s="1" t="s">
        <v>2209</v>
      </c>
      <c r="C114" s="1" t="s">
        <v>1586</v>
      </c>
      <c r="D114" s="1" t="s">
        <v>14</v>
      </c>
      <c r="E114" s="1" t="s">
        <v>17</v>
      </c>
      <c r="F114" s="1">
        <v>2019</v>
      </c>
      <c r="G114" s="1" t="s">
        <v>21</v>
      </c>
      <c r="H114" s="1">
        <v>2022</v>
      </c>
      <c r="I114" s="1" t="s">
        <v>1599</v>
      </c>
      <c r="J114" s="6">
        <v>24085.49</v>
      </c>
      <c r="K114" s="6">
        <v>20000</v>
      </c>
      <c r="L114" s="21">
        <v>0.83037546672291074</v>
      </c>
      <c r="M114" s="1">
        <v>0</v>
      </c>
      <c r="N114" s="1" t="s">
        <v>1589</v>
      </c>
      <c r="O114" s="1">
        <v>4</v>
      </c>
      <c r="P114" s="1">
        <v>0.53</v>
      </c>
      <c r="Q114" s="22">
        <v>44481</v>
      </c>
      <c r="R114" s="8">
        <v>145.26186513124708</v>
      </c>
      <c r="S114" s="9" t="s">
        <v>2656</v>
      </c>
      <c r="T114" s="8">
        <v>153.8397765625694</v>
      </c>
      <c r="U114" s="9" t="s">
        <v>2656</v>
      </c>
      <c r="V114" s="8">
        <v>157.28885731616836</v>
      </c>
      <c r="W114" s="8" t="s">
        <v>2656</v>
      </c>
      <c r="X114" s="8"/>
    </row>
    <row r="115" spans="1:24" x14ac:dyDescent="0.3">
      <c r="A115" s="1" t="s">
        <v>1908</v>
      </c>
      <c r="B115" s="1" t="s">
        <v>1909</v>
      </c>
      <c r="C115" s="1" t="s">
        <v>1586</v>
      </c>
      <c r="D115" s="1" t="s">
        <v>14</v>
      </c>
      <c r="E115" s="1" t="s">
        <v>17</v>
      </c>
      <c r="F115" s="1">
        <v>2022</v>
      </c>
      <c r="G115" s="1" t="s">
        <v>21</v>
      </c>
      <c r="H115" s="1">
        <v>2020</v>
      </c>
      <c r="I115" s="1" t="s">
        <v>1602</v>
      </c>
      <c r="J115" s="6">
        <v>19792</v>
      </c>
      <c r="K115" s="6">
        <v>15075</v>
      </c>
      <c r="L115" s="21">
        <v>0.76167138237671783</v>
      </c>
      <c r="M115" s="1">
        <v>0</v>
      </c>
      <c r="N115" s="1" t="s">
        <v>1821</v>
      </c>
      <c r="O115" s="1" t="s">
        <v>18</v>
      </c>
      <c r="P115" s="1" t="s">
        <v>18</v>
      </c>
      <c r="Q115" s="22" t="s">
        <v>18</v>
      </c>
      <c r="R115" s="8" t="s">
        <v>18</v>
      </c>
      <c r="S115" s="9"/>
      <c r="T115" s="8" t="s">
        <v>18</v>
      </c>
      <c r="U115" s="9"/>
      <c r="V115" s="8">
        <v>157.26440481002425</v>
      </c>
      <c r="W115" s="8"/>
      <c r="X115" s="8"/>
    </row>
    <row r="116" spans="1:24" x14ac:dyDescent="0.3">
      <c r="A116" s="1" t="s">
        <v>1293</v>
      </c>
      <c r="B116" s="1" t="s">
        <v>1294</v>
      </c>
      <c r="C116" s="1" t="s">
        <v>1586</v>
      </c>
      <c r="D116" s="1" t="s">
        <v>14</v>
      </c>
      <c r="E116" s="1" t="s">
        <v>17</v>
      </c>
      <c r="F116" s="1">
        <v>2011</v>
      </c>
      <c r="G116" s="1" t="s">
        <v>25</v>
      </c>
      <c r="H116" s="1">
        <v>2011</v>
      </c>
      <c r="I116" s="1" t="s">
        <v>1603</v>
      </c>
      <c r="J116" s="6">
        <v>33458</v>
      </c>
      <c r="K116" s="6">
        <v>28003</v>
      </c>
      <c r="L116" s="21">
        <v>0.83695977045848524</v>
      </c>
      <c r="M116" s="1">
        <v>0</v>
      </c>
      <c r="N116" s="1" t="s">
        <v>1821</v>
      </c>
      <c r="O116" s="1" t="s">
        <v>18</v>
      </c>
      <c r="P116" s="1" t="s">
        <v>18</v>
      </c>
      <c r="Q116" s="22" t="s">
        <v>18</v>
      </c>
      <c r="R116" s="8">
        <v>181.54649106478035</v>
      </c>
      <c r="S116" s="9"/>
      <c r="T116" s="8">
        <v>193.86753071481758</v>
      </c>
      <c r="U116" s="9"/>
      <c r="V116" s="8">
        <v>157.05835815338793</v>
      </c>
      <c r="W116" s="8"/>
      <c r="X116" s="8"/>
    </row>
    <row r="117" spans="1:24" x14ac:dyDescent="0.3">
      <c r="A117" s="1" t="s">
        <v>1506</v>
      </c>
      <c r="B117" s="1" t="s">
        <v>1507</v>
      </c>
      <c r="C117" s="1" t="s">
        <v>1586</v>
      </c>
      <c r="D117" s="1" t="s">
        <v>14</v>
      </c>
      <c r="E117" s="1" t="s">
        <v>17</v>
      </c>
      <c r="F117" s="1">
        <v>1969</v>
      </c>
      <c r="J117" s="6">
        <v>16450</v>
      </c>
      <c r="K117" s="6">
        <v>16350</v>
      </c>
      <c r="L117" s="21">
        <v>0.99392097264437695</v>
      </c>
      <c r="M117" s="1">
        <v>0</v>
      </c>
      <c r="N117" s="1" t="s">
        <v>1589</v>
      </c>
      <c r="O117" s="1">
        <v>53</v>
      </c>
      <c r="P117" s="1" t="s">
        <v>18</v>
      </c>
      <c r="Q117" s="22" t="s">
        <v>18</v>
      </c>
      <c r="R117" s="8">
        <v>166.16282613981761</v>
      </c>
      <c r="S117" s="9" t="s">
        <v>2655</v>
      </c>
      <c r="T117" s="8">
        <v>156.7462407294833</v>
      </c>
      <c r="U117" s="9" t="s">
        <v>2655</v>
      </c>
      <c r="V117" s="8">
        <v>155.7806303951368</v>
      </c>
      <c r="W117" s="8" t="s">
        <v>2656</v>
      </c>
      <c r="X117" s="8"/>
    </row>
    <row r="118" spans="1:24" x14ac:dyDescent="0.3">
      <c r="A118" s="1" t="s">
        <v>2191</v>
      </c>
      <c r="B118" s="1" t="s">
        <v>1451</v>
      </c>
      <c r="C118" s="1" t="s">
        <v>1586</v>
      </c>
      <c r="D118" s="1" t="s">
        <v>14</v>
      </c>
      <c r="E118" s="1" t="s">
        <v>17</v>
      </c>
      <c r="F118" s="1">
        <v>1992</v>
      </c>
      <c r="G118" s="1" t="s">
        <v>21</v>
      </c>
      <c r="H118" s="1">
        <v>2022</v>
      </c>
      <c r="I118" s="1" t="s">
        <v>1601</v>
      </c>
      <c r="J118" s="6">
        <v>131811</v>
      </c>
      <c r="K118" s="6">
        <v>113717</v>
      </c>
      <c r="L118" s="21">
        <v>0.86272769343984945</v>
      </c>
      <c r="M118" s="1">
        <v>0</v>
      </c>
      <c r="N118" s="1" t="s">
        <v>1589</v>
      </c>
      <c r="O118" s="1">
        <v>6</v>
      </c>
      <c r="P118" s="1">
        <v>0.75</v>
      </c>
      <c r="Q118" s="22">
        <v>44492</v>
      </c>
      <c r="R118" s="8">
        <v>180.52254743534303</v>
      </c>
      <c r="S118" s="9" t="s">
        <v>2655</v>
      </c>
      <c r="T118" s="8">
        <v>175.60680443969017</v>
      </c>
      <c r="U118" s="9" t="s">
        <v>2655</v>
      </c>
      <c r="V118" s="8">
        <v>155.27187412279704</v>
      </c>
      <c r="W118" s="8" t="s">
        <v>2656</v>
      </c>
      <c r="X118" s="8"/>
    </row>
    <row r="119" spans="1:24" x14ac:dyDescent="0.3">
      <c r="A119" s="1" t="s">
        <v>64</v>
      </c>
      <c r="B119" s="1" t="s">
        <v>1966</v>
      </c>
      <c r="C119" s="1" t="s">
        <v>1586</v>
      </c>
      <c r="D119" s="1" t="s">
        <v>14</v>
      </c>
      <c r="E119" s="1" t="s">
        <v>17</v>
      </c>
      <c r="F119" s="1">
        <v>2002</v>
      </c>
      <c r="G119" s="1" t="s">
        <v>25</v>
      </c>
      <c r="H119" s="1">
        <v>2022</v>
      </c>
      <c r="I119" s="1" t="s">
        <v>1597</v>
      </c>
      <c r="J119" s="6">
        <v>40061</v>
      </c>
      <c r="K119" s="6">
        <v>34377</v>
      </c>
      <c r="L119" s="21">
        <v>0.85811637253188888</v>
      </c>
      <c r="M119" s="1">
        <v>0</v>
      </c>
      <c r="N119" s="1" t="s">
        <v>1589</v>
      </c>
      <c r="O119" s="1">
        <v>9</v>
      </c>
      <c r="P119" s="1">
        <v>0.80900000000000005</v>
      </c>
      <c r="Q119" s="22">
        <v>44835</v>
      </c>
      <c r="R119" s="8">
        <v>147.42951612631012</v>
      </c>
      <c r="S119" s="9" t="s">
        <v>2656</v>
      </c>
      <c r="T119" s="8">
        <v>146.62771126225718</v>
      </c>
      <c r="U119" s="9" t="s">
        <v>2656</v>
      </c>
      <c r="V119" s="8">
        <v>154.32653170410626</v>
      </c>
      <c r="W119" s="8" t="s">
        <v>2656</v>
      </c>
      <c r="X119" s="8"/>
    </row>
    <row r="120" spans="1:24" x14ac:dyDescent="0.3">
      <c r="A120" s="1" t="s">
        <v>1844</v>
      </c>
      <c r="B120" s="1" t="s">
        <v>292</v>
      </c>
      <c r="C120" s="1" t="s">
        <v>1586</v>
      </c>
      <c r="D120" s="1" t="s">
        <v>14</v>
      </c>
      <c r="E120" s="1" t="s">
        <v>17</v>
      </c>
      <c r="F120" s="1">
        <v>1996</v>
      </c>
      <c r="G120" s="1" t="s">
        <v>25</v>
      </c>
      <c r="H120" s="1">
        <v>2022</v>
      </c>
      <c r="I120" s="1" t="s">
        <v>1818</v>
      </c>
      <c r="J120" s="6">
        <v>22518</v>
      </c>
      <c r="K120" s="6">
        <v>18014</v>
      </c>
      <c r="L120" s="21">
        <v>0.79998223643307576</v>
      </c>
      <c r="M120" s="1">
        <v>0</v>
      </c>
      <c r="N120" s="1" t="s">
        <v>1589</v>
      </c>
      <c r="O120" s="1">
        <v>12</v>
      </c>
      <c r="P120" s="1">
        <v>0.73299999999999998</v>
      </c>
      <c r="Q120" s="22">
        <v>42646</v>
      </c>
      <c r="R120" s="8">
        <v>146.5704325428546</v>
      </c>
      <c r="S120" s="9" t="s">
        <v>2656</v>
      </c>
      <c r="T120" s="8">
        <v>144.71866950883737</v>
      </c>
      <c r="U120" s="9" t="s">
        <v>2656</v>
      </c>
      <c r="V120" s="8">
        <v>154.21107558397728</v>
      </c>
      <c r="W120" s="8" t="s">
        <v>2656</v>
      </c>
      <c r="X120" s="8"/>
    </row>
    <row r="121" spans="1:24" x14ac:dyDescent="0.3">
      <c r="A121" s="1" t="s">
        <v>1354</v>
      </c>
      <c r="B121" s="1" t="s">
        <v>1355</v>
      </c>
      <c r="C121" s="1" t="s">
        <v>1586</v>
      </c>
      <c r="D121" s="1" t="s">
        <v>14</v>
      </c>
      <c r="E121" s="1" t="s">
        <v>17</v>
      </c>
      <c r="F121" s="1">
        <v>1998</v>
      </c>
      <c r="G121" s="1" t="s">
        <v>21</v>
      </c>
      <c r="H121" s="1">
        <v>2021</v>
      </c>
      <c r="I121" s="1" t="s">
        <v>1597</v>
      </c>
      <c r="J121" s="6">
        <v>27699</v>
      </c>
      <c r="K121" s="6">
        <v>27699</v>
      </c>
      <c r="L121" s="21">
        <v>1</v>
      </c>
      <c r="M121" s="1">
        <v>0</v>
      </c>
      <c r="N121" s="1" t="s">
        <v>1589</v>
      </c>
      <c r="O121" s="1">
        <v>8</v>
      </c>
      <c r="P121" s="1">
        <v>0.68</v>
      </c>
      <c r="Q121" s="22">
        <v>44248</v>
      </c>
      <c r="R121" s="8">
        <v>156.39920574749991</v>
      </c>
      <c r="S121" s="9" t="s">
        <v>2656</v>
      </c>
      <c r="T121" s="8">
        <v>147.63828297050435</v>
      </c>
      <c r="U121" s="9" t="s">
        <v>2656</v>
      </c>
      <c r="V121" s="8">
        <v>153.83196505288998</v>
      </c>
      <c r="W121" s="8" t="s">
        <v>2656</v>
      </c>
      <c r="X121" s="8"/>
    </row>
    <row r="122" spans="1:24" x14ac:dyDescent="0.3">
      <c r="A122" s="1" t="s">
        <v>2029</v>
      </c>
      <c r="B122" s="1" t="s">
        <v>872</v>
      </c>
      <c r="C122" s="1" t="s">
        <v>1586</v>
      </c>
      <c r="D122" s="1" t="s">
        <v>14</v>
      </c>
      <c r="E122" s="1" t="s">
        <v>17</v>
      </c>
      <c r="F122" s="1">
        <v>2001</v>
      </c>
      <c r="G122" s="1" t="s">
        <v>19</v>
      </c>
      <c r="H122" s="1">
        <v>2022</v>
      </c>
      <c r="I122" s="1" t="s">
        <v>1599</v>
      </c>
      <c r="J122" s="6">
        <v>42127</v>
      </c>
      <c r="K122" s="6">
        <v>34000</v>
      </c>
      <c r="L122" s="21">
        <v>0.80708334322406061</v>
      </c>
      <c r="M122" s="1">
        <v>0</v>
      </c>
      <c r="N122" s="1" t="s">
        <v>1589</v>
      </c>
      <c r="O122" s="1">
        <v>2</v>
      </c>
      <c r="P122" s="1" t="s">
        <v>18</v>
      </c>
      <c r="Q122" s="22" t="s">
        <v>18</v>
      </c>
      <c r="R122" s="8">
        <v>177.24832055451373</v>
      </c>
      <c r="S122" s="9" t="s">
        <v>2655</v>
      </c>
      <c r="T122" s="8">
        <v>158.18591402188619</v>
      </c>
      <c r="U122" s="9" t="s">
        <v>2655</v>
      </c>
      <c r="V122" s="8">
        <v>153.58848244593727</v>
      </c>
      <c r="W122" s="8" t="s">
        <v>2656</v>
      </c>
      <c r="X122" s="8"/>
    </row>
    <row r="123" spans="1:24" x14ac:dyDescent="0.3">
      <c r="A123" s="1" t="s">
        <v>1348</v>
      </c>
      <c r="B123" s="1" t="s">
        <v>2241</v>
      </c>
      <c r="C123" s="1" t="s">
        <v>1586</v>
      </c>
      <c r="D123" s="1" t="s">
        <v>14</v>
      </c>
      <c r="E123" s="1" t="s">
        <v>17</v>
      </c>
      <c r="F123" s="1">
        <v>1997</v>
      </c>
      <c r="G123" s="1" t="s">
        <v>21</v>
      </c>
      <c r="H123" s="1">
        <v>2022</v>
      </c>
      <c r="I123" s="1" t="s">
        <v>1597</v>
      </c>
      <c r="J123" s="6">
        <v>64846</v>
      </c>
      <c r="K123" s="6">
        <v>51932</v>
      </c>
      <c r="L123" s="21">
        <v>0.80085124757116866</v>
      </c>
      <c r="M123" s="1">
        <v>0</v>
      </c>
      <c r="N123" s="1" t="s">
        <v>1589</v>
      </c>
      <c r="O123" s="1">
        <v>7</v>
      </c>
      <c r="P123" s="1">
        <v>0.65</v>
      </c>
      <c r="Q123" s="22">
        <v>41353</v>
      </c>
      <c r="R123" s="8">
        <v>167.7988310767048</v>
      </c>
      <c r="S123" s="9" t="s">
        <v>2655</v>
      </c>
      <c r="T123" s="8">
        <v>164.22257348178761</v>
      </c>
      <c r="U123" s="9" t="s">
        <v>2655</v>
      </c>
      <c r="V123" s="8">
        <v>152.1883231039694</v>
      </c>
      <c r="W123" s="8" t="s">
        <v>2656</v>
      </c>
      <c r="X123" s="8"/>
    </row>
    <row r="124" spans="1:24" x14ac:dyDescent="0.3">
      <c r="A124" s="1" t="s">
        <v>766</v>
      </c>
      <c r="B124" s="1" t="s">
        <v>767</v>
      </c>
      <c r="C124" s="1" t="s">
        <v>1586</v>
      </c>
      <c r="D124" s="1" t="s">
        <v>14</v>
      </c>
      <c r="E124" s="1" t="s">
        <v>17</v>
      </c>
      <c r="F124" s="1">
        <v>2017</v>
      </c>
      <c r="G124" s="1" t="s">
        <v>19</v>
      </c>
      <c r="H124" s="1">
        <v>2021</v>
      </c>
      <c r="I124" s="1" t="s">
        <v>1600</v>
      </c>
      <c r="J124" s="6">
        <v>28189</v>
      </c>
      <c r="K124" s="6">
        <v>26779</v>
      </c>
      <c r="L124" s="21">
        <v>0.94998048884316577</v>
      </c>
      <c r="M124" s="1">
        <v>0</v>
      </c>
      <c r="N124" s="1" t="s">
        <v>1589</v>
      </c>
      <c r="O124" s="1">
        <v>7</v>
      </c>
      <c r="P124" s="1">
        <v>0.6</v>
      </c>
      <c r="Q124" s="22">
        <v>44399</v>
      </c>
      <c r="R124" s="8">
        <v>149.89159778637057</v>
      </c>
      <c r="S124" s="9" t="s">
        <v>2656</v>
      </c>
      <c r="T124" s="8">
        <v>151.34869275249213</v>
      </c>
      <c r="U124" s="9" t="s">
        <v>2656</v>
      </c>
      <c r="V124" s="8">
        <v>151.99463762460533</v>
      </c>
      <c r="W124" s="8" t="s">
        <v>2656</v>
      </c>
      <c r="X124" s="8"/>
    </row>
    <row r="125" spans="1:24" x14ac:dyDescent="0.3">
      <c r="A125" s="1" t="s">
        <v>2358</v>
      </c>
      <c r="B125" s="1" t="s">
        <v>937</v>
      </c>
      <c r="C125" s="1" t="s">
        <v>1586</v>
      </c>
      <c r="D125" s="1" t="s">
        <v>14</v>
      </c>
      <c r="E125" s="1" t="s">
        <v>17</v>
      </c>
      <c r="F125" s="1">
        <v>2017</v>
      </c>
      <c r="G125" s="1" t="s">
        <v>21</v>
      </c>
      <c r="H125" s="1">
        <v>2022</v>
      </c>
      <c r="I125" s="1" t="s">
        <v>1818</v>
      </c>
      <c r="J125" s="6">
        <v>64562</v>
      </c>
      <c r="K125" s="6">
        <v>52918</v>
      </c>
      <c r="L125" s="21">
        <v>0.81964623152938265</v>
      </c>
      <c r="M125" s="1">
        <v>0</v>
      </c>
      <c r="N125" s="1" t="s">
        <v>1589</v>
      </c>
      <c r="O125" s="1">
        <v>7</v>
      </c>
      <c r="P125" s="1">
        <v>0.56799999999999995</v>
      </c>
      <c r="Q125" s="22">
        <v>44473</v>
      </c>
      <c r="R125" s="8">
        <v>121.20045847402497</v>
      </c>
      <c r="S125" s="9" t="s">
        <v>2657</v>
      </c>
      <c r="T125" s="8">
        <v>142.88143489978623</v>
      </c>
      <c r="U125" s="9" t="s">
        <v>2656</v>
      </c>
      <c r="V125" s="8">
        <v>151.89512096899105</v>
      </c>
      <c r="W125" s="8" t="s">
        <v>2656</v>
      </c>
      <c r="X125" s="8"/>
    </row>
    <row r="126" spans="1:24" x14ac:dyDescent="0.3">
      <c r="A126" s="1" t="s">
        <v>2249</v>
      </c>
      <c r="B126" s="1" t="s">
        <v>2250</v>
      </c>
      <c r="C126" s="1" t="s">
        <v>1586</v>
      </c>
      <c r="D126" s="1" t="s">
        <v>14</v>
      </c>
      <c r="E126" s="1" t="s">
        <v>17</v>
      </c>
      <c r="F126" s="1">
        <v>2020</v>
      </c>
      <c r="J126" s="6">
        <v>56533</v>
      </c>
      <c r="K126" s="6">
        <v>52417</v>
      </c>
      <c r="L126" s="21">
        <v>0.92719296693966358</v>
      </c>
      <c r="M126" s="1">
        <v>0</v>
      </c>
      <c r="N126" s="1" t="s">
        <v>1589</v>
      </c>
      <c r="O126" s="1">
        <v>3</v>
      </c>
      <c r="P126" s="1">
        <v>0.63</v>
      </c>
      <c r="Q126" s="22">
        <v>44742</v>
      </c>
      <c r="R126" s="8">
        <v>47.419100348469037</v>
      </c>
      <c r="S126" s="9" t="s">
        <v>2657</v>
      </c>
      <c r="T126" s="8">
        <v>125.02969946756761</v>
      </c>
      <c r="U126" s="9" t="s">
        <v>2656</v>
      </c>
      <c r="V126" s="8">
        <v>151.01197530645817</v>
      </c>
      <c r="W126" s="8" t="s">
        <v>2656</v>
      </c>
      <c r="X126" s="8"/>
    </row>
    <row r="127" spans="1:24" x14ac:dyDescent="0.3">
      <c r="A127" s="1" t="s">
        <v>1351</v>
      </c>
      <c r="B127" s="1" t="s">
        <v>2253</v>
      </c>
      <c r="C127" s="1" t="s">
        <v>1586</v>
      </c>
      <c r="D127" s="1" t="s">
        <v>14</v>
      </c>
      <c r="E127" s="1" t="s">
        <v>17</v>
      </c>
      <c r="F127" s="1">
        <v>2014</v>
      </c>
      <c r="G127" s="1" t="s">
        <v>19</v>
      </c>
      <c r="H127" s="1">
        <v>2021</v>
      </c>
      <c r="I127" s="1" t="s">
        <v>1604</v>
      </c>
      <c r="J127" s="6">
        <v>68839</v>
      </c>
      <c r="K127" s="6">
        <v>55585</v>
      </c>
      <c r="L127" s="21">
        <v>0.80746379232702392</v>
      </c>
      <c r="M127" s="1">
        <v>0</v>
      </c>
      <c r="N127" s="1" t="s">
        <v>1589</v>
      </c>
      <c r="O127" s="1">
        <v>9</v>
      </c>
      <c r="P127" s="1">
        <v>0.62</v>
      </c>
      <c r="Q127" s="22">
        <v>45094</v>
      </c>
      <c r="R127" s="8">
        <v>147.99398596725695</v>
      </c>
      <c r="S127" s="9" t="s">
        <v>2656</v>
      </c>
      <c r="T127" s="8">
        <v>142.09134356977876</v>
      </c>
      <c r="U127" s="9" t="s">
        <v>2656</v>
      </c>
      <c r="V127" s="8">
        <v>149.87213643428871</v>
      </c>
      <c r="W127" s="8" t="s">
        <v>2656</v>
      </c>
      <c r="X127" s="8"/>
    </row>
    <row r="128" spans="1:24" x14ac:dyDescent="0.3">
      <c r="A128" s="1" t="s">
        <v>1233</v>
      </c>
      <c r="B128" s="1" t="s">
        <v>1234</v>
      </c>
      <c r="C128" s="1" t="s">
        <v>1586</v>
      </c>
      <c r="D128" s="1" t="s">
        <v>14</v>
      </c>
      <c r="E128" s="1" t="s">
        <v>17</v>
      </c>
      <c r="F128" s="1">
        <v>2013</v>
      </c>
      <c r="G128" s="1" t="s">
        <v>19</v>
      </c>
      <c r="H128" s="1">
        <v>2021</v>
      </c>
      <c r="I128" s="1" t="s">
        <v>1603</v>
      </c>
      <c r="J128" s="6">
        <v>115395</v>
      </c>
      <c r="K128" s="6">
        <v>102171</v>
      </c>
      <c r="L128" s="21">
        <v>0.88540231379175871</v>
      </c>
      <c r="M128" s="1">
        <v>0</v>
      </c>
      <c r="N128" s="1" t="s">
        <v>1589</v>
      </c>
      <c r="O128" s="1">
        <v>10</v>
      </c>
      <c r="P128" s="1">
        <v>0.54200000000000004</v>
      </c>
      <c r="Q128" s="22">
        <v>44409</v>
      </c>
      <c r="R128" s="8">
        <v>149.19877810997011</v>
      </c>
      <c r="S128" s="9" t="s">
        <v>2656</v>
      </c>
      <c r="T128" s="8">
        <v>148.63647471727543</v>
      </c>
      <c r="U128" s="9" t="s">
        <v>2656</v>
      </c>
      <c r="V128" s="8">
        <v>149.52770050695437</v>
      </c>
      <c r="W128" s="8" t="s">
        <v>2656</v>
      </c>
      <c r="X128" s="8"/>
    </row>
    <row r="129" spans="1:24" x14ac:dyDescent="0.3">
      <c r="A129" s="1" t="s">
        <v>2392</v>
      </c>
      <c r="B129" s="1" t="s">
        <v>2393</v>
      </c>
      <c r="C129" s="1" t="s">
        <v>1586</v>
      </c>
      <c r="D129" s="1" t="s">
        <v>14</v>
      </c>
      <c r="E129" s="1" t="s">
        <v>17</v>
      </c>
      <c r="F129" s="1">
        <v>45190</v>
      </c>
      <c r="G129" s="1" t="s">
        <v>19</v>
      </c>
      <c r="H129" s="1">
        <v>2017</v>
      </c>
      <c r="I129" s="1" t="s">
        <v>1601</v>
      </c>
      <c r="J129" s="6">
        <v>29051</v>
      </c>
      <c r="K129" s="6">
        <v>23241</v>
      </c>
      <c r="L129" s="21">
        <v>0.80000688444459744</v>
      </c>
      <c r="M129" s="1">
        <v>0</v>
      </c>
      <c r="N129" s="1" t="s">
        <v>1589</v>
      </c>
      <c r="O129" s="1">
        <v>14</v>
      </c>
      <c r="P129" s="1">
        <v>0.61</v>
      </c>
      <c r="Q129" s="22">
        <v>45229</v>
      </c>
      <c r="R129" s="8" t="s">
        <v>18</v>
      </c>
      <c r="S129" s="9"/>
      <c r="T129" s="8" t="s">
        <v>18</v>
      </c>
      <c r="U129" s="9"/>
      <c r="V129" s="8">
        <v>148.73481119410692</v>
      </c>
      <c r="W129" s="8" t="s">
        <v>2656</v>
      </c>
      <c r="X129" s="8"/>
    </row>
    <row r="130" spans="1:24" x14ac:dyDescent="0.3">
      <c r="A130" s="1" t="s">
        <v>1413</v>
      </c>
      <c r="B130" s="1" t="s">
        <v>1414</v>
      </c>
      <c r="C130" s="1" t="s">
        <v>1586</v>
      </c>
      <c r="D130" s="1" t="s">
        <v>14</v>
      </c>
      <c r="E130" s="1" t="s">
        <v>17</v>
      </c>
      <c r="F130" s="1">
        <v>1997</v>
      </c>
      <c r="G130" s="1" t="s">
        <v>25</v>
      </c>
      <c r="H130" s="1">
        <v>2013</v>
      </c>
      <c r="I130" s="1" t="s">
        <v>1597</v>
      </c>
      <c r="J130" s="6">
        <v>15400</v>
      </c>
      <c r="K130" s="6">
        <v>13927</v>
      </c>
      <c r="L130" s="21">
        <v>0.90435064935064935</v>
      </c>
      <c r="M130" s="1">
        <v>0</v>
      </c>
      <c r="N130" s="1" t="s">
        <v>1589</v>
      </c>
      <c r="O130" s="1">
        <v>25</v>
      </c>
      <c r="P130" s="1" t="s">
        <v>18</v>
      </c>
      <c r="Q130" s="22" t="s">
        <v>18</v>
      </c>
      <c r="R130" s="8">
        <v>154.41999999999999</v>
      </c>
      <c r="S130" s="9" t="s">
        <v>2656</v>
      </c>
      <c r="T130" s="8">
        <v>138.56948051948052</v>
      </c>
      <c r="U130" s="9" t="s">
        <v>2656</v>
      </c>
      <c r="V130" s="8">
        <v>147.36194805194805</v>
      </c>
      <c r="W130" s="8" t="s">
        <v>2656</v>
      </c>
      <c r="X130" s="8"/>
    </row>
    <row r="131" spans="1:24" x14ac:dyDescent="0.3">
      <c r="A131" s="1" t="s">
        <v>1340</v>
      </c>
      <c r="B131" s="1" t="s">
        <v>1341</v>
      </c>
      <c r="C131" s="1" t="s">
        <v>1586</v>
      </c>
      <c r="D131" s="1" t="s">
        <v>14</v>
      </c>
      <c r="E131" s="1" t="s">
        <v>17</v>
      </c>
      <c r="F131" s="1">
        <v>1996</v>
      </c>
      <c r="G131" s="1" t="s">
        <v>21</v>
      </c>
      <c r="H131" s="1">
        <v>2022</v>
      </c>
      <c r="I131" s="1" t="s">
        <v>1818</v>
      </c>
      <c r="J131" s="6">
        <v>17701.61</v>
      </c>
      <c r="K131" s="6">
        <v>17700</v>
      </c>
      <c r="L131" s="21">
        <v>0.99990904782107382</v>
      </c>
      <c r="M131" s="1">
        <v>0</v>
      </c>
      <c r="N131" s="1" t="s">
        <v>1589</v>
      </c>
      <c r="O131" s="1">
        <v>2015</v>
      </c>
      <c r="P131" s="1" t="s">
        <v>18</v>
      </c>
      <c r="Q131" s="22" t="s">
        <v>18</v>
      </c>
      <c r="R131" s="8">
        <v>182.37790234899538</v>
      </c>
      <c r="S131" s="9" t="s">
        <v>2655</v>
      </c>
      <c r="T131" s="8">
        <v>167.04265318239413</v>
      </c>
      <c r="U131" s="9" t="s">
        <v>2655</v>
      </c>
      <c r="V131" s="8">
        <v>146.99734091983723</v>
      </c>
      <c r="W131" s="8" t="s">
        <v>2656</v>
      </c>
      <c r="X131" s="8"/>
    </row>
    <row r="132" spans="1:24" x14ac:dyDescent="0.3">
      <c r="A132" s="1" t="s">
        <v>822</v>
      </c>
      <c r="B132" s="1" t="s">
        <v>823</v>
      </c>
      <c r="C132" s="1" t="s">
        <v>1586</v>
      </c>
      <c r="D132" s="1" t="s">
        <v>14</v>
      </c>
      <c r="E132" s="1" t="s">
        <v>17</v>
      </c>
      <c r="F132" s="1">
        <v>2011</v>
      </c>
      <c r="G132" s="1" t="s">
        <v>19</v>
      </c>
      <c r="H132" s="1">
        <v>2021</v>
      </c>
      <c r="I132" s="1" t="s">
        <v>1601</v>
      </c>
      <c r="J132" s="6">
        <v>145650</v>
      </c>
      <c r="K132" s="6">
        <v>123715</v>
      </c>
      <c r="L132" s="21">
        <v>0.84939924476484718</v>
      </c>
      <c r="M132" s="1">
        <v>0</v>
      </c>
      <c r="N132" s="1" t="s">
        <v>1821</v>
      </c>
      <c r="O132" s="1" t="s">
        <v>18</v>
      </c>
      <c r="P132" s="1" t="s">
        <v>18</v>
      </c>
      <c r="Q132" s="22" t="s">
        <v>18</v>
      </c>
      <c r="R132" s="8">
        <v>145.29172674219018</v>
      </c>
      <c r="S132" s="9"/>
      <c r="T132" s="8">
        <v>133.3507037418469</v>
      </c>
      <c r="U132" s="9"/>
      <c r="V132" s="8">
        <v>146.62239958805355</v>
      </c>
      <c r="W132" s="8"/>
      <c r="X132" s="8"/>
    </row>
    <row r="133" spans="1:24" x14ac:dyDescent="0.3">
      <c r="A133" s="1" t="s">
        <v>15</v>
      </c>
      <c r="B133" s="1" t="s">
        <v>16</v>
      </c>
      <c r="C133" s="1" t="s">
        <v>1586</v>
      </c>
      <c r="D133" s="1" t="s">
        <v>14</v>
      </c>
      <c r="E133" s="1" t="s">
        <v>17</v>
      </c>
      <c r="F133" s="1">
        <v>2009</v>
      </c>
      <c r="G133" s="1" t="s">
        <v>19</v>
      </c>
      <c r="H133" s="1">
        <v>2021</v>
      </c>
      <c r="I133" s="1" t="s">
        <v>1601</v>
      </c>
      <c r="J133" s="6">
        <v>22946</v>
      </c>
      <c r="K133" s="6">
        <v>20132</v>
      </c>
      <c r="L133" s="21">
        <v>0.87736424649176326</v>
      </c>
      <c r="M133" s="1">
        <v>0</v>
      </c>
      <c r="N133" s="1" t="s">
        <v>1589</v>
      </c>
      <c r="O133" s="1">
        <v>14</v>
      </c>
      <c r="P133" s="1">
        <v>0.63300000000000001</v>
      </c>
      <c r="Q133" s="22">
        <v>44403</v>
      </c>
      <c r="R133" s="8">
        <v>193.55495511200209</v>
      </c>
      <c r="S133" s="9" t="s">
        <v>2655</v>
      </c>
      <c r="T133" s="8">
        <v>171.67214329294868</v>
      </c>
      <c r="U133" s="9" t="s">
        <v>2655</v>
      </c>
      <c r="V133" s="8">
        <v>146.38900026148349</v>
      </c>
      <c r="W133" s="8" t="s">
        <v>2656</v>
      </c>
      <c r="X133" s="8"/>
    </row>
    <row r="134" spans="1:24" x14ac:dyDescent="0.3">
      <c r="A134" s="1" t="s">
        <v>1928</v>
      </c>
      <c r="B134" s="1" t="s">
        <v>1929</v>
      </c>
      <c r="C134" s="1" t="s">
        <v>1586</v>
      </c>
      <c r="D134" s="1" t="s">
        <v>14</v>
      </c>
      <c r="E134" s="1" t="s">
        <v>17</v>
      </c>
      <c r="F134" s="1">
        <v>2012</v>
      </c>
      <c r="G134" s="1" t="s">
        <v>19</v>
      </c>
      <c r="H134" s="1">
        <v>2022</v>
      </c>
      <c r="I134" s="1" t="s">
        <v>1599</v>
      </c>
      <c r="J134" s="6">
        <v>27542</v>
      </c>
      <c r="K134" s="6">
        <v>16190</v>
      </c>
      <c r="L134" s="21">
        <v>0.58782949676857166</v>
      </c>
      <c r="M134" s="1">
        <v>0</v>
      </c>
      <c r="N134" s="1" t="s">
        <v>1589</v>
      </c>
      <c r="O134" s="1">
        <v>11</v>
      </c>
      <c r="P134" s="1">
        <v>0.63600000000000001</v>
      </c>
      <c r="Q134" s="22">
        <v>42186</v>
      </c>
      <c r="R134" s="8">
        <v>143.00788613753539</v>
      </c>
      <c r="S134" s="9" t="s">
        <v>2656</v>
      </c>
      <c r="T134" s="8">
        <v>134.47109723331639</v>
      </c>
      <c r="U134" s="9" t="s">
        <v>2656</v>
      </c>
      <c r="V134" s="8">
        <v>144.9611095780989</v>
      </c>
      <c r="W134" s="8" t="s">
        <v>2656</v>
      </c>
      <c r="X134" s="8"/>
    </row>
    <row r="135" spans="1:24" x14ac:dyDescent="0.3">
      <c r="A135" s="1" t="s">
        <v>1433</v>
      </c>
      <c r="B135" s="1" t="s">
        <v>1434</v>
      </c>
      <c r="C135" s="1" t="s">
        <v>1586</v>
      </c>
      <c r="D135" s="1" t="s">
        <v>14</v>
      </c>
      <c r="E135" s="1" t="s">
        <v>17</v>
      </c>
      <c r="F135" s="1">
        <v>2016</v>
      </c>
      <c r="J135" s="6">
        <v>28100</v>
      </c>
      <c r="K135" s="6">
        <v>19300</v>
      </c>
      <c r="L135" s="21">
        <v>0.68683274021352314</v>
      </c>
      <c r="M135" s="1">
        <v>0</v>
      </c>
      <c r="N135" s="1" t="s">
        <v>1589</v>
      </c>
      <c r="O135" s="1">
        <v>18</v>
      </c>
      <c r="P135" s="1" t="s">
        <v>18</v>
      </c>
      <c r="Q135" s="22" t="s">
        <v>18</v>
      </c>
      <c r="R135" s="8">
        <v>133.85903914590747</v>
      </c>
      <c r="S135" s="9" t="s">
        <v>2656</v>
      </c>
      <c r="T135" s="8">
        <v>142.6020640569395</v>
      </c>
      <c r="U135" s="9" t="s">
        <v>2656</v>
      </c>
      <c r="V135" s="8">
        <v>143.76451957295373</v>
      </c>
      <c r="W135" s="8" t="s">
        <v>2656</v>
      </c>
      <c r="X135" s="8"/>
    </row>
    <row r="136" spans="1:24" x14ac:dyDescent="0.3">
      <c r="A136" s="1" t="s">
        <v>310</v>
      </c>
      <c r="B136" s="1" t="s">
        <v>311</v>
      </c>
      <c r="C136" s="1" t="s">
        <v>1586</v>
      </c>
      <c r="D136" s="1" t="s">
        <v>14</v>
      </c>
      <c r="E136" s="1" t="s">
        <v>17</v>
      </c>
      <c r="F136" s="1">
        <v>2009</v>
      </c>
      <c r="G136" s="1" t="s">
        <v>19</v>
      </c>
      <c r="H136" s="1">
        <v>2019</v>
      </c>
      <c r="I136" s="1" t="s">
        <v>1601</v>
      </c>
      <c r="J136" s="6">
        <v>27076</v>
      </c>
      <c r="K136" s="6">
        <v>22004</v>
      </c>
      <c r="L136" s="21">
        <v>0.81267543211700399</v>
      </c>
      <c r="M136" s="1">
        <v>0</v>
      </c>
      <c r="N136" s="1" t="s">
        <v>1821</v>
      </c>
      <c r="O136" s="1" t="s">
        <v>18</v>
      </c>
      <c r="P136" s="1" t="s">
        <v>18</v>
      </c>
      <c r="Q136" s="22" t="s">
        <v>18</v>
      </c>
      <c r="R136" s="8">
        <v>165.1869183040331</v>
      </c>
      <c r="S136" s="9"/>
      <c r="T136" s="8">
        <v>141.2172772935441</v>
      </c>
      <c r="U136" s="9"/>
      <c r="V136" s="8">
        <v>143.73732272122913</v>
      </c>
      <c r="W136" s="8"/>
      <c r="X136" s="8"/>
    </row>
    <row r="137" spans="1:24" x14ac:dyDescent="0.3">
      <c r="A137" s="1" t="s">
        <v>1825</v>
      </c>
      <c r="B137" s="1" t="s">
        <v>523</v>
      </c>
      <c r="C137" s="1" t="s">
        <v>1586</v>
      </c>
      <c r="D137" s="1" t="s">
        <v>14</v>
      </c>
      <c r="E137" s="1" t="s">
        <v>17</v>
      </c>
      <c r="F137" s="1">
        <v>2020</v>
      </c>
      <c r="G137" s="1" t="s">
        <v>19</v>
      </c>
      <c r="H137" s="1">
        <v>2022</v>
      </c>
      <c r="I137" s="1" t="s">
        <v>1602</v>
      </c>
      <c r="J137" s="6">
        <v>37387</v>
      </c>
      <c r="K137" s="6">
        <v>37387</v>
      </c>
      <c r="L137" s="21">
        <v>1</v>
      </c>
      <c r="M137" s="1">
        <v>0</v>
      </c>
      <c r="N137" s="1" t="s">
        <v>1589</v>
      </c>
      <c r="O137" s="1">
        <v>4</v>
      </c>
      <c r="P137" s="1">
        <v>0.60399999999999998</v>
      </c>
      <c r="Q137" s="22">
        <v>44575</v>
      </c>
      <c r="R137" s="8">
        <v>54.692647176826171</v>
      </c>
      <c r="S137" s="9" t="s">
        <v>2657</v>
      </c>
      <c r="T137" s="8">
        <v>114.99812769144356</v>
      </c>
      <c r="U137" s="9" t="s">
        <v>2657</v>
      </c>
      <c r="V137" s="8">
        <v>142.59310054296949</v>
      </c>
      <c r="W137" s="8" t="s">
        <v>2656</v>
      </c>
      <c r="X137" s="8"/>
    </row>
    <row r="138" spans="1:24" x14ac:dyDescent="0.3">
      <c r="A138" s="1" t="s">
        <v>1115</v>
      </c>
      <c r="B138" s="1" t="s">
        <v>1785</v>
      </c>
      <c r="C138" s="1" t="s">
        <v>1586</v>
      </c>
      <c r="D138" s="1" t="s">
        <v>14</v>
      </c>
      <c r="E138" s="1" t="s">
        <v>17</v>
      </c>
      <c r="F138" s="1">
        <v>2010</v>
      </c>
      <c r="G138" s="1" t="s">
        <v>19</v>
      </c>
      <c r="H138" s="1">
        <v>2022</v>
      </c>
      <c r="I138" s="1" t="s">
        <v>1601</v>
      </c>
      <c r="J138" s="6">
        <v>184167</v>
      </c>
      <c r="K138" s="6">
        <v>171504</v>
      </c>
      <c r="L138" s="21">
        <v>0.93124175340859117</v>
      </c>
      <c r="M138" s="1">
        <v>0</v>
      </c>
      <c r="N138" s="1" t="s">
        <v>1589</v>
      </c>
      <c r="O138" s="1">
        <v>13</v>
      </c>
      <c r="P138" s="1">
        <v>0.61</v>
      </c>
      <c r="Q138" s="22">
        <v>44889</v>
      </c>
      <c r="R138" s="8">
        <v>142.07589759660274</v>
      </c>
      <c r="S138" s="9" t="s">
        <v>2656</v>
      </c>
      <c r="T138" s="8">
        <v>137.33452501247106</v>
      </c>
      <c r="U138" s="9" t="s">
        <v>2656</v>
      </c>
      <c r="V138" s="8">
        <v>142.2540802752587</v>
      </c>
      <c r="W138" s="8" t="s">
        <v>2656</v>
      </c>
      <c r="X138" s="8"/>
    </row>
    <row r="139" spans="1:24" x14ac:dyDescent="0.3">
      <c r="A139" s="1" t="s">
        <v>1040</v>
      </c>
      <c r="B139" s="1" t="s">
        <v>2004</v>
      </c>
      <c r="C139" s="1" t="s">
        <v>1586</v>
      </c>
      <c r="D139" s="1" t="s">
        <v>14</v>
      </c>
      <c r="E139" s="1" t="s">
        <v>17</v>
      </c>
      <c r="F139" s="1">
        <v>1959</v>
      </c>
      <c r="G139" s="1" t="s">
        <v>19</v>
      </c>
      <c r="H139" s="1">
        <v>2022</v>
      </c>
      <c r="I139" s="1" t="s">
        <v>1875</v>
      </c>
      <c r="J139" s="6">
        <v>22974</v>
      </c>
      <c r="K139" s="6">
        <v>10038</v>
      </c>
      <c r="L139" s="21">
        <v>0.43692870201096889</v>
      </c>
      <c r="M139" s="1">
        <v>0</v>
      </c>
      <c r="N139" s="1" t="s">
        <v>1589</v>
      </c>
      <c r="O139" s="1">
        <v>3</v>
      </c>
      <c r="P139" s="1" t="s">
        <v>18</v>
      </c>
      <c r="Q139" s="22" t="s">
        <v>18</v>
      </c>
      <c r="R139" s="8">
        <v>138.0130965439192</v>
      </c>
      <c r="S139" s="9" t="s">
        <v>2656</v>
      </c>
      <c r="T139" s="8">
        <v>141.97589623052144</v>
      </c>
      <c r="U139" s="9" t="s">
        <v>2656</v>
      </c>
      <c r="V139" s="8">
        <v>141.6148589710107</v>
      </c>
      <c r="W139" s="8" t="s">
        <v>2656</v>
      </c>
      <c r="X139" s="8"/>
    </row>
    <row r="140" spans="1:24" x14ac:dyDescent="0.3">
      <c r="A140" s="1" t="s">
        <v>1537</v>
      </c>
      <c r="B140" s="1" t="s">
        <v>1538</v>
      </c>
      <c r="C140" s="1" t="s">
        <v>1586</v>
      </c>
      <c r="D140" s="1" t="s">
        <v>14</v>
      </c>
      <c r="E140" s="1" t="s">
        <v>17</v>
      </c>
      <c r="F140" s="1">
        <v>2008</v>
      </c>
      <c r="J140" s="6">
        <v>15847</v>
      </c>
      <c r="K140" s="6">
        <v>14047</v>
      </c>
      <c r="L140" s="21">
        <v>0.88641383227109227</v>
      </c>
      <c r="M140" s="1">
        <v>0</v>
      </c>
      <c r="N140" s="1" t="s">
        <v>28</v>
      </c>
      <c r="O140" s="1" t="s">
        <v>18</v>
      </c>
      <c r="P140" s="1" t="s">
        <v>18</v>
      </c>
      <c r="Q140" s="22" t="s">
        <v>18</v>
      </c>
      <c r="R140" s="8">
        <v>132.86577774973182</v>
      </c>
      <c r="S140" s="9" t="s">
        <v>2656</v>
      </c>
      <c r="T140" s="8">
        <v>131.10091499968451</v>
      </c>
      <c r="U140" s="9" t="s">
        <v>2656</v>
      </c>
      <c r="V140" s="8">
        <v>140.90329715403544</v>
      </c>
      <c r="W140" s="8" t="s">
        <v>2656</v>
      </c>
      <c r="X140" s="8"/>
    </row>
    <row r="141" spans="1:24" x14ac:dyDescent="0.3">
      <c r="A141" s="1" t="s">
        <v>529</v>
      </c>
      <c r="B141" s="1" t="s">
        <v>2614</v>
      </c>
      <c r="C141" s="1" t="s">
        <v>1586</v>
      </c>
      <c r="D141" s="1" t="s">
        <v>14</v>
      </c>
      <c r="E141" s="1" t="s">
        <v>17</v>
      </c>
      <c r="F141" s="1">
        <v>1976</v>
      </c>
      <c r="G141" s="1" t="s">
        <v>25</v>
      </c>
      <c r="H141" s="1">
        <v>2023</v>
      </c>
      <c r="I141" s="1" t="s">
        <v>1783</v>
      </c>
      <c r="J141" s="6">
        <v>103899</v>
      </c>
      <c r="K141" s="6">
        <v>102370</v>
      </c>
      <c r="L141" s="21">
        <v>0.98528378521448712</v>
      </c>
      <c r="M141" s="1">
        <v>0</v>
      </c>
      <c r="N141" s="1" t="s">
        <v>1589</v>
      </c>
      <c r="O141" s="1">
        <v>5</v>
      </c>
      <c r="P141" s="1">
        <v>0.63</v>
      </c>
      <c r="Q141" s="22">
        <v>43663</v>
      </c>
      <c r="R141" s="8">
        <v>139.98052512536211</v>
      </c>
      <c r="S141" s="9" t="s">
        <v>2656</v>
      </c>
      <c r="T141" s="8">
        <v>137.90103042377694</v>
      </c>
      <c r="U141" s="9" t="s">
        <v>2656</v>
      </c>
      <c r="V141" s="8">
        <v>140.55920952078461</v>
      </c>
      <c r="W141" s="8" t="s">
        <v>2656</v>
      </c>
      <c r="X141" s="8"/>
    </row>
    <row r="142" spans="1:24" x14ac:dyDescent="0.3">
      <c r="A142" s="1" t="s">
        <v>2081</v>
      </c>
      <c r="B142" s="1" t="s">
        <v>1237</v>
      </c>
      <c r="C142" s="1" t="s">
        <v>1586</v>
      </c>
      <c r="D142" s="1" t="s">
        <v>14</v>
      </c>
      <c r="E142" s="1" t="s">
        <v>17</v>
      </c>
      <c r="F142" s="1">
        <v>2009</v>
      </c>
      <c r="G142" s="1" t="s">
        <v>19</v>
      </c>
      <c r="H142" s="1">
        <v>2019</v>
      </c>
      <c r="I142" s="1" t="s">
        <v>1597</v>
      </c>
      <c r="J142" s="6">
        <v>31298</v>
      </c>
      <c r="K142" s="6">
        <v>25632</v>
      </c>
      <c r="L142" s="21">
        <v>0.81896606811936867</v>
      </c>
      <c r="M142" s="1">
        <v>0</v>
      </c>
      <c r="N142" s="1" t="s">
        <v>1589</v>
      </c>
      <c r="O142" s="1">
        <v>14</v>
      </c>
      <c r="P142" s="1" t="s">
        <v>18</v>
      </c>
      <c r="Q142" s="22" t="s">
        <v>18</v>
      </c>
      <c r="R142" s="8">
        <v>134.68654738321936</v>
      </c>
      <c r="S142" s="9" t="s">
        <v>2656</v>
      </c>
      <c r="T142" s="8">
        <v>131.99126333951051</v>
      </c>
      <c r="U142" s="9" t="s">
        <v>2656</v>
      </c>
      <c r="V142" s="8">
        <v>137.51068822288963</v>
      </c>
      <c r="W142" s="8" t="s">
        <v>2656</v>
      </c>
      <c r="X142" s="8"/>
    </row>
    <row r="143" spans="1:24" x14ac:dyDescent="0.3">
      <c r="A143" s="1" t="s">
        <v>1627</v>
      </c>
      <c r="B143" s="1" t="s">
        <v>909</v>
      </c>
      <c r="C143" s="1" t="s">
        <v>1586</v>
      </c>
      <c r="D143" s="1" t="s">
        <v>14</v>
      </c>
      <c r="E143" s="1" t="s">
        <v>17</v>
      </c>
      <c r="F143" s="1">
        <v>1984</v>
      </c>
      <c r="J143" s="6">
        <v>66408</v>
      </c>
      <c r="K143" s="6">
        <v>55000</v>
      </c>
      <c r="L143" s="21">
        <v>0.8282134682568365</v>
      </c>
      <c r="M143" s="1">
        <v>0</v>
      </c>
      <c r="N143" s="1" t="s">
        <v>1589</v>
      </c>
      <c r="O143" s="1">
        <v>6</v>
      </c>
      <c r="P143" s="1">
        <v>0.65</v>
      </c>
      <c r="Q143" s="22">
        <v>44217</v>
      </c>
      <c r="R143" s="8">
        <v>127.09465124683773</v>
      </c>
      <c r="S143" s="9" t="s">
        <v>2656</v>
      </c>
      <c r="T143" s="8">
        <v>128.00234911456451</v>
      </c>
      <c r="U143" s="9" t="s">
        <v>2656</v>
      </c>
      <c r="V143" s="8">
        <v>137.17142512950247</v>
      </c>
      <c r="W143" s="8" t="s">
        <v>2656</v>
      </c>
      <c r="X143" s="8"/>
    </row>
    <row r="144" spans="1:24" x14ac:dyDescent="0.3">
      <c r="A144" s="1" t="s">
        <v>927</v>
      </c>
      <c r="B144" s="1" t="s">
        <v>928</v>
      </c>
      <c r="C144" s="1" t="s">
        <v>1586</v>
      </c>
      <c r="D144" s="1" t="s">
        <v>14</v>
      </c>
      <c r="E144" s="1" t="s">
        <v>17</v>
      </c>
      <c r="F144" s="1">
        <v>1998</v>
      </c>
      <c r="G144" s="1" t="s">
        <v>19</v>
      </c>
      <c r="H144" s="1">
        <v>2017</v>
      </c>
      <c r="I144" s="1" t="s">
        <v>1601</v>
      </c>
      <c r="J144" s="6">
        <v>53825</v>
      </c>
      <c r="K144" s="6">
        <v>50622</v>
      </c>
      <c r="L144" s="21">
        <v>0.9404923362749652</v>
      </c>
      <c r="M144" s="1">
        <v>0</v>
      </c>
      <c r="N144" s="1" t="s">
        <v>1589</v>
      </c>
      <c r="O144" s="1">
        <v>7</v>
      </c>
      <c r="P144" s="1">
        <v>0.6</v>
      </c>
      <c r="Q144" s="22">
        <v>44155</v>
      </c>
      <c r="R144" s="8">
        <v>138.49605053413842</v>
      </c>
      <c r="S144" s="9" t="s">
        <v>2656</v>
      </c>
      <c r="T144" s="8">
        <v>130.26498169995355</v>
      </c>
      <c r="U144" s="9" t="s">
        <v>2656</v>
      </c>
      <c r="V144" s="8">
        <v>135.73540083604274</v>
      </c>
      <c r="W144" s="8" t="s">
        <v>2656</v>
      </c>
      <c r="X144" s="8"/>
    </row>
    <row r="145" spans="1:24" x14ac:dyDescent="0.3">
      <c r="A145" s="1" t="s">
        <v>914</v>
      </c>
      <c r="B145" s="1" t="s">
        <v>915</v>
      </c>
      <c r="C145" s="1" t="s">
        <v>1586</v>
      </c>
      <c r="D145" s="1" t="s">
        <v>14</v>
      </c>
      <c r="E145" s="1" t="s">
        <v>17</v>
      </c>
      <c r="F145" s="1">
        <v>1995</v>
      </c>
      <c r="G145" s="1" t="s">
        <v>19</v>
      </c>
      <c r="H145" s="1">
        <v>2022</v>
      </c>
      <c r="I145" s="1" t="s">
        <v>1599</v>
      </c>
      <c r="J145" s="6">
        <v>17824.830000000002</v>
      </c>
      <c r="K145" s="6">
        <v>10572</v>
      </c>
      <c r="L145" s="21">
        <v>0.59310523578625984</v>
      </c>
      <c r="M145" s="1">
        <v>0</v>
      </c>
      <c r="N145" s="1" t="s">
        <v>1589</v>
      </c>
      <c r="O145" s="1">
        <v>1</v>
      </c>
      <c r="P145" s="1">
        <v>0.61</v>
      </c>
      <c r="Q145" s="22">
        <v>44476</v>
      </c>
      <c r="R145" s="8">
        <v>143.34403918578744</v>
      </c>
      <c r="S145" s="9" t="s">
        <v>2656</v>
      </c>
      <c r="T145" s="8">
        <v>136.12335377111592</v>
      </c>
      <c r="U145" s="9" t="s">
        <v>2656</v>
      </c>
      <c r="V145" s="8">
        <v>134.55464932905389</v>
      </c>
      <c r="W145" s="8" t="s">
        <v>2656</v>
      </c>
      <c r="X145" s="8"/>
    </row>
    <row r="146" spans="1:24" x14ac:dyDescent="0.3">
      <c r="A146" s="1" t="s">
        <v>532</v>
      </c>
      <c r="B146" s="1" t="s">
        <v>533</v>
      </c>
      <c r="C146" s="1" t="s">
        <v>1586</v>
      </c>
      <c r="D146" s="1" t="s">
        <v>14</v>
      </c>
      <c r="E146" s="1" t="s">
        <v>17</v>
      </c>
      <c r="F146" s="1">
        <v>1979</v>
      </c>
      <c r="G146" s="1" t="s">
        <v>19</v>
      </c>
      <c r="H146" s="1">
        <v>2020</v>
      </c>
      <c r="I146" s="1" t="s">
        <v>1601</v>
      </c>
      <c r="J146" s="6">
        <v>15839.6</v>
      </c>
      <c r="K146" s="6">
        <v>17842</v>
      </c>
      <c r="L146" s="21">
        <v>1.1264173337710548</v>
      </c>
      <c r="M146" s="1">
        <v>0</v>
      </c>
      <c r="N146" s="1" t="s">
        <v>1589</v>
      </c>
      <c r="O146" s="1">
        <v>11</v>
      </c>
      <c r="P146" s="1">
        <v>0.66</v>
      </c>
      <c r="Q146" s="22">
        <v>44080</v>
      </c>
      <c r="R146" s="8">
        <v>135.79821460137885</v>
      </c>
      <c r="S146" s="9" t="s">
        <v>2656</v>
      </c>
      <c r="T146" s="8">
        <v>133.60474191267454</v>
      </c>
      <c r="U146" s="9" t="s">
        <v>2656</v>
      </c>
      <c r="V146" s="8">
        <v>133.99266900679308</v>
      </c>
      <c r="W146" s="8" t="s">
        <v>2656</v>
      </c>
      <c r="X146" s="8"/>
    </row>
    <row r="147" spans="1:24" x14ac:dyDescent="0.3">
      <c r="A147" s="1" t="s">
        <v>1553</v>
      </c>
      <c r="B147" s="1" t="s">
        <v>2420</v>
      </c>
      <c r="C147" s="1" t="s">
        <v>1586</v>
      </c>
      <c r="D147" s="1" t="s">
        <v>14</v>
      </c>
      <c r="E147" s="1" t="s">
        <v>17</v>
      </c>
      <c r="F147" s="1">
        <v>2012</v>
      </c>
      <c r="G147" s="1" t="s">
        <v>21</v>
      </c>
      <c r="H147" s="1">
        <v>2020</v>
      </c>
      <c r="I147" s="1" t="s">
        <v>1603</v>
      </c>
      <c r="J147" s="6">
        <v>72781.72</v>
      </c>
      <c r="K147" s="6">
        <v>0</v>
      </c>
      <c r="L147" s="21">
        <v>0</v>
      </c>
      <c r="M147" s="1">
        <v>251</v>
      </c>
      <c r="N147" s="1" t="s">
        <v>1821</v>
      </c>
      <c r="O147" s="1" t="s">
        <v>18</v>
      </c>
      <c r="P147" s="1" t="s">
        <v>18</v>
      </c>
      <c r="Q147" s="22" t="s">
        <v>18</v>
      </c>
      <c r="R147" s="8">
        <v>195.8739158678855</v>
      </c>
      <c r="S147" s="9"/>
      <c r="T147" s="8">
        <v>132.27498608166997</v>
      </c>
      <c r="U147" s="9"/>
      <c r="V147" s="8">
        <v>132.46677874609173</v>
      </c>
      <c r="W147" s="8"/>
      <c r="X147" s="8"/>
    </row>
    <row r="148" spans="1:24" x14ac:dyDescent="0.3">
      <c r="A148" s="1" t="s">
        <v>2254</v>
      </c>
      <c r="B148" s="1" t="s">
        <v>2255</v>
      </c>
      <c r="C148" s="1" t="s">
        <v>1586</v>
      </c>
      <c r="D148" s="1" t="s">
        <v>14</v>
      </c>
      <c r="E148" s="1" t="s">
        <v>17</v>
      </c>
      <c r="F148" s="1">
        <v>2009</v>
      </c>
      <c r="J148" s="6">
        <v>42159</v>
      </c>
      <c r="K148" s="6">
        <v>37589</v>
      </c>
      <c r="L148" s="21">
        <v>0.89160084442230603</v>
      </c>
      <c r="M148" s="1">
        <v>0</v>
      </c>
      <c r="N148" s="1" t="s">
        <v>1821</v>
      </c>
      <c r="O148" s="1" t="s">
        <v>18</v>
      </c>
      <c r="P148" s="1" t="s">
        <v>18</v>
      </c>
      <c r="Q148" s="22" t="s">
        <v>18</v>
      </c>
      <c r="R148" s="8">
        <v>145.85393700040322</v>
      </c>
      <c r="S148" s="9"/>
      <c r="T148" s="8">
        <v>121.97443630067126</v>
      </c>
      <c r="U148" s="9"/>
      <c r="V148" s="8">
        <v>132.09647406247777</v>
      </c>
      <c r="W148" s="8"/>
      <c r="X148" s="8"/>
    </row>
    <row r="149" spans="1:24" x14ac:dyDescent="0.3">
      <c r="A149" s="1" t="s">
        <v>1572</v>
      </c>
      <c r="B149" s="1" t="s">
        <v>1573</v>
      </c>
      <c r="C149" s="1" t="s">
        <v>1586</v>
      </c>
      <c r="D149" s="1" t="s">
        <v>14</v>
      </c>
      <c r="E149" s="1" t="s">
        <v>17</v>
      </c>
      <c r="F149" s="1">
        <v>2004</v>
      </c>
      <c r="G149" s="1" t="s">
        <v>21</v>
      </c>
      <c r="H149" s="1">
        <v>2022</v>
      </c>
      <c r="I149" s="1" t="s">
        <v>1783</v>
      </c>
      <c r="J149" s="6">
        <v>48257</v>
      </c>
      <c r="K149" s="6">
        <v>35268</v>
      </c>
      <c r="L149" s="21">
        <v>0.73083697701887806</v>
      </c>
      <c r="M149" s="1">
        <v>0</v>
      </c>
      <c r="N149" s="1" t="s">
        <v>1821</v>
      </c>
      <c r="O149" s="1" t="s">
        <v>18</v>
      </c>
      <c r="P149" s="1">
        <v>24506</v>
      </c>
      <c r="Q149" s="22">
        <v>44805</v>
      </c>
      <c r="R149" s="8">
        <v>118.97436641316285</v>
      </c>
      <c r="S149" s="9"/>
      <c r="T149" s="8">
        <v>120.09601094141782</v>
      </c>
      <c r="U149" s="9"/>
      <c r="V149" s="8">
        <v>131.65392792755455</v>
      </c>
      <c r="W149" s="8"/>
      <c r="X149" s="8"/>
    </row>
    <row r="150" spans="1:24" x14ac:dyDescent="0.3">
      <c r="A150" s="1" t="s">
        <v>40</v>
      </c>
      <c r="B150" s="1" t="s">
        <v>2590</v>
      </c>
      <c r="C150" s="1" t="s">
        <v>1586</v>
      </c>
      <c r="D150" s="1" t="s">
        <v>14</v>
      </c>
      <c r="E150" s="1" t="s">
        <v>17</v>
      </c>
      <c r="F150" s="1">
        <v>2002</v>
      </c>
      <c r="G150" s="1" t="s">
        <v>19</v>
      </c>
      <c r="H150" s="1">
        <v>2023</v>
      </c>
      <c r="I150" s="1" t="s">
        <v>2572</v>
      </c>
      <c r="J150" s="6">
        <v>26137</v>
      </c>
      <c r="K150" s="6">
        <v>24225</v>
      </c>
      <c r="L150" s="21">
        <v>0.92684699850786245</v>
      </c>
      <c r="M150" s="1">
        <v>0</v>
      </c>
      <c r="N150" s="1" t="s">
        <v>1589</v>
      </c>
      <c r="O150" s="1">
        <v>3</v>
      </c>
      <c r="P150" s="1">
        <v>0.75</v>
      </c>
      <c r="Q150" s="22">
        <v>44330</v>
      </c>
      <c r="R150" s="8">
        <v>130.40231204805448</v>
      </c>
      <c r="S150" s="9" t="s">
        <v>2656</v>
      </c>
      <c r="T150" s="8">
        <v>131.01195470023339</v>
      </c>
      <c r="U150" s="9" t="s">
        <v>2656</v>
      </c>
      <c r="V150" s="8">
        <v>131.38419941079695</v>
      </c>
      <c r="W150" s="8" t="s">
        <v>2656</v>
      </c>
      <c r="X150" s="8"/>
    </row>
    <row r="151" spans="1:24" x14ac:dyDescent="0.3">
      <c r="A151" s="1" t="s">
        <v>2203</v>
      </c>
      <c r="B151" s="1" t="s">
        <v>2204</v>
      </c>
      <c r="C151" s="1" t="s">
        <v>1586</v>
      </c>
      <c r="D151" s="1" t="s">
        <v>14</v>
      </c>
      <c r="E151" s="1" t="s">
        <v>17</v>
      </c>
      <c r="F151" s="1">
        <v>2013</v>
      </c>
      <c r="G151" s="1" t="s">
        <v>19</v>
      </c>
      <c r="H151" s="1">
        <v>2022</v>
      </c>
      <c r="I151" s="1" t="s">
        <v>1818</v>
      </c>
      <c r="J151" s="6">
        <v>25510</v>
      </c>
      <c r="K151" s="6">
        <v>2148</v>
      </c>
      <c r="L151" s="21">
        <v>8.4202273618188939E-2</v>
      </c>
      <c r="M151" s="1">
        <v>0</v>
      </c>
      <c r="N151" s="1" t="s">
        <v>1589</v>
      </c>
      <c r="O151" s="1">
        <v>10</v>
      </c>
      <c r="P151" s="1">
        <v>0.60299999999999998</v>
      </c>
      <c r="Q151" s="22">
        <v>44848</v>
      </c>
      <c r="R151" s="8">
        <v>179.47997569580556</v>
      </c>
      <c r="S151" s="9" t="s">
        <v>2655</v>
      </c>
      <c r="T151" s="8">
        <v>165.40901136809094</v>
      </c>
      <c r="U151" s="9" t="s">
        <v>2655</v>
      </c>
      <c r="V151" s="8">
        <v>131.21245864366915</v>
      </c>
      <c r="W151" s="8" t="s">
        <v>2656</v>
      </c>
      <c r="X151" s="8"/>
    </row>
    <row r="152" spans="1:24" x14ac:dyDescent="0.3">
      <c r="A152" s="1" t="s">
        <v>437</v>
      </c>
      <c r="B152" s="1" t="s">
        <v>438</v>
      </c>
      <c r="C152" s="1" t="s">
        <v>1586</v>
      </c>
      <c r="D152" s="1" t="s">
        <v>14</v>
      </c>
      <c r="E152" s="1" t="s">
        <v>17</v>
      </c>
      <c r="F152" s="1">
        <v>1999</v>
      </c>
      <c r="G152" s="1" t="s">
        <v>25</v>
      </c>
      <c r="H152" s="1">
        <v>2022</v>
      </c>
      <c r="I152" s="1" t="s">
        <v>1818</v>
      </c>
      <c r="J152" s="6">
        <v>42561</v>
      </c>
      <c r="K152" s="6">
        <v>34616</v>
      </c>
      <c r="L152" s="21">
        <v>0.81332675454054182</v>
      </c>
      <c r="M152" s="1">
        <v>0</v>
      </c>
      <c r="N152" s="1" t="s">
        <v>1589</v>
      </c>
      <c r="O152" s="1">
        <v>4</v>
      </c>
      <c r="P152" s="1">
        <v>0.36899999999999999</v>
      </c>
      <c r="Q152" s="22">
        <v>44871</v>
      </c>
      <c r="R152" s="8">
        <v>124.06687460351026</v>
      </c>
      <c r="S152" s="9" t="s">
        <v>2656</v>
      </c>
      <c r="T152" s="8">
        <v>124.54461831253965</v>
      </c>
      <c r="U152" s="9" t="s">
        <v>2656</v>
      </c>
      <c r="V152" s="8">
        <v>130.90780291816452</v>
      </c>
      <c r="W152" s="8" t="s">
        <v>2656</v>
      </c>
      <c r="X152" s="8"/>
    </row>
    <row r="153" spans="1:24" x14ac:dyDescent="0.3">
      <c r="A153" s="1" t="s">
        <v>1139</v>
      </c>
      <c r="B153" s="1" t="s">
        <v>1140</v>
      </c>
      <c r="C153" s="1" t="s">
        <v>1586</v>
      </c>
      <c r="D153" s="1" t="s">
        <v>14</v>
      </c>
      <c r="E153" s="1" t="s">
        <v>17</v>
      </c>
      <c r="F153" s="1">
        <v>2002</v>
      </c>
      <c r="G153" s="1" t="s">
        <v>21</v>
      </c>
      <c r="H153" s="1">
        <v>2021</v>
      </c>
      <c r="I153" s="1" t="s">
        <v>1601</v>
      </c>
      <c r="J153" s="6">
        <v>67370</v>
      </c>
      <c r="K153" s="6">
        <v>51680</v>
      </c>
      <c r="L153" s="21">
        <v>0.76710702092919703</v>
      </c>
      <c r="M153" s="1">
        <v>0</v>
      </c>
      <c r="N153" s="1" t="s">
        <v>1589</v>
      </c>
      <c r="O153" s="1">
        <v>5</v>
      </c>
      <c r="P153" s="1">
        <v>0.62</v>
      </c>
      <c r="Q153" s="22">
        <v>44276</v>
      </c>
      <c r="R153" s="8">
        <v>131.25676116966008</v>
      </c>
      <c r="S153" s="9" t="s">
        <v>2656</v>
      </c>
      <c r="T153" s="8">
        <v>139.39557666617188</v>
      </c>
      <c r="U153" s="9" t="s">
        <v>2656</v>
      </c>
      <c r="V153" s="8">
        <v>130.15033397654742</v>
      </c>
      <c r="W153" s="8" t="s">
        <v>2656</v>
      </c>
      <c r="X153" s="8"/>
    </row>
    <row r="154" spans="1:24" x14ac:dyDescent="0.3">
      <c r="A154" s="1" t="s">
        <v>1970</v>
      </c>
      <c r="B154" s="1" t="s">
        <v>1971</v>
      </c>
      <c r="C154" s="1" t="s">
        <v>1586</v>
      </c>
      <c r="D154" s="1" t="s">
        <v>14</v>
      </c>
      <c r="E154" s="1" t="s">
        <v>17</v>
      </c>
      <c r="F154" s="1">
        <v>2000</v>
      </c>
      <c r="G154" s="1" t="s">
        <v>25</v>
      </c>
      <c r="H154" s="1">
        <v>2021</v>
      </c>
      <c r="I154" s="1" t="s">
        <v>1599</v>
      </c>
      <c r="J154" s="6">
        <v>15740</v>
      </c>
      <c r="K154" s="6">
        <v>12800</v>
      </c>
      <c r="L154" s="21">
        <v>0.81321473951715373</v>
      </c>
      <c r="M154" s="1">
        <v>0</v>
      </c>
      <c r="N154" s="1" t="s">
        <v>1590</v>
      </c>
      <c r="O154" s="1" t="s">
        <v>18</v>
      </c>
      <c r="P154" s="1" t="s">
        <v>18</v>
      </c>
      <c r="Q154" s="22" t="s">
        <v>18</v>
      </c>
      <c r="R154" s="8">
        <v>196.20115247776366</v>
      </c>
      <c r="S154" s="9" t="s">
        <v>2655</v>
      </c>
      <c r="T154" s="8">
        <v>153.49997204574333</v>
      </c>
      <c r="U154" s="9" t="s">
        <v>2656</v>
      </c>
      <c r="V154" s="8">
        <v>129.82691613722997</v>
      </c>
      <c r="W154" s="8" t="s">
        <v>2656</v>
      </c>
      <c r="X154" s="8"/>
    </row>
    <row r="155" spans="1:24" x14ac:dyDescent="0.3">
      <c r="A155" s="1" t="s">
        <v>546</v>
      </c>
      <c r="B155" s="1" t="s">
        <v>547</v>
      </c>
      <c r="C155" s="1" t="s">
        <v>1586</v>
      </c>
      <c r="D155" s="1" t="s">
        <v>14</v>
      </c>
      <c r="E155" s="1" t="s">
        <v>17</v>
      </c>
      <c r="F155" s="1">
        <v>1997</v>
      </c>
      <c r="G155" s="1" t="s">
        <v>25</v>
      </c>
      <c r="H155" s="1">
        <v>2021</v>
      </c>
      <c r="I155" s="1" t="s">
        <v>1597</v>
      </c>
      <c r="J155" s="6">
        <v>30915</v>
      </c>
      <c r="K155" s="6">
        <v>25701</v>
      </c>
      <c r="L155" s="21">
        <v>0.8313440077632217</v>
      </c>
      <c r="M155" s="1">
        <v>0</v>
      </c>
      <c r="N155" s="1" t="s">
        <v>1589</v>
      </c>
      <c r="O155" s="1">
        <v>25</v>
      </c>
      <c r="P155" s="1" t="s">
        <v>18</v>
      </c>
      <c r="Q155" s="22" t="s">
        <v>18</v>
      </c>
      <c r="R155" s="8">
        <v>128.76074268154619</v>
      </c>
      <c r="S155" s="9" t="s">
        <v>2656</v>
      </c>
      <c r="T155" s="8">
        <v>131.65897978327672</v>
      </c>
      <c r="U155" s="9" t="s">
        <v>2656</v>
      </c>
      <c r="V155" s="8">
        <v>129.33787643538736</v>
      </c>
      <c r="W155" s="8" t="s">
        <v>2656</v>
      </c>
      <c r="X155" s="8"/>
    </row>
    <row r="156" spans="1:24" x14ac:dyDescent="0.3">
      <c r="A156" s="1" t="s">
        <v>664</v>
      </c>
      <c r="B156" s="1" t="s">
        <v>665</v>
      </c>
      <c r="C156" s="1" t="s">
        <v>1586</v>
      </c>
      <c r="D156" s="1" t="s">
        <v>14</v>
      </c>
      <c r="E156" s="1" t="s">
        <v>17</v>
      </c>
      <c r="F156" s="1">
        <v>2000</v>
      </c>
      <c r="G156" s="1" t="s">
        <v>19</v>
      </c>
      <c r="H156" s="1">
        <v>2019</v>
      </c>
      <c r="I156" s="1" t="s">
        <v>1601</v>
      </c>
      <c r="J156" s="6">
        <v>26020</v>
      </c>
      <c r="K156" s="6">
        <v>20206</v>
      </c>
      <c r="L156" s="21">
        <v>0.77655649500384316</v>
      </c>
      <c r="M156" s="1">
        <v>0</v>
      </c>
      <c r="N156" s="1" t="s">
        <v>1589</v>
      </c>
      <c r="O156" s="1">
        <v>3</v>
      </c>
      <c r="P156" s="1" t="s">
        <v>18</v>
      </c>
      <c r="Q156" s="22" t="s">
        <v>18</v>
      </c>
      <c r="R156" s="8">
        <v>127.6473050272055</v>
      </c>
      <c r="S156" s="9" t="s">
        <v>2656</v>
      </c>
      <c r="T156" s="8">
        <v>125.37829605171372</v>
      </c>
      <c r="U156" s="9" t="s">
        <v>2656</v>
      </c>
      <c r="V156" s="8">
        <v>128.82546621401664</v>
      </c>
      <c r="W156" s="8" t="s">
        <v>2656</v>
      </c>
      <c r="X156" s="8"/>
    </row>
    <row r="157" spans="1:24" x14ac:dyDescent="0.3">
      <c r="A157" s="1" t="s">
        <v>2137</v>
      </c>
      <c r="B157" s="1" t="s">
        <v>2138</v>
      </c>
      <c r="C157" s="1" t="s">
        <v>1586</v>
      </c>
      <c r="D157" s="1" t="s">
        <v>14</v>
      </c>
      <c r="E157" s="1" t="s">
        <v>17</v>
      </c>
      <c r="F157" s="1">
        <v>2017</v>
      </c>
      <c r="G157" s="1" t="s">
        <v>19</v>
      </c>
      <c r="H157" s="1">
        <v>2022</v>
      </c>
      <c r="I157" s="1" t="s">
        <v>1818</v>
      </c>
      <c r="J157" s="6">
        <v>226765</v>
      </c>
      <c r="K157" s="6">
        <v>195173</v>
      </c>
      <c r="L157" s="21">
        <v>0.86068396798447733</v>
      </c>
      <c r="M157" s="1">
        <v>0</v>
      </c>
      <c r="N157" s="1" t="s">
        <v>1821</v>
      </c>
      <c r="O157" s="1" t="s">
        <v>18</v>
      </c>
      <c r="P157" s="1">
        <v>0.32</v>
      </c>
      <c r="Q157" s="22">
        <v>44823</v>
      </c>
      <c r="R157" s="8">
        <v>113.97036579719092</v>
      </c>
      <c r="S157" s="9"/>
      <c r="T157" s="8">
        <v>117.68888276409498</v>
      </c>
      <c r="U157" s="9"/>
      <c r="V157" s="8">
        <v>127.3786585231407</v>
      </c>
      <c r="W157" s="8"/>
      <c r="X157" s="8"/>
    </row>
    <row r="158" spans="1:24" x14ac:dyDescent="0.3">
      <c r="A158" s="1" t="s">
        <v>142</v>
      </c>
      <c r="B158" s="1" t="s">
        <v>143</v>
      </c>
      <c r="C158" s="1" t="s">
        <v>1586</v>
      </c>
      <c r="D158" s="1" t="s">
        <v>14</v>
      </c>
      <c r="E158" s="1" t="s">
        <v>17</v>
      </c>
      <c r="F158" s="1">
        <v>1982</v>
      </c>
      <c r="G158" s="1" t="s">
        <v>19</v>
      </c>
      <c r="H158" s="1">
        <v>2022</v>
      </c>
      <c r="I158" s="1" t="s">
        <v>1599</v>
      </c>
      <c r="J158" s="6">
        <v>74215</v>
      </c>
      <c r="K158" s="6">
        <v>61495</v>
      </c>
      <c r="L158" s="21">
        <v>0.82860607693862431</v>
      </c>
      <c r="M158" s="1">
        <v>0</v>
      </c>
      <c r="N158" s="1" t="s">
        <v>1589</v>
      </c>
      <c r="O158" s="1">
        <v>7</v>
      </c>
      <c r="P158" s="1">
        <v>0.63</v>
      </c>
      <c r="Q158" s="22">
        <v>44858</v>
      </c>
      <c r="R158" s="8">
        <v>182.7730512699589</v>
      </c>
      <c r="S158" s="9" t="s">
        <v>2655</v>
      </c>
      <c r="T158" s="8">
        <v>167.04484268678837</v>
      </c>
      <c r="U158" s="9" t="s">
        <v>2655</v>
      </c>
      <c r="V158" s="8">
        <v>126.85591861483528</v>
      </c>
      <c r="W158" s="8" t="s">
        <v>2656</v>
      </c>
      <c r="X158" s="8"/>
    </row>
    <row r="159" spans="1:24" x14ac:dyDescent="0.3">
      <c r="A159" s="1" t="s">
        <v>1868</v>
      </c>
      <c r="B159" s="1" t="s">
        <v>465</v>
      </c>
      <c r="C159" s="1" t="s">
        <v>1586</v>
      </c>
      <c r="D159" s="1" t="s">
        <v>14</v>
      </c>
      <c r="E159" s="1" t="s">
        <v>17</v>
      </c>
      <c r="F159" s="1">
        <v>1992</v>
      </c>
      <c r="G159" s="1" t="s">
        <v>19</v>
      </c>
      <c r="H159" s="1">
        <v>2022</v>
      </c>
      <c r="I159" s="1" t="s">
        <v>1599</v>
      </c>
      <c r="J159" s="6">
        <v>22368</v>
      </c>
      <c r="K159" s="6">
        <v>11813</v>
      </c>
      <c r="L159" s="21">
        <v>0.52812052932761089</v>
      </c>
      <c r="M159" s="1">
        <v>0</v>
      </c>
      <c r="N159" s="1" t="s">
        <v>1589</v>
      </c>
      <c r="O159" s="1">
        <v>4</v>
      </c>
      <c r="P159" s="1">
        <v>0.63</v>
      </c>
      <c r="Q159" s="22">
        <v>41974</v>
      </c>
      <c r="R159" s="8">
        <v>129.43065987124464</v>
      </c>
      <c r="S159" s="9" t="s">
        <v>2656</v>
      </c>
      <c r="T159" s="8">
        <v>123.21812410586553</v>
      </c>
      <c r="U159" s="9" t="s">
        <v>2656</v>
      </c>
      <c r="V159" s="8">
        <v>126.74568580114449</v>
      </c>
      <c r="W159" s="8" t="s">
        <v>2656</v>
      </c>
      <c r="X159" s="8"/>
    </row>
    <row r="160" spans="1:24" x14ac:dyDescent="0.3">
      <c r="A160" s="1" t="s">
        <v>2538</v>
      </c>
      <c r="B160" s="1" t="s">
        <v>1273</v>
      </c>
      <c r="C160" s="1" t="s">
        <v>1586</v>
      </c>
      <c r="D160" s="1" t="s">
        <v>14</v>
      </c>
      <c r="E160" s="1" t="s">
        <v>17</v>
      </c>
      <c r="F160" s="1">
        <v>2000</v>
      </c>
      <c r="G160" s="1" t="s">
        <v>19</v>
      </c>
      <c r="H160" s="1">
        <v>2021</v>
      </c>
      <c r="I160" s="1" t="s">
        <v>1597</v>
      </c>
      <c r="J160" s="6">
        <v>56667</v>
      </c>
      <c r="K160" s="6">
        <v>54238</v>
      </c>
      <c r="L160" s="21">
        <v>0.95713554626149255</v>
      </c>
      <c r="M160" s="1">
        <v>0</v>
      </c>
      <c r="N160" s="1" t="s">
        <v>1589</v>
      </c>
      <c r="O160" s="1">
        <v>11</v>
      </c>
      <c r="P160" s="1">
        <v>0.59199999999999997</v>
      </c>
      <c r="Q160" s="22">
        <v>44463</v>
      </c>
      <c r="R160" s="8">
        <v>127.70125116911076</v>
      </c>
      <c r="S160" s="9" t="s">
        <v>2656</v>
      </c>
      <c r="T160" s="8">
        <v>125.23245204439972</v>
      </c>
      <c r="U160" s="9" t="s">
        <v>2656</v>
      </c>
      <c r="V160" s="8">
        <v>126.31761960223763</v>
      </c>
      <c r="W160" s="8" t="s">
        <v>2656</v>
      </c>
      <c r="X160" s="8"/>
    </row>
    <row r="161" spans="1:24" x14ac:dyDescent="0.3">
      <c r="A161" s="1" t="s">
        <v>982</v>
      </c>
      <c r="B161" s="1" t="s">
        <v>983</v>
      </c>
      <c r="C161" s="1" t="s">
        <v>1586</v>
      </c>
      <c r="D161" s="1" t="s">
        <v>14</v>
      </c>
      <c r="E161" s="1" t="s">
        <v>17</v>
      </c>
      <c r="F161" s="1">
        <v>2002</v>
      </c>
      <c r="G161" s="1" t="s">
        <v>19</v>
      </c>
      <c r="H161" s="1">
        <v>2020</v>
      </c>
      <c r="I161" s="1" t="s">
        <v>1599</v>
      </c>
      <c r="J161" s="6">
        <v>41908</v>
      </c>
      <c r="K161" s="6">
        <v>38443</v>
      </c>
      <c r="L161" s="21">
        <v>0.91731888899494129</v>
      </c>
      <c r="M161" s="1">
        <v>0</v>
      </c>
      <c r="N161" s="1" t="s">
        <v>1589</v>
      </c>
      <c r="O161" s="1">
        <v>8</v>
      </c>
      <c r="P161" s="1">
        <v>0.59</v>
      </c>
      <c r="Q161" s="22">
        <v>43242</v>
      </c>
      <c r="R161" s="8">
        <v>125.19226639305144</v>
      </c>
      <c r="S161" s="9" t="s">
        <v>2656</v>
      </c>
      <c r="T161" s="8">
        <v>122.21223871337214</v>
      </c>
      <c r="U161" s="9" t="s">
        <v>2656</v>
      </c>
      <c r="V161" s="8">
        <v>126.26280185167509</v>
      </c>
      <c r="W161" s="8" t="s">
        <v>2656</v>
      </c>
      <c r="X161" s="8"/>
    </row>
    <row r="162" spans="1:24" x14ac:dyDescent="0.3">
      <c r="A162" s="1" t="s">
        <v>2310</v>
      </c>
      <c r="B162" s="1" t="s">
        <v>301</v>
      </c>
      <c r="C162" s="1" t="s">
        <v>1586</v>
      </c>
      <c r="D162" s="1" t="s">
        <v>14</v>
      </c>
      <c r="E162" s="1" t="s">
        <v>17</v>
      </c>
      <c r="F162" s="1">
        <v>1992</v>
      </c>
      <c r="G162" s="1" t="s">
        <v>21</v>
      </c>
      <c r="H162" s="1">
        <v>2019</v>
      </c>
      <c r="I162" s="1" t="s">
        <v>1601</v>
      </c>
      <c r="J162" s="6">
        <v>26866</v>
      </c>
      <c r="K162" s="6">
        <v>25505</v>
      </c>
      <c r="L162" s="21">
        <v>0.94934117471897561</v>
      </c>
      <c r="M162" s="1">
        <v>0</v>
      </c>
      <c r="N162" s="1" t="s">
        <v>1589</v>
      </c>
      <c r="O162" s="1">
        <v>3</v>
      </c>
      <c r="P162" s="1">
        <v>0.67900000000000005</v>
      </c>
      <c r="Q162" s="22">
        <v>44829</v>
      </c>
      <c r="R162" s="8">
        <v>128.23615164147995</v>
      </c>
      <c r="S162" s="9" t="s">
        <v>2656</v>
      </c>
      <c r="T162" s="8">
        <v>121.51477704161394</v>
      </c>
      <c r="U162" s="9" t="s">
        <v>2656</v>
      </c>
      <c r="V162" s="8">
        <v>125.51179930023078</v>
      </c>
      <c r="W162" s="8" t="s">
        <v>2656</v>
      </c>
      <c r="X162" s="8"/>
    </row>
    <row r="163" spans="1:24" x14ac:dyDescent="0.3">
      <c r="A163" s="1" t="s">
        <v>45</v>
      </c>
      <c r="B163" s="1" t="s">
        <v>46</v>
      </c>
      <c r="C163" s="1" t="s">
        <v>1586</v>
      </c>
      <c r="D163" s="1" t="s">
        <v>14</v>
      </c>
      <c r="E163" s="1" t="s">
        <v>17</v>
      </c>
      <c r="F163" s="1">
        <v>1985</v>
      </c>
      <c r="G163" s="1" t="s">
        <v>47</v>
      </c>
      <c r="H163" s="1">
        <v>2018</v>
      </c>
      <c r="I163" s="1" t="s">
        <v>1597</v>
      </c>
      <c r="J163" s="6">
        <v>16122</v>
      </c>
      <c r="K163" s="6">
        <v>11438</v>
      </c>
      <c r="L163" s="21">
        <v>0.70946532688252073</v>
      </c>
      <c r="M163" s="1">
        <v>0</v>
      </c>
      <c r="N163" s="1" t="s">
        <v>1589</v>
      </c>
      <c r="O163" s="1">
        <v>12</v>
      </c>
      <c r="P163" s="1" t="s">
        <v>18</v>
      </c>
      <c r="Q163" s="22" t="s">
        <v>18</v>
      </c>
      <c r="R163" s="8">
        <v>120.4363137327875</v>
      </c>
      <c r="S163" s="9" t="s">
        <v>2657</v>
      </c>
      <c r="T163" s="8">
        <v>115.72683289914403</v>
      </c>
      <c r="U163" s="9" t="s">
        <v>2657</v>
      </c>
      <c r="V163" s="8">
        <v>125.44982818508869</v>
      </c>
      <c r="W163" s="8" t="s">
        <v>2656</v>
      </c>
      <c r="X163" s="8"/>
    </row>
    <row r="164" spans="1:24" x14ac:dyDescent="0.3">
      <c r="A164" s="1" t="s">
        <v>2448</v>
      </c>
      <c r="B164" s="1" t="s">
        <v>2612</v>
      </c>
      <c r="C164" s="1" t="s">
        <v>1586</v>
      </c>
      <c r="D164" s="1" t="s">
        <v>14</v>
      </c>
      <c r="E164" s="1" t="s">
        <v>17</v>
      </c>
      <c r="F164" s="1">
        <v>1999</v>
      </c>
      <c r="G164" s="1" t="s">
        <v>19</v>
      </c>
      <c r="H164" s="1">
        <v>2017</v>
      </c>
      <c r="I164" s="1" t="s">
        <v>1601</v>
      </c>
      <c r="J164" s="6">
        <v>15769</v>
      </c>
      <c r="K164" s="6">
        <v>12000</v>
      </c>
      <c r="L164" s="21">
        <v>0.76098674614750461</v>
      </c>
      <c r="M164" s="1">
        <v>0</v>
      </c>
      <c r="N164" s="1" t="s">
        <v>1589</v>
      </c>
      <c r="O164" s="1">
        <v>2016</v>
      </c>
      <c r="P164" s="1">
        <v>0.6</v>
      </c>
      <c r="Q164" s="22">
        <v>44136</v>
      </c>
      <c r="R164" s="8">
        <v>139.96833978058214</v>
      </c>
      <c r="S164" s="9" t="s">
        <v>2656</v>
      </c>
      <c r="T164" s="8">
        <v>134.69222842285498</v>
      </c>
      <c r="U164" s="9" t="s">
        <v>2656</v>
      </c>
      <c r="V164" s="8">
        <v>123.04261525778426</v>
      </c>
      <c r="W164" s="8" t="s">
        <v>2656</v>
      </c>
      <c r="X164" s="8"/>
    </row>
    <row r="165" spans="1:24" x14ac:dyDescent="0.3">
      <c r="A165" s="1" t="s">
        <v>1149</v>
      </c>
      <c r="B165" s="1" t="s">
        <v>1150</v>
      </c>
      <c r="C165" s="1" t="s">
        <v>1586</v>
      </c>
      <c r="D165" s="1" t="s">
        <v>14</v>
      </c>
      <c r="E165" s="1" t="s">
        <v>17</v>
      </c>
      <c r="F165" s="1">
        <v>1997</v>
      </c>
      <c r="G165" s="1" t="s">
        <v>25</v>
      </c>
      <c r="H165" s="1">
        <v>2021</v>
      </c>
      <c r="I165" s="1" t="s">
        <v>1601</v>
      </c>
      <c r="J165" s="6">
        <v>36836</v>
      </c>
      <c r="K165" s="6">
        <v>30882</v>
      </c>
      <c r="L165" s="21">
        <v>0.83836464328374416</v>
      </c>
      <c r="M165" s="1">
        <v>0</v>
      </c>
      <c r="N165" s="1" t="s">
        <v>1589</v>
      </c>
      <c r="O165" s="1">
        <v>5</v>
      </c>
      <c r="P165" s="1">
        <v>0.65</v>
      </c>
      <c r="Q165" s="22">
        <v>44883</v>
      </c>
      <c r="R165" s="8">
        <v>128.4581387772831</v>
      </c>
      <c r="S165" s="9" t="s">
        <v>2656</v>
      </c>
      <c r="T165" s="8">
        <v>123.77452492127267</v>
      </c>
      <c r="U165" s="9" t="s">
        <v>2656</v>
      </c>
      <c r="V165" s="8">
        <v>122.72218481919862</v>
      </c>
      <c r="W165" s="8" t="s">
        <v>2656</v>
      </c>
      <c r="X165" s="8"/>
    </row>
    <row r="166" spans="1:24" x14ac:dyDescent="0.3">
      <c r="A166" s="1" t="s">
        <v>98</v>
      </c>
      <c r="B166" s="1" t="s">
        <v>99</v>
      </c>
      <c r="C166" s="1" t="s">
        <v>1586</v>
      </c>
      <c r="D166" s="1" t="s">
        <v>14</v>
      </c>
      <c r="E166" s="1" t="s">
        <v>17</v>
      </c>
      <c r="F166" s="1">
        <v>2000</v>
      </c>
      <c r="G166" s="1" t="s">
        <v>19</v>
      </c>
      <c r="H166" s="1">
        <v>2023</v>
      </c>
      <c r="I166" s="1" t="s">
        <v>1783</v>
      </c>
      <c r="J166" s="6">
        <v>41771</v>
      </c>
      <c r="K166" s="6">
        <v>27343</v>
      </c>
      <c r="L166" s="21">
        <v>0.65459289937995258</v>
      </c>
      <c r="M166" s="1">
        <v>0</v>
      </c>
      <c r="N166" s="1" t="s">
        <v>1589</v>
      </c>
      <c r="O166" s="1">
        <v>6</v>
      </c>
      <c r="P166" s="1">
        <v>0.69099999999999995</v>
      </c>
      <c r="Q166" s="22">
        <v>44620</v>
      </c>
      <c r="R166" s="8">
        <v>115.66143975485384</v>
      </c>
      <c r="S166" s="9" t="s">
        <v>2657</v>
      </c>
      <c r="T166" s="8">
        <v>118.68425462641545</v>
      </c>
      <c r="U166" s="9" t="s">
        <v>2657</v>
      </c>
      <c r="V166" s="8">
        <v>122.35230183620214</v>
      </c>
      <c r="W166" s="8" t="s">
        <v>2656</v>
      </c>
      <c r="X166" s="8"/>
    </row>
    <row r="167" spans="1:24" x14ac:dyDescent="0.3">
      <c r="A167" s="1" t="s">
        <v>1529</v>
      </c>
      <c r="B167" s="1" t="s">
        <v>1530</v>
      </c>
      <c r="C167" s="1" t="s">
        <v>1586</v>
      </c>
      <c r="D167" s="1" t="s">
        <v>14</v>
      </c>
      <c r="E167" s="1" t="s">
        <v>17</v>
      </c>
      <c r="F167" s="1">
        <v>2001</v>
      </c>
      <c r="J167" s="6">
        <v>12291</v>
      </c>
      <c r="K167" s="6">
        <v>11003</v>
      </c>
      <c r="L167" s="21">
        <v>0.89520787568139293</v>
      </c>
      <c r="M167" s="1">
        <v>0</v>
      </c>
      <c r="N167" s="1" t="s">
        <v>1589</v>
      </c>
      <c r="O167" s="1">
        <v>2.5</v>
      </c>
      <c r="P167" s="1">
        <v>0.67600000000000005</v>
      </c>
      <c r="Q167" s="22">
        <v>44207</v>
      </c>
      <c r="R167" s="8">
        <v>151.76884799321994</v>
      </c>
      <c r="S167" s="9" t="s">
        <v>2656</v>
      </c>
      <c r="T167" s="8">
        <v>116.41664749682185</v>
      </c>
      <c r="U167" s="9" t="s">
        <v>2657</v>
      </c>
      <c r="V167" s="8">
        <v>122.18032568557419</v>
      </c>
      <c r="W167" s="8" t="s">
        <v>2656</v>
      </c>
      <c r="X167" s="8"/>
    </row>
    <row r="168" spans="1:24" x14ac:dyDescent="0.3">
      <c r="A168" s="1" t="s">
        <v>216</v>
      </c>
      <c r="B168" s="1" t="s">
        <v>217</v>
      </c>
      <c r="C168" s="1" t="s">
        <v>1586</v>
      </c>
      <c r="D168" s="1" t="s">
        <v>14</v>
      </c>
      <c r="E168" s="1" t="s">
        <v>17</v>
      </c>
      <c r="F168" s="1">
        <v>1997</v>
      </c>
      <c r="G168" s="1" t="s">
        <v>21</v>
      </c>
      <c r="H168" s="1">
        <v>2020</v>
      </c>
      <c r="I168" s="1" t="s">
        <v>1601</v>
      </c>
      <c r="J168" s="6">
        <v>21102</v>
      </c>
      <c r="K168" s="6">
        <v>19862</v>
      </c>
      <c r="L168" s="21">
        <v>0.94123779736517865</v>
      </c>
      <c r="M168" s="1">
        <v>0</v>
      </c>
      <c r="N168" s="1" t="s">
        <v>1589</v>
      </c>
      <c r="O168" s="1">
        <v>16</v>
      </c>
      <c r="P168" s="1">
        <v>0.63800000000000001</v>
      </c>
      <c r="Q168" s="22">
        <v>44069</v>
      </c>
      <c r="R168" s="8">
        <v>116.96446924462136</v>
      </c>
      <c r="S168" s="9" t="s">
        <v>2657</v>
      </c>
      <c r="T168" s="8">
        <v>116.66892237702588</v>
      </c>
      <c r="U168" s="9" t="s">
        <v>2657</v>
      </c>
      <c r="V168" s="8">
        <v>120.58553454648849</v>
      </c>
      <c r="W168" s="8" t="s">
        <v>2657</v>
      </c>
      <c r="X168" s="8"/>
    </row>
    <row r="169" spans="1:24" x14ac:dyDescent="0.3">
      <c r="A169" s="1" t="s">
        <v>2386</v>
      </c>
      <c r="B169" s="1" t="s">
        <v>1097</v>
      </c>
      <c r="C169" s="1" t="s">
        <v>1586</v>
      </c>
      <c r="D169" s="1" t="s">
        <v>14</v>
      </c>
      <c r="E169" s="1" t="s">
        <v>17</v>
      </c>
      <c r="F169" s="1">
        <v>1999</v>
      </c>
      <c r="G169" s="1" t="s">
        <v>19</v>
      </c>
      <c r="H169" s="1">
        <v>2022</v>
      </c>
      <c r="I169" s="1" t="s">
        <v>1818</v>
      </c>
      <c r="J169" s="6">
        <v>19765</v>
      </c>
      <c r="K169" s="6">
        <v>16269</v>
      </c>
      <c r="L169" s="21">
        <v>0.82312167973690864</v>
      </c>
      <c r="M169" s="1">
        <v>0</v>
      </c>
      <c r="N169" s="1" t="s">
        <v>1589</v>
      </c>
      <c r="O169" s="1">
        <v>9</v>
      </c>
      <c r="P169" s="1" t="s">
        <v>18</v>
      </c>
      <c r="Q169" s="22" t="s">
        <v>18</v>
      </c>
      <c r="R169" s="8">
        <v>126.45226410321276</v>
      </c>
      <c r="S169" s="9" t="s">
        <v>2656</v>
      </c>
      <c r="T169" s="8">
        <v>124.13450543890715</v>
      </c>
      <c r="U169" s="9" t="s">
        <v>2656</v>
      </c>
      <c r="V169" s="8">
        <v>120.29020996711358</v>
      </c>
      <c r="W169" s="8" t="s">
        <v>2657</v>
      </c>
      <c r="X169" s="8"/>
    </row>
    <row r="170" spans="1:24" x14ac:dyDescent="0.3">
      <c r="A170" s="1" t="s">
        <v>155</v>
      </c>
      <c r="B170" s="1" t="s">
        <v>2200</v>
      </c>
      <c r="C170" s="1" t="s">
        <v>1586</v>
      </c>
      <c r="D170" s="1" t="s">
        <v>14</v>
      </c>
      <c r="E170" s="1" t="s">
        <v>17</v>
      </c>
      <c r="F170" s="1">
        <v>1995</v>
      </c>
      <c r="G170" s="1" t="s">
        <v>19</v>
      </c>
      <c r="H170" s="1">
        <v>2023</v>
      </c>
      <c r="I170" s="1" t="s">
        <v>1783</v>
      </c>
      <c r="J170" s="6">
        <v>23575</v>
      </c>
      <c r="K170" s="6">
        <v>19806</v>
      </c>
      <c r="L170" s="21">
        <v>0.84012725344644745</v>
      </c>
      <c r="M170" s="1">
        <v>0</v>
      </c>
      <c r="N170" s="1" t="s">
        <v>1589</v>
      </c>
      <c r="O170" s="1">
        <v>9</v>
      </c>
      <c r="P170" s="1">
        <v>0.61</v>
      </c>
      <c r="Q170" s="22">
        <v>44515</v>
      </c>
      <c r="R170" s="8">
        <v>119.65272492046658</v>
      </c>
      <c r="S170" s="9" t="s">
        <v>2657</v>
      </c>
      <c r="T170" s="8">
        <v>117.53799278897138</v>
      </c>
      <c r="U170" s="9" t="s">
        <v>2657</v>
      </c>
      <c r="V170" s="8">
        <v>120.0632309650053</v>
      </c>
      <c r="W170" s="8" t="s">
        <v>2657</v>
      </c>
      <c r="X170" s="8"/>
    </row>
    <row r="171" spans="1:24" x14ac:dyDescent="0.3">
      <c r="A171" s="1" t="s">
        <v>1620</v>
      </c>
      <c r="B171" s="1" t="s">
        <v>1303</v>
      </c>
      <c r="C171" s="1" t="s">
        <v>1586</v>
      </c>
      <c r="D171" s="1" t="s">
        <v>14</v>
      </c>
      <c r="E171" s="1" t="s">
        <v>17</v>
      </c>
      <c r="F171" s="1">
        <v>1997</v>
      </c>
      <c r="J171" s="6">
        <v>52903</v>
      </c>
      <c r="K171" s="6">
        <v>352002</v>
      </c>
      <c r="L171" s="21">
        <v>6.6537247415080429</v>
      </c>
      <c r="M171" s="1">
        <v>0</v>
      </c>
      <c r="N171" s="1" t="s">
        <v>1590</v>
      </c>
      <c r="O171" s="1" t="s">
        <v>18</v>
      </c>
      <c r="P171" s="1" t="s">
        <v>18</v>
      </c>
      <c r="Q171" s="22" t="s">
        <v>18</v>
      </c>
      <c r="R171" s="8">
        <v>116.42712133527399</v>
      </c>
      <c r="S171" s="9" t="s">
        <v>2657</v>
      </c>
      <c r="T171" s="8">
        <v>110.47348921611251</v>
      </c>
      <c r="U171" s="9" t="s">
        <v>2657</v>
      </c>
      <c r="V171" s="8">
        <v>118.61712946335747</v>
      </c>
      <c r="W171" s="8" t="s">
        <v>2657</v>
      </c>
      <c r="X171" s="8"/>
    </row>
    <row r="172" spans="1:24" x14ac:dyDescent="0.3">
      <c r="A172" s="1" t="s">
        <v>1949</v>
      </c>
      <c r="B172" s="1" t="s">
        <v>1310</v>
      </c>
      <c r="C172" s="1" t="s">
        <v>1586</v>
      </c>
      <c r="D172" s="1" t="s">
        <v>14</v>
      </c>
      <c r="E172" s="1" t="s">
        <v>17</v>
      </c>
      <c r="F172" s="1">
        <v>1996</v>
      </c>
      <c r="J172" s="6">
        <v>16692</v>
      </c>
      <c r="K172" s="6">
        <v>15504</v>
      </c>
      <c r="L172" s="21">
        <v>0.92882818116462973</v>
      </c>
      <c r="M172" s="1">
        <v>0</v>
      </c>
      <c r="N172" s="1" t="s">
        <v>1589</v>
      </c>
      <c r="O172" s="1">
        <v>11</v>
      </c>
      <c r="P172" s="1" t="s">
        <v>18</v>
      </c>
      <c r="Q172" s="22" t="s">
        <v>18</v>
      </c>
      <c r="R172" s="8">
        <v>580.14989216391086</v>
      </c>
      <c r="S172" s="9" t="s">
        <v>2654</v>
      </c>
      <c r="T172" s="8">
        <v>171.11295830337886</v>
      </c>
      <c r="U172" s="9" t="s">
        <v>2655</v>
      </c>
      <c r="V172" s="8">
        <v>118.37571890726096</v>
      </c>
      <c r="W172" s="8" t="s">
        <v>2657</v>
      </c>
      <c r="X172" s="8"/>
    </row>
    <row r="173" spans="1:24" x14ac:dyDescent="0.3">
      <c r="A173" s="1" t="s">
        <v>50</v>
      </c>
      <c r="B173" s="1" t="s">
        <v>51</v>
      </c>
      <c r="C173" s="1" t="s">
        <v>1586</v>
      </c>
      <c r="D173" s="1" t="s">
        <v>14</v>
      </c>
      <c r="E173" s="1" t="s">
        <v>17</v>
      </c>
      <c r="F173" s="1">
        <v>1992</v>
      </c>
      <c r="G173" s="1" t="s">
        <v>19</v>
      </c>
      <c r="H173" s="1">
        <v>2022</v>
      </c>
      <c r="I173" s="1" t="s">
        <v>1601</v>
      </c>
      <c r="J173" s="6">
        <v>62392</v>
      </c>
      <c r="K173" s="6">
        <v>58287</v>
      </c>
      <c r="L173" s="21">
        <v>0.93420630850108988</v>
      </c>
      <c r="M173" s="1">
        <v>0</v>
      </c>
      <c r="N173" s="1" t="s">
        <v>1589</v>
      </c>
      <c r="O173" s="1">
        <v>9</v>
      </c>
      <c r="P173" s="1">
        <v>0.65</v>
      </c>
      <c r="Q173" s="22">
        <v>43174</v>
      </c>
      <c r="R173" s="8">
        <v>110.67829096679063</v>
      </c>
      <c r="S173" s="9" t="s">
        <v>2657</v>
      </c>
      <c r="T173" s="8">
        <v>121.51745095525067</v>
      </c>
      <c r="U173" s="9" t="s">
        <v>2656</v>
      </c>
      <c r="V173" s="8">
        <v>117.00378189511476</v>
      </c>
      <c r="W173" s="8" t="s">
        <v>2657</v>
      </c>
      <c r="X173" s="8"/>
    </row>
    <row r="174" spans="1:24" x14ac:dyDescent="0.3">
      <c r="A174" s="1" t="s">
        <v>1624</v>
      </c>
      <c r="B174" s="1" t="s">
        <v>60</v>
      </c>
      <c r="C174" s="1" t="s">
        <v>1586</v>
      </c>
      <c r="D174" s="1" t="s">
        <v>14</v>
      </c>
      <c r="E174" s="1" t="s">
        <v>17</v>
      </c>
      <c r="F174" s="1">
        <v>1998</v>
      </c>
      <c r="G174" s="1" t="s">
        <v>47</v>
      </c>
      <c r="H174" s="1">
        <v>2022</v>
      </c>
      <c r="I174" s="1" t="s">
        <v>1818</v>
      </c>
      <c r="J174" s="6">
        <v>23229</v>
      </c>
      <c r="K174" s="6">
        <v>14631</v>
      </c>
      <c r="L174" s="21">
        <v>0.62985922768952607</v>
      </c>
      <c r="M174" s="1">
        <v>0</v>
      </c>
      <c r="N174" s="1" t="s">
        <v>1590</v>
      </c>
      <c r="O174" s="1" t="s">
        <v>18</v>
      </c>
      <c r="P174" s="1">
        <v>0.88200000000000001</v>
      </c>
      <c r="Q174" s="22">
        <v>44835</v>
      </c>
      <c r="R174" s="8">
        <v>122.5276998579362</v>
      </c>
      <c r="S174" s="9" t="s">
        <v>2657</v>
      </c>
      <c r="T174" s="8">
        <v>120.73207628395542</v>
      </c>
      <c r="U174" s="9" t="s">
        <v>2657</v>
      </c>
      <c r="V174" s="8">
        <v>116.42705325240001</v>
      </c>
      <c r="W174" s="8" t="s">
        <v>2657</v>
      </c>
      <c r="X174" s="8"/>
    </row>
    <row r="175" spans="1:24" x14ac:dyDescent="0.3">
      <c r="A175" s="1" t="s">
        <v>2261</v>
      </c>
      <c r="B175" s="1" t="s">
        <v>334</v>
      </c>
      <c r="C175" s="1" t="s">
        <v>1586</v>
      </c>
      <c r="D175" s="1" t="s">
        <v>14</v>
      </c>
      <c r="E175" s="1" t="s">
        <v>17</v>
      </c>
      <c r="F175" s="1">
        <v>1990</v>
      </c>
      <c r="G175" s="1" t="s">
        <v>21</v>
      </c>
      <c r="H175" s="1">
        <v>2022</v>
      </c>
      <c r="I175" s="1" t="s">
        <v>1818</v>
      </c>
      <c r="J175" s="6">
        <v>13207</v>
      </c>
      <c r="K175" s="6">
        <v>10564</v>
      </c>
      <c r="L175" s="21">
        <v>0.79987885212387366</v>
      </c>
      <c r="M175" s="1">
        <v>0</v>
      </c>
      <c r="N175" s="1" t="s">
        <v>1821</v>
      </c>
      <c r="O175" s="1" t="s">
        <v>18</v>
      </c>
      <c r="P175" s="1">
        <v>0.59</v>
      </c>
      <c r="Q175" s="22">
        <v>43525</v>
      </c>
      <c r="R175" s="8">
        <v>123.52416375273501</v>
      </c>
      <c r="S175" s="9"/>
      <c r="T175" s="8">
        <v>118.12589943357258</v>
      </c>
      <c r="U175" s="9"/>
      <c r="V175" s="8">
        <v>116.2012171032452</v>
      </c>
      <c r="W175" s="8"/>
      <c r="X175" s="8"/>
    </row>
    <row r="176" spans="1:24" x14ac:dyDescent="0.3">
      <c r="A176" s="1" t="s">
        <v>233</v>
      </c>
      <c r="B176" s="1" t="s">
        <v>234</v>
      </c>
      <c r="C176" s="1" t="s">
        <v>1586</v>
      </c>
      <c r="D176" s="1" t="s">
        <v>14</v>
      </c>
      <c r="E176" s="1" t="s">
        <v>17</v>
      </c>
      <c r="F176" s="1">
        <v>2005</v>
      </c>
      <c r="G176" s="1" t="s">
        <v>19</v>
      </c>
      <c r="H176" s="1">
        <v>2022</v>
      </c>
      <c r="I176" s="1" t="s">
        <v>1599</v>
      </c>
      <c r="J176" s="6">
        <v>58824</v>
      </c>
      <c r="K176" s="6">
        <v>43516</v>
      </c>
      <c r="L176" s="21">
        <v>0.73976608187134507</v>
      </c>
      <c r="M176" s="1">
        <v>0</v>
      </c>
      <c r="N176" s="1" t="s">
        <v>1589</v>
      </c>
      <c r="O176" s="1">
        <v>0.6</v>
      </c>
      <c r="P176" s="1">
        <v>0.83</v>
      </c>
      <c r="Q176" s="22">
        <v>44243</v>
      </c>
      <c r="R176" s="8">
        <v>144.8529171766626</v>
      </c>
      <c r="S176" s="9" t="s">
        <v>2656</v>
      </c>
      <c r="T176" s="8">
        <v>143.97137222902217</v>
      </c>
      <c r="U176" s="9" t="s">
        <v>2656</v>
      </c>
      <c r="V176" s="8">
        <v>116.15036379708962</v>
      </c>
      <c r="W176" s="8" t="s">
        <v>2657</v>
      </c>
      <c r="X176" s="8"/>
    </row>
    <row r="177" spans="1:24" x14ac:dyDescent="0.3">
      <c r="A177" s="1" t="s">
        <v>873</v>
      </c>
      <c r="B177" s="1" t="s">
        <v>874</v>
      </c>
      <c r="C177" s="1" t="s">
        <v>1586</v>
      </c>
      <c r="D177" s="1" t="s">
        <v>14</v>
      </c>
      <c r="E177" s="1" t="s">
        <v>17</v>
      </c>
      <c r="F177" s="1">
        <v>1999</v>
      </c>
      <c r="G177" s="1" t="s">
        <v>19</v>
      </c>
      <c r="H177" s="1">
        <v>2022</v>
      </c>
      <c r="I177" s="1" t="s">
        <v>1599</v>
      </c>
      <c r="J177" s="6">
        <v>31278</v>
      </c>
      <c r="K177" s="6">
        <v>25585</v>
      </c>
      <c r="L177" s="21">
        <v>0.81798708357311845</v>
      </c>
      <c r="M177" s="1">
        <v>0</v>
      </c>
      <c r="N177" s="1" t="s">
        <v>1589</v>
      </c>
      <c r="O177" s="1">
        <v>2</v>
      </c>
      <c r="P177" s="1" t="s">
        <v>18</v>
      </c>
      <c r="Q177" s="22" t="s">
        <v>18</v>
      </c>
      <c r="R177" s="8">
        <v>130.14368469851016</v>
      </c>
      <c r="S177" s="9" t="s">
        <v>2656</v>
      </c>
      <c r="T177" s="8">
        <v>118.37872785983758</v>
      </c>
      <c r="U177" s="9" t="s">
        <v>2657</v>
      </c>
      <c r="V177" s="8">
        <v>116.08007737067588</v>
      </c>
      <c r="W177" s="8" t="s">
        <v>2657</v>
      </c>
      <c r="X177" s="8"/>
    </row>
    <row r="178" spans="1:24" x14ac:dyDescent="0.3">
      <c r="A178" s="1" t="s">
        <v>1559</v>
      </c>
      <c r="B178" s="1" t="s">
        <v>1560</v>
      </c>
      <c r="C178" s="1" t="s">
        <v>1586</v>
      </c>
      <c r="D178" s="1" t="s">
        <v>14</v>
      </c>
      <c r="E178" s="1" t="s">
        <v>17</v>
      </c>
      <c r="F178" s="1">
        <v>2010</v>
      </c>
      <c r="G178" s="1" t="s">
        <v>19</v>
      </c>
      <c r="H178" s="1">
        <v>2022</v>
      </c>
      <c r="I178" s="1" t="s">
        <v>1603</v>
      </c>
      <c r="J178" s="6">
        <v>51264</v>
      </c>
      <c r="K178" s="6">
        <v>41113</v>
      </c>
      <c r="L178" s="21">
        <v>0.80198579900124844</v>
      </c>
      <c r="M178" s="1">
        <v>0</v>
      </c>
      <c r="N178" s="1" t="s">
        <v>1821</v>
      </c>
      <c r="O178" s="1" t="s">
        <v>18</v>
      </c>
      <c r="P178" s="1" t="s">
        <v>18</v>
      </c>
      <c r="Q178" s="22" t="s">
        <v>18</v>
      </c>
      <c r="R178" s="8">
        <v>107.79466760299623</v>
      </c>
      <c r="S178" s="9"/>
      <c r="T178" s="8">
        <v>106.60274598158551</v>
      </c>
      <c r="U178" s="9"/>
      <c r="V178" s="8">
        <v>115.90108302122347</v>
      </c>
      <c r="W178" s="8"/>
      <c r="X178" s="8"/>
    </row>
    <row r="179" spans="1:24" x14ac:dyDescent="0.3">
      <c r="A179" s="1" t="s">
        <v>343</v>
      </c>
      <c r="B179" s="1" t="s">
        <v>344</v>
      </c>
      <c r="C179" s="1" t="s">
        <v>1586</v>
      </c>
      <c r="D179" s="1" t="s">
        <v>14</v>
      </c>
      <c r="E179" s="1" t="s">
        <v>17</v>
      </c>
      <c r="F179" s="1">
        <v>1985</v>
      </c>
      <c r="G179" s="1" t="s">
        <v>19</v>
      </c>
      <c r="H179" s="1">
        <v>2022</v>
      </c>
      <c r="I179" s="1" t="s">
        <v>1818</v>
      </c>
      <c r="J179" s="6">
        <v>55128</v>
      </c>
      <c r="K179" s="6">
        <v>40706</v>
      </c>
      <c r="L179" s="21">
        <v>0.73839065447685381</v>
      </c>
      <c r="M179" s="1">
        <v>0</v>
      </c>
      <c r="N179" s="1" t="s">
        <v>1589</v>
      </c>
      <c r="O179" s="1">
        <v>5</v>
      </c>
      <c r="P179" s="1">
        <v>0.54200000000000004</v>
      </c>
      <c r="Q179" s="22">
        <v>44635</v>
      </c>
      <c r="R179" s="8">
        <v>116.54781671745755</v>
      </c>
      <c r="S179" s="9" t="s">
        <v>2657</v>
      </c>
      <c r="T179" s="8">
        <v>108.4524060368597</v>
      </c>
      <c r="U179" s="9" t="s">
        <v>2657</v>
      </c>
      <c r="V179" s="8">
        <v>114.64304817878391</v>
      </c>
      <c r="W179" s="8" t="s">
        <v>2657</v>
      </c>
      <c r="X179" s="8"/>
    </row>
    <row r="180" spans="1:24" x14ac:dyDescent="0.3">
      <c r="A180" s="1" t="s">
        <v>1035</v>
      </c>
      <c r="B180" s="1" t="s">
        <v>1036</v>
      </c>
      <c r="C180" s="1" t="s">
        <v>1586</v>
      </c>
      <c r="D180" s="1" t="s">
        <v>14</v>
      </c>
      <c r="E180" s="1" t="s">
        <v>17</v>
      </c>
      <c r="F180" s="1">
        <v>1996</v>
      </c>
      <c r="G180" s="1" t="s">
        <v>19</v>
      </c>
      <c r="H180" s="1">
        <v>2021</v>
      </c>
      <c r="I180" s="1" t="s">
        <v>1601</v>
      </c>
      <c r="J180" s="6">
        <v>24388.66</v>
      </c>
      <c r="K180" s="6">
        <v>19990</v>
      </c>
      <c r="L180" s="21">
        <v>0.81964322763120234</v>
      </c>
      <c r="M180" s="1">
        <v>0</v>
      </c>
      <c r="N180" s="1" t="s">
        <v>1589</v>
      </c>
      <c r="O180" s="1">
        <v>10</v>
      </c>
      <c r="P180" s="1">
        <v>0.57499999999999996</v>
      </c>
      <c r="Q180" s="22">
        <v>44482</v>
      </c>
      <c r="R180" s="8">
        <v>108.6566461626018</v>
      </c>
      <c r="S180" s="9" t="s">
        <v>2657</v>
      </c>
      <c r="T180" s="8">
        <v>106.56819603865075</v>
      </c>
      <c r="U180" s="9" t="s">
        <v>2657</v>
      </c>
      <c r="V180" s="8">
        <v>113.41262701599842</v>
      </c>
      <c r="W180" s="8" t="s">
        <v>2657</v>
      </c>
      <c r="X180" s="8"/>
    </row>
    <row r="181" spans="1:24" x14ac:dyDescent="0.3">
      <c r="A181" s="1" t="s">
        <v>2317</v>
      </c>
      <c r="B181" s="1" t="s">
        <v>2318</v>
      </c>
      <c r="C181" s="1" t="s">
        <v>1586</v>
      </c>
      <c r="D181" s="1" t="s">
        <v>14</v>
      </c>
      <c r="E181" s="1" t="s">
        <v>17</v>
      </c>
      <c r="F181" s="1">
        <v>2020</v>
      </c>
      <c r="J181" s="6">
        <v>19097</v>
      </c>
      <c r="K181" s="6">
        <v>15880</v>
      </c>
      <c r="L181" s="21">
        <v>0.8315442216054878</v>
      </c>
      <c r="M181" s="1">
        <v>0</v>
      </c>
      <c r="N181" s="1" t="s">
        <v>1589</v>
      </c>
      <c r="O181" s="1">
        <v>3</v>
      </c>
      <c r="P181" s="1">
        <v>0.495</v>
      </c>
      <c r="Q181" s="22">
        <v>44633</v>
      </c>
      <c r="R181" s="8">
        <v>35.544588155207627</v>
      </c>
      <c r="S181" s="9" t="s">
        <v>2657</v>
      </c>
      <c r="T181" s="8">
        <v>86.811900298476189</v>
      </c>
      <c r="U181" s="9" t="s">
        <v>2657</v>
      </c>
      <c r="V181" s="8">
        <v>111.4915269414044</v>
      </c>
      <c r="W181" s="8" t="s">
        <v>2657</v>
      </c>
      <c r="X181" s="8"/>
    </row>
    <row r="182" spans="1:24" x14ac:dyDescent="0.3">
      <c r="A182" s="1" t="s">
        <v>1289</v>
      </c>
      <c r="B182" s="1" t="s">
        <v>1290</v>
      </c>
      <c r="C182" s="1" t="s">
        <v>1586</v>
      </c>
      <c r="D182" s="1" t="s">
        <v>14</v>
      </c>
      <c r="E182" s="1" t="s">
        <v>17</v>
      </c>
      <c r="F182" s="1">
        <v>1996</v>
      </c>
      <c r="G182" s="1" t="s">
        <v>19</v>
      </c>
      <c r="H182" s="1">
        <v>2022</v>
      </c>
      <c r="I182" s="1" t="s">
        <v>1818</v>
      </c>
      <c r="J182" s="6">
        <v>86572</v>
      </c>
      <c r="K182" s="6">
        <v>83381</v>
      </c>
      <c r="L182" s="21">
        <v>0.96314050732338397</v>
      </c>
      <c r="M182" s="1">
        <v>0</v>
      </c>
      <c r="N182" s="1" t="s">
        <v>1589</v>
      </c>
      <c r="O182" s="1">
        <v>10</v>
      </c>
      <c r="P182" s="1">
        <v>0.61199999999999999</v>
      </c>
      <c r="Q182" s="22">
        <v>44927</v>
      </c>
      <c r="R182" s="8">
        <v>137.42628101464678</v>
      </c>
      <c r="S182" s="9" t="s">
        <v>2656</v>
      </c>
      <c r="T182" s="8">
        <v>112.52722820311416</v>
      </c>
      <c r="U182" s="9" t="s">
        <v>2657</v>
      </c>
      <c r="V182" s="8">
        <v>111.15912766252367</v>
      </c>
      <c r="W182" s="8" t="s">
        <v>2657</v>
      </c>
      <c r="X182" s="8"/>
    </row>
    <row r="183" spans="1:24" x14ac:dyDescent="0.3">
      <c r="A183" s="1" t="s">
        <v>254</v>
      </c>
      <c r="B183" s="1" t="s">
        <v>255</v>
      </c>
      <c r="C183" s="1" t="s">
        <v>1586</v>
      </c>
      <c r="D183" s="1" t="s">
        <v>14</v>
      </c>
      <c r="E183" s="1" t="s">
        <v>17</v>
      </c>
      <c r="F183" s="1">
        <v>2002</v>
      </c>
      <c r="G183" s="1" t="s">
        <v>25</v>
      </c>
      <c r="H183" s="1">
        <v>2023</v>
      </c>
      <c r="I183" s="1" t="s">
        <v>1783</v>
      </c>
      <c r="J183" s="6">
        <v>47410</v>
      </c>
      <c r="K183" s="6">
        <v>32745</v>
      </c>
      <c r="L183" s="21">
        <v>0.690677072347606</v>
      </c>
      <c r="M183" s="1">
        <v>0</v>
      </c>
      <c r="N183" s="1" t="s">
        <v>1821</v>
      </c>
      <c r="O183" s="1" t="s">
        <v>18</v>
      </c>
      <c r="P183" s="1" t="s">
        <v>18</v>
      </c>
      <c r="Q183" s="22" t="s">
        <v>18</v>
      </c>
      <c r="R183" s="8">
        <v>121.99931892005905</v>
      </c>
      <c r="S183" s="9"/>
      <c r="T183" s="8">
        <v>111.94946150601139</v>
      </c>
      <c r="U183" s="9"/>
      <c r="V183" s="8">
        <v>110.70700084370387</v>
      </c>
      <c r="W183" s="8"/>
      <c r="X183" s="8"/>
    </row>
    <row r="184" spans="1:24" x14ac:dyDescent="0.3">
      <c r="A184" s="1" t="s">
        <v>1911</v>
      </c>
      <c r="B184" s="1" t="s">
        <v>1264</v>
      </c>
      <c r="C184" s="1" t="s">
        <v>1586</v>
      </c>
      <c r="D184" s="1" t="s">
        <v>14</v>
      </c>
      <c r="E184" s="1" t="s">
        <v>17</v>
      </c>
      <c r="F184" s="1">
        <v>2009</v>
      </c>
      <c r="G184" s="1" t="s">
        <v>25</v>
      </c>
      <c r="H184" s="1">
        <v>2023</v>
      </c>
      <c r="I184" s="1" t="s">
        <v>1818</v>
      </c>
      <c r="J184" s="6">
        <v>32504</v>
      </c>
      <c r="K184" s="6">
        <v>32504</v>
      </c>
      <c r="L184" s="21">
        <v>1</v>
      </c>
      <c r="M184" s="1">
        <v>0</v>
      </c>
      <c r="N184" s="1" t="s">
        <v>1821</v>
      </c>
      <c r="O184" s="1" t="s">
        <v>18</v>
      </c>
      <c r="P184" s="1" t="s">
        <v>18</v>
      </c>
      <c r="Q184" s="22" t="s">
        <v>18</v>
      </c>
      <c r="R184" s="8">
        <v>129.10284118877678</v>
      </c>
      <c r="S184" s="9"/>
      <c r="T184" s="8">
        <v>115.50069222249569</v>
      </c>
      <c r="U184" s="9"/>
      <c r="V184" s="8">
        <v>109.54987478464189</v>
      </c>
      <c r="W184" s="8"/>
      <c r="X184" s="8"/>
    </row>
    <row r="185" spans="1:24" x14ac:dyDescent="0.3">
      <c r="A185" s="1" t="s">
        <v>1240</v>
      </c>
      <c r="B185" s="1" t="s">
        <v>1241</v>
      </c>
      <c r="C185" s="1" t="s">
        <v>1586</v>
      </c>
      <c r="D185" s="1" t="s">
        <v>14</v>
      </c>
      <c r="E185" s="1" t="s">
        <v>17</v>
      </c>
      <c r="F185" s="1">
        <v>2000</v>
      </c>
      <c r="G185" s="1" t="s">
        <v>21</v>
      </c>
      <c r="H185" s="1">
        <v>2022</v>
      </c>
      <c r="I185" s="1" t="s">
        <v>1818</v>
      </c>
      <c r="J185" s="6">
        <v>28355</v>
      </c>
      <c r="K185" s="6">
        <v>27042</v>
      </c>
      <c r="L185" s="21">
        <v>0.95369423382119556</v>
      </c>
      <c r="M185" s="1">
        <v>0</v>
      </c>
      <c r="N185" s="1" t="s">
        <v>1589</v>
      </c>
      <c r="O185" s="1">
        <v>8</v>
      </c>
      <c r="P185" s="1">
        <v>0.61799999999999999</v>
      </c>
      <c r="Q185" s="22">
        <v>37455</v>
      </c>
      <c r="R185" s="8">
        <v>101.5154850996297</v>
      </c>
      <c r="S185" s="9" t="s">
        <v>2657</v>
      </c>
      <c r="T185" s="8">
        <v>92.300747310879913</v>
      </c>
      <c r="U185" s="9" t="s">
        <v>2657</v>
      </c>
      <c r="V185" s="8">
        <v>107.22704249691412</v>
      </c>
      <c r="W185" s="8" t="s">
        <v>2657</v>
      </c>
      <c r="X185" s="8"/>
    </row>
    <row r="186" spans="1:24" x14ac:dyDescent="0.3">
      <c r="A186" s="1" t="s">
        <v>159</v>
      </c>
      <c r="B186" s="1" t="s">
        <v>160</v>
      </c>
      <c r="C186" s="1" t="s">
        <v>1586</v>
      </c>
      <c r="D186" s="1" t="s">
        <v>14</v>
      </c>
      <c r="E186" s="1" t="s">
        <v>17</v>
      </c>
      <c r="F186" s="1">
        <v>1986</v>
      </c>
      <c r="G186" s="1" t="s">
        <v>47</v>
      </c>
      <c r="H186" s="1">
        <v>2019</v>
      </c>
      <c r="I186" s="1" t="s">
        <v>1601</v>
      </c>
      <c r="J186" s="6">
        <v>33735.81</v>
      </c>
      <c r="K186" s="6">
        <v>27000</v>
      </c>
      <c r="L186" s="21">
        <v>0.80033649703386411</v>
      </c>
      <c r="M186" s="1">
        <v>0</v>
      </c>
      <c r="N186" s="1" t="s">
        <v>1589</v>
      </c>
      <c r="O186" s="1">
        <v>3</v>
      </c>
      <c r="P186" s="1">
        <v>0.69</v>
      </c>
      <c r="Q186" s="22">
        <v>43291</v>
      </c>
      <c r="R186" s="8">
        <v>124.31016270248143</v>
      </c>
      <c r="S186" s="9" t="s">
        <v>2656</v>
      </c>
      <c r="T186" s="8">
        <v>116.39034219127986</v>
      </c>
      <c r="U186" s="9" t="s">
        <v>2657</v>
      </c>
      <c r="V186" s="8">
        <v>107.0895206014025</v>
      </c>
      <c r="W186" s="8" t="s">
        <v>2657</v>
      </c>
      <c r="X186" s="8"/>
    </row>
    <row r="187" spans="1:24" x14ac:dyDescent="0.3">
      <c r="A187" s="1" t="s">
        <v>1458</v>
      </c>
      <c r="B187" s="1" t="s">
        <v>1459</v>
      </c>
      <c r="C187" s="1" t="s">
        <v>1586</v>
      </c>
      <c r="D187" s="1" t="s">
        <v>14</v>
      </c>
      <c r="E187" s="1" t="s">
        <v>17</v>
      </c>
      <c r="F187" s="1">
        <v>1970</v>
      </c>
      <c r="G187" s="1" t="s">
        <v>19</v>
      </c>
      <c r="H187" s="1">
        <v>2022</v>
      </c>
      <c r="I187" s="1" t="s">
        <v>1599</v>
      </c>
      <c r="J187" s="6">
        <v>43687</v>
      </c>
      <c r="K187" s="6">
        <v>24638</v>
      </c>
      <c r="L187" s="21">
        <v>0.56396639732643583</v>
      </c>
      <c r="M187" s="1">
        <v>0</v>
      </c>
      <c r="N187" s="1" t="s">
        <v>1589</v>
      </c>
      <c r="O187" s="1">
        <v>2</v>
      </c>
      <c r="P187" s="1">
        <v>0.57999999999999996</v>
      </c>
      <c r="Q187" s="22">
        <v>44182</v>
      </c>
      <c r="R187" s="8">
        <v>138.6674125301262</v>
      </c>
      <c r="S187" s="9" t="s">
        <v>2656</v>
      </c>
      <c r="T187" s="8">
        <v>120.89996557005306</v>
      </c>
      <c r="U187" s="9" t="s">
        <v>2657</v>
      </c>
      <c r="V187" s="8">
        <v>106.50164052760925</v>
      </c>
      <c r="W187" s="8" t="s">
        <v>2657</v>
      </c>
      <c r="X187" s="8"/>
    </row>
    <row r="188" spans="1:24" x14ac:dyDescent="0.3">
      <c r="A188" s="1" t="s">
        <v>715</v>
      </c>
      <c r="B188" s="1" t="s">
        <v>1974</v>
      </c>
      <c r="C188" s="1" t="s">
        <v>1586</v>
      </c>
      <c r="D188" s="1" t="s">
        <v>14</v>
      </c>
      <c r="E188" s="1" t="s">
        <v>17</v>
      </c>
      <c r="F188" s="1">
        <v>1985</v>
      </c>
      <c r="J188" s="6">
        <v>16815</v>
      </c>
      <c r="K188" s="6">
        <v>0</v>
      </c>
      <c r="L188" s="21">
        <v>0</v>
      </c>
      <c r="M188" s="1">
        <v>0</v>
      </c>
      <c r="N188" s="1" t="s">
        <v>1589</v>
      </c>
      <c r="O188" s="1">
        <v>8</v>
      </c>
      <c r="P188" s="1" t="s">
        <v>18</v>
      </c>
      <c r="Q188" s="22" t="s">
        <v>18</v>
      </c>
      <c r="R188" s="8">
        <v>105.73278620279511</v>
      </c>
      <c r="S188" s="9" t="s">
        <v>2657</v>
      </c>
      <c r="T188" s="8">
        <v>103.3980808801665</v>
      </c>
      <c r="U188" s="9" t="s">
        <v>2657</v>
      </c>
      <c r="V188" s="8">
        <v>106.32703716919417</v>
      </c>
      <c r="W188" s="8" t="s">
        <v>2657</v>
      </c>
      <c r="X188" s="8"/>
    </row>
    <row r="189" spans="1:24" x14ac:dyDescent="0.3">
      <c r="A189" s="1" t="s">
        <v>1373</v>
      </c>
      <c r="B189" s="1" t="s">
        <v>1374</v>
      </c>
      <c r="C189" s="1" t="s">
        <v>1586</v>
      </c>
      <c r="D189" s="1" t="s">
        <v>14</v>
      </c>
      <c r="E189" s="1" t="s">
        <v>17</v>
      </c>
      <c r="F189" s="1">
        <v>1986</v>
      </c>
      <c r="G189" s="1" t="s">
        <v>19</v>
      </c>
      <c r="H189" s="1">
        <v>2023</v>
      </c>
      <c r="I189" s="1" t="s">
        <v>1783</v>
      </c>
      <c r="J189" s="6">
        <v>49122</v>
      </c>
      <c r="K189" s="6">
        <v>30300</v>
      </c>
      <c r="L189" s="21">
        <v>0.61683156223280811</v>
      </c>
      <c r="M189" s="1">
        <v>0</v>
      </c>
      <c r="N189" s="1" t="s">
        <v>1589</v>
      </c>
      <c r="O189" s="1">
        <v>4</v>
      </c>
      <c r="P189" s="1">
        <v>0.57999999999999996</v>
      </c>
      <c r="Q189" s="22">
        <v>42704</v>
      </c>
      <c r="R189" s="8">
        <v>98.394222547941865</v>
      </c>
      <c r="S189" s="9" t="s">
        <v>2657</v>
      </c>
      <c r="T189" s="8">
        <v>97.094468873417213</v>
      </c>
      <c r="U189" s="9" t="s">
        <v>2657</v>
      </c>
      <c r="V189" s="8">
        <v>106.31471642034118</v>
      </c>
      <c r="W189" s="8" t="s">
        <v>2657</v>
      </c>
      <c r="X189" s="8"/>
    </row>
    <row r="190" spans="1:24" x14ac:dyDescent="0.3">
      <c r="A190" s="1" t="s">
        <v>1999</v>
      </c>
      <c r="B190" s="1" t="s">
        <v>987</v>
      </c>
      <c r="C190" s="1" t="s">
        <v>1586</v>
      </c>
      <c r="D190" s="1" t="s">
        <v>14</v>
      </c>
      <c r="E190" s="1" t="s">
        <v>17</v>
      </c>
      <c r="F190" s="1">
        <v>2017</v>
      </c>
      <c r="G190" s="1" t="s">
        <v>25</v>
      </c>
      <c r="H190" s="1">
        <v>2023</v>
      </c>
      <c r="I190" s="1" t="s">
        <v>1783</v>
      </c>
      <c r="J190" s="6">
        <v>21678</v>
      </c>
      <c r="K190" s="6">
        <v>13750</v>
      </c>
      <c r="L190" s="21">
        <v>0.63428360549866225</v>
      </c>
      <c r="M190" s="1">
        <v>0</v>
      </c>
      <c r="N190" s="1" t="s">
        <v>28</v>
      </c>
      <c r="O190" s="1" t="s">
        <v>18</v>
      </c>
      <c r="P190" s="1" t="s">
        <v>18</v>
      </c>
      <c r="Q190" s="22" t="s">
        <v>18</v>
      </c>
      <c r="R190" s="8">
        <v>103.67295599225019</v>
      </c>
      <c r="S190" s="9" t="s">
        <v>2657</v>
      </c>
      <c r="T190" s="8">
        <v>103.72616246886244</v>
      </c>
      <c r="U190" s="9" t="s">
        <v>2657</v>
      </c>
      <c r="V190" s="8">
        <v>104.24680597841129</v>
      </c>
      <c r="W190" s="8" t="s">
        <v>2657</v>
      </c>
      <c r="X190" s="8"/>
    </row>
    <row r="191" spans="1:24" x14ac:dyDescent="0.3">
      <c r="A191" s="1" t="s">
        <v>237</v>
      </c>
      <c r="B191" s="1" t="s">
        <v>238</v>
      </c>
      <c r="C191" s="1" t="s">
        <v>1586</v>
      </c>
      <c r="D191" s="1" t="s">
        <v>14</v>
      </c>
      <c r="E191" s="1" t="s">
        <v>17</v>
      </c>
      <c r="F191" s="1">
        <v>1926</v>
      </c>
      <c r="G191" s="1" t="s">
        <v>19</v>
      </c>
      <c r="H191" s="1">
        <v>2022</v>
      </c>
      <c r="I191" s="1" t="s">
        <v>1818</v>
      </c>
      <c r="J191" s="6">
        <v>11277</v>
      </c>
      <c r="K191" s="6">
        <v>6555</v>
      </c>
      <c r="L191" s="21">
        <v>0.58127161479116785</v>
      </c>
      <c r="M191" s="1">
        <v>0</v>
      </c>
      <c r="N191" s="1" t="s">
        <v>1589</v>
      </c>
      <c r="O191" s="1">
        <v>4</v>
      </c>
      <c r="P191" s="1">
        <v>0.625</v>
      </c>
      <c r="Q191" s="22">
        <v>44871</v>
      </c>
      <c r="R191" s="8">
        <v>144.72188130944738</v>
      </c>
      <c r="S191" s="9" t="s">
        <v>2656</v>
      </c>
      <c r="T191" s="8">
        <v>108.54570519927643</v>
      </c>
      <c r="U191" s="9" t="s">
        <v>2657</v>
      </c>
      <c r="V191" s="8">
        <v>103.66396568827682</v>
      </c>
      <c r="W191" s="8" t="s">
        <v>2657</v>
      </c>
      <c r="X191" s="8"/>
    </row>
    <row r="192" spans="1:24" x14ac:dyDescent="0.3">
      <c r="A192" s="1" t="s">
        <v>1881</v>
      </c>
      <c r="B192" s="1" t="s">
        <v>1882</v>
      </c>
      <c r="C192" s="1" t="s">
        <v>1586</v>
      </c>
      <c r="D192" s="1" t="s">
        <v>14</v>
      </c>
      <c r="E192" s="1" t="s">
        <v>17</v>
      </c>
      <c r="F192" s="1">
        <v>2021</v>
      </c>
      <c r="J192" s="6">
        <v>16908</v>
      </c>
      <c r="K192" s="6">
        <v>13</v>
      </c>
      <c r="L192" s="21">
        <v>7.6886680861130822E-4</v>
      </c>
      <c r="M192" s="1">
        <v>0</v>
      </c>
      <c r="N192" s="1" t="s">
        <v>1589</v>
      </c>
      <c r="O192" s="1">
        <v>2</v>
      </c>
      <c r="P192" s="1">
        <v>0.60099999999999998</v>
      </c>
      <c r="Q192" s="22">
        <v>44832</v>
      </c>
      <c r="R192" s="8" t="s">
        <v>18</v>
      </c>
      <c r="S192" s="9"/>
      <c r="T192" s="8">
        <v>75.910811450201095</v>
      </c>
      <c r="U192" s="9" t="s">
        <v>2657</v>
      </c>
      <c r="V192" s="8">
        <v>103.27898036432458</v>
      </c>
      <c r="W192" s="8" t="s">
        <v>2657</v>
      </c>
      <c r="X192" s="8"/>
    </row>
    <row r="193" spans="1:24" x14ac:dyDescent="0.3">
      <c r="A193" s="1" t="s">
        <v>672</v>
      </c>
      <c r="B193" s="1" t="s">
        <v>2109</v>
      </c>
      <c r="C193" s="1" t="s">
        <v>1586</v>
      </c>
      <c r="D193" s="1" t="s">
        <v>14</v>
      </c>
      <c r="E193" s="1" t="s">
        <v>17</v>
      </c>
      <c r="F193" s="1">
        <v>2009</v>
      </c>
      <c r="J193" s="6">
        <v>19916</v>
      </c>
      <c r="K193" s="6">
        <v>17415</v>
      </c>
      <c r="L193" s="21">
        <v>0.8744225748142197</v>
      </c>
      <c r="M193" s="1">
        <v>0</v>
      </c>
      <c r="N193" s="1" t="s">
        <v>28</v>
      </c>
      <c r="O193" s="1" t="s">
        <v>18</v>
      </c>
      <c r="P193" s="1" t="s">
        <v>18</v>
      </c>
      <c r="Q193" s="22" t="s">
        <v>18</v>
      </c>
      <c r="R193" s="8">
        <v>98.54848413336012</v>
      </c>
      <c r="S193" s="9" t="s">
        <v>2657</v>
      </c>
      <c r="T193" s="8">
        <v>102.19678248644306</v>
      </c>
      <c r="U193" s="9" t="s">
        <v>2657</v>
      </c>
      <c r="V193" s="8">
        <v>101.56330186784494</v>
      </c>
      <c r="W193" s="8" t="s">
        <v>2657</v>
      </c>
      <c r="X193" s="8"/>
    </row>
    <row r="194" spans="1:24" x14ac:dyDescent="0.3">
      <c r="A194" s="1" t="s">
        <v>440</v>
      </c>
      <c r="B194" s="1" t="s">
        <v>441</v>
      </c>
      <c r="C194" s="1" t="s">
        <v>1586</v>
      </c>
      <c r="D194" s="1" t="s">
        <v>14</v>
      </c>
      <c r="E194" s="1" t="s">
        <v>17</v>
      </c>
      <c r="F194" s="1">
        <v>2019</v>
      </c>
      <c r="G194" s="1" t="s">
        <v>19</v>
      </c>
      <c r="H194" s="1">
        <v>2023</v>
      </c>
      <c r="I194" s="1" t="s">
        <v>1783</v>
      </c>
      <c r="J194" s="6">
        <v>103444</v>
      </c>
      <c r="K194" s="6">
        <v>72091</v>
      </c>
      <c r="L194" s="21">
        <v>0.69690847221685159</v>
      </c>
      <c r="M194" s="1">
        <v>0</v>
      </c>
      <c r="N194" s="1" t="s">
        <v>1589</v>
      </c>
      <c r="O194" s="1">
        <v>4</v>
      </c>
      <c r="P194" s="1">
        <v>0.6</v>
      </c>
      <c r="Q194" s="22">
        <v>44819</v>
      </c>
      <c r="R194" s="8">
        <v>114.18552182823557</v>
      </c>
      <c r="S194" s="9" t="s">
        <v>2657</v>
      </c>
      <c r="T194" s="8">
        <v>111.01193689339161</v>
      </c>
      <c r="U194" s="9" t="s">
        <v>2657</v>
      </c>
      <c r="V194" s="8">
        <v>101.51868837245271</v>
      </c>
      <c r="W194" s="8" t="s">
        <v>2657</v>
      </c>
      <c r="X194" s="8"/>
    </row>
    <row r="195" spans="1:24" x14ac:dyDescent="0.3">
      <c r="A195" s="1" t="s">
        <v>285</v>
      </c>
      <c r="B195" s="1" t="s">
        <v>2408</v>
      </c>
      <c r="C195" s="1" t="s">
        <v>1586</v>
      </c>
      <c r="D195" s="1" t="s">
        <v>14</v>
      </c>
      <c r="E195" s="1" t="s">
        <v>17</v>
      </c>
      <c r="F195" s="1">
        <v>1983</v>
      </c>
      <c r="G195" s="1" t="s">
        <v>19</v>
      </c>
      <c r="H195" s="1">
        <v>2021</v>
      </c>
      <c r="I195" s="1" t="s">
        <v>1783</v>
      </c>
      <c r="J195" s="6">
        <v>21722.3</v>
      </c>
      <c r="K195" s="6">
        <v>157771</v>
      </c>
      <c r="L195" s="21">
        <v>7.2630890835684987</v>
      </c>
      <c r="M195" s="1">
        <v>0</v>
      </c>
      <c r="N195" s="1" t="s">
        <v>1589</v>
      </c>
      <c r="O195" s="1">
        <v>5</v>
      </c>
      <c r="P195" s="1">
        <v>0.57999999999999996</v>
      </c>
      <c r="Q195" s="22">
        <v>44314</v>
      </c>
      <c r="R195" s="8">
        <v>99.330549711586713</v>
      </c>
      <c r="S195" s="9" t="s">
        <v>2657</v>
      </c>
      <c r="T195" s="8">
        <v>87.795914797236023</v>
      </c>
      <c r="U195" s="9" t="s">
        <v>2657</v>
      </c>
      <c r="V195" s="8">
        <v>100.93325292441408</v>
      </c>
      <c r="W195" s="8" t="s">
        <v>2657</v>
      </c>
      <c r="X195" s="8"/>
    </row>
    <row r="196" spans="1:24" x14ac:dyDescent="0.3">
      <c r="A196" s="1" t="s">
        <v>1029</v>
      </c>
      <c r="B196" s="1" t="s">
        <v>1030</v>
      </c>
      <c r="C196" s="1" t="s">
        <v>1586</v>
      </c>
      <c r="D196" s="1" t="s">
        <v>14</v>
      </c>
      <c r="E196" s="1" t="s">
        <v>17</v>
      </c>
      <c r="F196" s="1">
        <v>2019</v>
      </c>
      <c r="G196" s="1" t="s">
        <v>19</v>
      </c>
      <c r="H196" s="1">
        <v>2019</v>
      </c>
      <c r="I196" s="1" t="s">
        <v>1598</v>
      </c>
      <c r="J196" s="6">
        <v>21595</v>
      </c>
      <c r="K196" s="6">
        <v>12000</v>
      </c>
      <c r="L196" s="21">
        <v>0.55568418615420234</v>
      </c>
      <c r="M196" s="1">
        <v>0</v>
      </c>
      <c r="N196" s="1" t="s">
        <v>1589</v>
      </c>
      <c r="O196" s="1">
        <v>4</v>
      </c>
      <c r="P196" s="1" t="s">
        <v>18</v>
      </c>
      <c r="Q196" s="22" t="s">
        <v>18</v>
      </c>
      <c r="R196" s="8">
        <v>89.914813614262556</v>
      </c>
      <c r="S196" s="9" t="s">
        <v>2657</v>
      </c>
      <c r="T196" s="8">
        <v>95.065624913174346</v>
      </c>
      <c r="U196" s="9" t="s">
        <v>2657</v>
      </c>
      <c r="V196" s="8">
        <v>100.19962491317435</v>
      </c>
      <c r="W196" s="8" t="s">
        <v>2657</v>
      </c>
      <c r="X196" s="8"/>
    </row>
    <row r="197" spans="1:24" x14ac:dyDescent="0.3">
      <c r="A197" s="1" t="s">
        <v>2266</v>
      </c>
      <c r="B197" s="1" t="s">
        <v>1561</v>
      </c>
      <c r="C197" s="1" t="s">
        <v>1586</v>
      </c>
      <c r="D197" s="1" t="s">
        <v>14</v>
      </c>
      <c r="E197" s="1" t="s">
        <v>17</v>
      </c>
      <c r="F197" s="1">
        <v>2008</v>
      </c>
      <c r="G197" s="1" t="s">
        <v>47</v>
      </c>
      <c r="H197" s="1">
        <v>2022</v>
      </c>
      <c r="I197" s="1" t="s">
        <v>1818</v>
      </c>
      <c r="J197" s="6">
        <v>19447.5</v>
      </c>
      <c r="K197" s="6">
        <v>16640</v>
      </c>
      <c r="L197" s="21">
        <v>0.85563697133307626</v>
      </c>
      <c r="M197" s="1">
        <v>0</v>
      </c>
      <c r="N197" s="1" t="s">
        <v>1821</v>
      </c>
      <c r="O197" s="1" t="s">
        <v>18</v>
      </c>
      <c r="P197" s="1" t="s">
        <v>18</v>
      </c>
      <c r="Q197" s="22" t="s">
        <v>18</v>
      </c>
      <c r="R197" s="8">
        <v>146.77760637614088</v>
      </c>
      <c r="S197" s="9"/>
      <c r="T197" s="8">
        <v>132.45355444144491</v>
      </c>
      <c r="U197" s="9"/>
      <c r="V197" s="8">
        <v>99.375819514076355</v>
      </c>
      <c r="W197" s="8"/>
      <c r="X197" s="8"/>
    </row>
    <row r="198" spans="1:24" x14ac:dyDescent="0.3">
      <c r="A198" s="1" t="s">
        <v>1896</v>
      </c>
      <c r="B198" s="1" t="s">
        <v>1282</v>
      </c>
      <c r="C198" s="1" t="s">
        <v>1586</v>
      </c>
      <c r="D198" s="1" t="s">
        <v>14</v>
      </c>
      <c r="E198" s="1" t="s">
        <v>17</v>
      </c>
      <c r="F198" s="1">
        <v>2003</v>
      </c>
      <c r="G198" s="1" t="s">
        <v>21</v>
      </c>
      <c r="H198" s="1">
        <v>2022</v>
      </c>
      <c r="I198" s="1" t="s">
        <v>1601</v>
      </c>
      <c r="J198" s="6">
        <v>15996</v>
      </c>
      <c r="K198" s="6">
        <v>14000</v>
      </c>
      <c r="L198" s="21">
        <v>0.8752188047011753</v>
      </c>
      <c r="M198" s="1">
        <v>0</v>
      </c>
      <c r="N198" s="1" t="s">
        <v>1821</v>
      </c>
      <c r="O198" s="1" t="s">
        <v>18</v>
      </c>
      <c r="P198" s="1" t="s">
        <v>18</v>
      </c>
      <c r="Q198" s="22" t="s">
        <v>18</v>
      </c>
      <c r="R198" s="8">
        <v>176.66478744686171</v>
      </c>
      <c r="S198" s="9"/>
      <c r="T198" s="8">
        <v>161.88771005251314</v>
      </c>
      <c r="U198" s="9"/>
      <c r="V198" s="8">
        <v>95.925937109277328</v>
      </c>
      <c r="W198" s="8"/>
      <c r="X198" s="8"/>
    </row>
    <row r="199" spans="1:24" x14ac:dyDescent="0.3">
      <c r="A199" s="1" t="s">
        <v>151</v>
      </c>
      <c r="B199" s="1" t="s">
        <v>2314</v>
      </c>
      <c r="C199" s="1" t="s">
        <v>1586</v>
      </c>
      <c r="D199" s="1" t="s">
        <v>14</v>
      </c>
      <c r="E199" s="1" t="s">
        <v>17</v>
      </c>
      <c r="F199" s="1">
        <v>1976</v>
      </c>
      <c r="G199" s="1" t="s">
        <v>19</v>
      </c>
      <c r="H199" s="1">
        <v>2022</v>
      </c>
      <c r="I199" s="1" t="s">
        <v>1783</v>
      </c>
      <c r="J199" s="6">
        <v>43000</v>
      </c>
      <c r="K199" s="6">
        <v>41000</v>
      </c>
      <c r="L199" s="21">
        <v>0.95348837209302328</v>
      </c>
      <c r="M199" s="1">
        <v>0</v>
      </c>
      <c r="N199" s="1" t="s">
        <v>1787</v>
      </c>
      <c r="O199" s="1" t="s">
        <v>18</v>
      </c>
      <c r="P199" s="1" t="s">
        <v>18</v>
      </c>
      <c r="Q199" s="22" t="s">
        <v>18</v>
      </c>
      <c r="R199" s="8">
        <v>92.421358604651161</v>
      </c>
      <c r="S199" s="9" t="s">
        <v>2657</v>
      </c>
      <c r="T199" s="8">
        <v>93.930988604651162</v>
      </c>
      <c r="U199" s="9" t="s">
        <v>2657</v>
      </c>
      <c r="V199" s="8">
        <v>95.55705534883721</v>
      </c>
      <c r="W199" s="8" t="s">
        <v>2657</v>
      </c>
      <c r="X199" s="8"/>
    </row>
    <row r="200" spans="1:24" x14ac:dyDescent="0.3">
      <c r="A200" s="1" t="s">
        <v>1372</v>
      </c>
      <c r="B200" s="1" t="s">
        <v>2391</v>
      </c>
      <c r="C200" s="1" t="s">
        <v>1586</v>
      </c>
      <c r="D200" s="1" t="s">
        <v>14</v>
      </c>
      <c r="E200" s="1" t="s">
        <v>17</v>
      </c>
      <c r="F200" s="1">
        <v>2010</v>
      </c>
      <c r="J200" s="6">
        <v>16153</v>
      </c>
      <c r="K200" s="6">
        <v>2843</v>
      </c>
      <c r="L200" s="21">
        <v>0.17600445737633877</v>
      </c>
      <c r="M200" s="1">
        <v>0</v>
      </c>
      <c r="N200" s="1" t="s">
        <v>28</v>
      </c>
      <c r="O200" s="1" t="s">
        <v>18</v>
      </c>
      <c r="P200" s="1" t="s">
        <v>18</v>
      </c>
      <c r="Q200" s="22" t="s">
        <v>18</v>
      </c>
      <c r="R200" s="8">
        <v>78.092002723952206</v>
      </c>
      <c r="S200" s="9" t="s">
        <v>2657</v>
      </c>
      <c r="T200" s="8">
        <v>92.731066055841026</v>
      </c>
      <c r="U200" s="9" t="s">
        <v>2657</v>
      </c>
      <c r="V200" s="8">
        <v>94.16780164675292</v>
      </c>
      <c r="W200" s="8" t="s">
        <v>2657</v>
      </c>
      <c r="X200" s="8"/>
    </row>
    <row r="201" spans="1:24" x14ac:dyDescent="0.3">
      <c r="A201" s="1" t="s">
        <v>1622</v>
      </c>
      <c r="B201" s="1" t="s">
        <v>1567</v>
      </c>
      <c r="C201" s="1" t="s">
        <v>1586</v>
      </c>
      <c r="D201" s="1" t="s">
        <v>14</v>
      </c>
      <c r="E201" s="1" t="s">
        <v>17</v>
      </c>
      <c r="F201" s="1">
        <v>2009</v>
      </c>
      <c r="G201" s="1" t="s">
        <v>25</v>
      </c>
      <c r="H201" s="1">
        <v>2022</v>
      </c>
      <c r="I201" s="1" t="s">
        <v>1603</v>
      </c>
      <c r="J201" s="6">
        <v>19949</v>
      </c>
      <c r="K201" s="6">
        <v>14913</v>
      </c>
      <c r="L201" s="21">
        <v>0.74755626848463586</v>
      </c>
      <c r="M201" s="1">
        <v>0</v>
      </c>
      <c r="N201" s="1" t="s">
        <v>1589</v>
      </c>
      <c r="O201" s="1">
        <v>12</v>
      </c>
      <c r="P201" s="1">
        <v>0.7</v>
      </c>
      <c r="Q201" s="22">
        <v>44942</v>
      </c>
      <c r="R201" s="8">
        <v>94.672339465637378</v>
      </c>
      <c r="S201" s="9" t="s">
        <v>2657</v>
      </c>
      <c r="T201" s="8">
        <v>102.2135069427039</v>
      </c>
      <c r="U201" s="9" t="s">
        <v>2657</v>
      </c>
      <c r="V201" s="8">
        <v>93.985036843952074</v>
      </c>
      <c r="W201" s="8" t="s">
        <v>2657</v>
      </c>
      <c r="X201" s="8"/>
    </row>
    <row r="202" spans="1:24" x14ac:dyDescent="0.3">
      <c r="A202" s="1" t="s">
        <v>946</v>
      </c>
      <c r="B202" s="1" t="s">
        <v>947</v>
      </c>
      <c r="C202" s="1" t="s">
        <v>1586</v>
      </c>
      <c r="D202" s="1" t="s">
        <v>14</v>
      </c>
      <c r="E202" s="1" t="s">
        <v>17</v>
      </c>
      <c r="F202" s="1">
        <v>2018</v>
      </c>
      <c r="J202" s="6">
        <v>33123</v>
      </c>
      <c r="K202" s="6">
        <v>29000</v>
      </c>
      <c r="L202" s="21">
        <v>0.87552455997343237</v>
      </c>
      <c r="M202" s="1">
        <v>0</v>
      </c>
      <c r="N202" s="1" t="s">
        <v>28</v>
      </c>
      <c r="O202" s="1" t="s">
        <v>18</v>
      </c>
      <c r="P202" s="1" t="s">
        <v>18</v>
      </c>
      <c r="Q202" s="22" t="s">
        <v>18</v>
      </c>
      <c r="R202" s="8">
        <v>73.05321377894515</v>
      </c>
      <c r="S202" s="9" t="s">
        <v>2657</v>
      </c>
      <c r="T202" s="8">
        <v>79.729010053437193</v>
      </c>
      <c r="U202" s="9" t="s">
        <v>2657</v>
      </c>
      <c r="V202" s="8">
        <v>89.350916281737767</v>
      </c>
      <c r="W202" s="8" t="s">
        <v>2657</v>
      </c>
      <c r="X202" s="8"/>
    </row>
    <row r="203" spans="1:24" x14ac:dyDescent="0.3">
      <c r="A203" s="1" t="s">
        <v>1499</v>
      </c>
      <c r="B203" s="1" t="s">
        <v>1500</v>
      </c>
      <c r="C203" s="1" t="s">
        <v>1586</v>
      </c>
      <c r="D203" s="1" t="s">
        <v>14</v>
      </c>
      <c r="E203" s="1" t="s">
        <v>17</v>
      </c>
      <c r="F203" s="1">
        <v>1982</v>
      </c>
      <c r="G203" s="1" t="s">
        <v>47</v>
      </c>
      <c r="H203" s="1">
        <v>2018</v>
      </c>
      <c r="I203" s="1" t="s">
        <v>1601</v>
      </c>
      <c r="J203" s="6">
        <v>20965</v>
      </c>
      <c r="K203" s="6">
        <v>15000</v>
      </c>
      <c r="L203" s="21">
        <v>0.71547817791557355</v>
      </c>
      <c r="M203" s="1">
        <v>0</v>
      </c>
      <c r="N203" s="1" t="s">
        <v>1589</v>
      </c>
      <c r="O203" s="1">
        <v>8</v>
      </c>
      <c r="P203" s="1">
        <v>0.72099999999999997</v>
      </c>
      <c r="Q203" s="22">
        <v>45040</v>
      </c>
      <c r="R203" s="8">
        <v>94.354800858573782</v>
      </c>
      <c r="S203" s="9" t="s">
        <v>2657</v>
      </c>
      <c r="T203" s="8">
        <v>91.259751013594084</v>
      </c>
      <c r="U203" s="9" t="s">
        <v>2657</v>
      </c>
      <c r="V203" s="8">
        <v>89.064597185785829</v>
      </c>
      <c r="W203" s="8" t="s">
        <v>2657</v>
      </c>
      <c r="X203" s="8"/>
    </row>
    <row r="204" spans="1:24" x14ac:dyDescent="0.3">
      <c r="A204" s="1" t="s">
        <v>2269</v>
      </c>
      <c r="B204" s="1" t="s">
        <v>1390</v>
      </c>
      <c r="C204" s="1" t="s">
        <v>1586</v>
      </c>
      <c r="D204" s="1" t="s">
        <v>14</v>
      </c>
      <c r="E204" s="1" t="s">
        <v>17</v>
      </c>
      <c r="F204" s="1">
        <v>2000</v>
      </c>
      <c r="G204" s="1" t="s">
        <v>21</v>
      </c>
      <c r="H204" s="1">
        <v>2022</v>
      </c>
      <c r="I204" s="1" t="s">
        <v>1599</v>
      </c>
      <c r="J204" s="6">
        <v>17642</v>
      </c>
      <c r="K204" s="6">
        <v>12224</v>
      </c>
      <c r="L204" s="21">
        <v>0.69289196236254391</v>
      </c>
      <c r="M204" s="1">
        <v>0</v>
      </c>
      <c r="N204" s="1" t="s">
        <v>1821</v>
      </c>
      <c r="O204" s="1" t="s">
        <v>18</v>
      </c>
      <c r="P204" s="1">
        <v>0.18</v>
      </c>
      <c r="Q204" s="22">
        <v>44903</v>
      </c>
      <c r="R204" s="8">
        <v>103.33721346786078</v>
      </c>
      <c r="S204" s="9"/>
      <c r="T204" s="8">
        <v>104.92554132184559</v>
      </c>
      <c r="U204" s="9"/>
      <c r="V204" s="8">
        <v>88.550527717945812</v>
      </c>
      <c r="W204" s="8"/>
      <c r="X204" s="8"/>
    </row>
    <row r="205" spans="1:24" x14ac:dyDescent="0.3">
      <c r="A205" s="1" t="s">
        <v>2265</v>
      </c>
      <c r="B205" s="1" t="s">
        <v>1308</v>
      </c>
      <c r="C205" s="1" t="s">
        <v>1586</v>
      </c>
      <c r="D205" s="1" t="s">
        <v>14</v>
      </c>
      <c r="E205" s="1" t="s">
        <v>17</v>
      </c>
      <c r="F205" s="1">
        <v>2009</v>
      </c>
      <c r="G205" s="1" t="s">
        <v>21</v>
      </c>
      <c r="H205" s="1">
        <v>2022</v>
      </c>
      <c r="I205" s="1" t="s">
        <v>1818</v>
      </c>
      <c r="J205" s="6">
        <v>41137</v>
      </c>
      <c r="K205" s="6">
        <v>40137</v>
      </c>
      <c r="L205" s="21">
        <v>0.97569098378588615</v>
      </c>
      <c r="M205" s="1">
        <v>0</v>
      </c>
      <c r="N205" s="1" t="s">
        <v>1589</v>
      </c>
      <c r="O205" s="1">
        <v>14</v>
      </c>
      <c r="P205" s="1" t="s">
        <v>18</v>
      </c>
      <c r="Q205" s="22" t="s">
        <v>18</v>
      </c>
      <c r="R205" s="8">
        <v>84.607528259231358</v>
      </c>
      <c r="S205" s="9" t="s">
        <v>2657</v>
      </c>
      <c r="T205" s="8">
        <v>81.801605124340611</v>
      </c>
      <c r="U205" s="9" t="s">
        <v>2657</v>
      </c>
      <c r="V205" s="8">
        <v>88.439069450859321</v>
      </c>
      <c r="W205" s="8" t="s">
        <v>2657</v>
      </c>
      <c r="X205" s="8"/>
    </row>
    <row r="206" spans="1:24" x14ac:dyDescent="0.3">
      <c r="A206" s="1" t="s">
        <v>308</v>
      </c>
      <c r="B206" s="1" t="s">
        <v>309</v>
      </c>
      <c r="C206" s="1" t="s">
        <v>1586</v>
      </c>
      <c r="D206" s="1" t="s">
        <v>14</v>
      </c>
      <c r="E206" s="1" t="s">
        <v>17</v>
      </c>
      <c r="F206" s="1">
        <v>2014</v>
      </c>
      <c r="G206" s="1" t="s">
        <v>25</v>
      </c>
      <c r="H206" s="1">
        <v>2020</v>
      </c>
      <c r="I206" s="1" t="s">
        <v>1600</v>
      </c>
      <c r="J206" s="6">
        <v>18365</v>
      </c>
      <c r="K206" s="6">
        <v>15073</v>
      </c>
      <c r="L206" s="21">
        <v>0.82074598420909339</v>
      </c>
      <c r="M206" s="1">
        <v>0</v>
      </c>
      <c r="N206" s="1" t="s">
        <v>1821</v>
      </c>
      <c r="O206" s="1" t="s">
        <v>18</v>
      </c>
      <c r="P206" s="1" t="s">
        <v>18</v>
      </c>
      <c r="Q206" s="22" t="s">
        <v>18</v>
      </c>
      <c r="R206" s="8">
        <v>89.714211815954258</v>
      </c>
      <c r="S206" s="9"/>
      <c r="T206" s="8">
        <v>85.572774298938199</v>
      </c>
      <c r="U206" s="9"/>
      <c r="V206" s="8">
        <v>85.743642798802071</v>
      </c>
      <c r="W206" s="8"/>
      <c r="X206" s="8"/>
    </row>
    <row r="207" spans="1:24" x14ac:dyDescent="0.3">
      <c r="A207" s="1" t="s">
        <v>2447</v>
      </c>
      <c r="B207" s="1" t="s">
        <v>1359</v>
      </c>
      <c r="C207" s="1" t="s">
        <v>1586</v>
      </c>
      <c r="D207" s="1" t="s">
        <v>14</v>
      </c>
      <c r="E207" s="1" t="s">
        <v>17</v>
      </c>
      <c r="F207" s="1">
        <v>2015</v>
      </c>
      <c r="G207" s="1" t="s">
        <v>19</v>
      </c>
      <c r="H207" s="1">
        <v>2014</v>
      </c>
      <c r="I207" s="1" t="s">
        <v>1600</v>
      </c>
      <c r="J207" s="6">
        <v>15211</v>
      </c>
      <c r="K207" s="6">
        <v>12160</v>
      </c>
      <c r="L207" s="21">
        <v>0.79942147130366181</v>
      </c>
      <c r="M207" s="1">
        <v>0</v>
      </c>
      <c r="N207" s="1" t="s">
        <v>1589</v>
      </c>
      <c r="O207" s="1">
        <v>6</v>
      </c>
      <c r="P207" s="1" t="s">
        <v>18</v>
      </c>
      <c r="Q207" s="22" t="s">
        <v>18</v>
      </c>
      <c r="R207" s="8">
        <v>82.200676484123335</v>
      </c>
      <c r="S207" s="9" t="s">
        <v>2657</v>
      </c>
      <c r="T207" s="8">
        <v>80.42523305502597</v>
      </c>
      <c r="U207" s="9" t="s">
        <v>2657</v>
      </c>
      <c r="V207" s="8">
        <v>85.328502399579264</v>
      </c>
      <c r="W207" s="8" t="s">
        <v>2657</v>
      </c>
      <c r="X207" s="8"/>
    </row>
    <row r="208" spans="1:24" x14ac:dyDescent="0.3">
      <c r="A208" s="1" t="s">
        <v>1565</v>
      </c>
      <c r="B208" s="1" t="s">
        <v>1566</v>
      </c>
      <c r="C208" s="1" t="s">
        <v>1586</v>
      </c>
      <c r="D208" s="1" t="s">
        <v>14</v>
      </c>
      <c r="E208" s="1" t="s">
        <v>17</v>
      </c>
      <c r="F208" s="1">
        <v>1998</v>
      </c>
      <c r="J208" s="6">
        <v>22438</v>
      </c>
      <c r="K208" s="6">
        <v>22337</v>
      </c>
      <c r="L208" s="21">
        <v>0.9954987075496925</v>
      </c>
      <c r="M208" s="1">
        <v>0</v>
      </c>
      <c r="N208" s="1" t="s">
        <v>1589</v>
      </c>
      <c r="O208" s="1">
        <v>12</v>
      </c>
      <c r="P208" s="1" t="s">
        <v>18</v>
      </c>
      <c r="Q208" s="22" t="s">
        <v>18</v>
      </c>
      <c r="R208" s="8">
        <v>102.88712897762726</v>
      </c>
      <c r="S208" s="9" t="s">
        <v>2657</v>
      </c>
      <c r="T208" s="8">
        <v>85.225602994919342</v>
      </c>
      <c r="U208" s="9" t="s">
        <v>2657</v>
      </c>
      <c r="V208" s="8">
        <v>83.679580622158838</v>
      </c>
      <c r="W208" s="8" t="s">
        <v>2657</v>
      </c>
      <c r="X208" s="8"/>
    </row>
    <row r="209" spans="1:24" x14ac:dyDescent="0.3">
      <c r="A209" s="1" t="s">
        <v>2012</v>
      </c>
      <c r="B209" s="1" t="s">
        <v>2013</v>
      </c>
      <c r="C209" s="1" t="s">
        <v>1586</v>
      </c>
      <c r="D209" s="1" t="s">
        <v>14</v>
      </c>
      <c r="E209" s="1" t="s">
        <v>17</v>
      </c>
      <c r="F209" s="1">
        <v>2004</v>
      </c>
      <c r="J209" s="6">
        <v>19516</v>
      </c>
      <c r="K209" s="6">
        <v>1090</v>
      </c>
      <c r="L209" s="21">
        <v>5.585160893625743E-2</v>
      </c>
      <c r="M209" s="1">
        <v>0</v>
      </c>
      <c r="N209" s="1" t="s">
        <v>28</v>
      </c>
      <c r="O209" s="1" t="s">
        <v>18</v>
      </c>
      <c r="P209" s="1" t="s">
        <v>18</v>
      </c>
      <c r="Q209" s="22" t="s">
        <v>18</v>
      </c>
      <c r="R209" s="8">
        <v>83.448384402541507</v>
      </c>
      <c r="S209" s="9" t="s">
        <v>2657</v>
      </c>
      <c r="T209" s="8">
        <v>80.148342898134871</v>
      </c>
      <c r="U209" s="9" t="s">
        <v>2657</v>
      </c>
      <c r="V209" s="8">
        <v>83.673820967411359</v>
      </c>
      <c r="W209" s="8" t="s">
        <v>2657</v>
      </c>
      <c r="X209" s="8"/>
    </row>
    <row r="210" spans="1:24" x14ac:dyDescent="0.3">
      <c r="A210" s="1" t="s">
        <v>2033</v>
      </c>
      <c r="B210" s="1" t="s">
        <v>876</v>
      </c>
      <c r="C210" s="1" t="s">
        <v>1586</v>
      </c>
      <c r="D210" s="1" t="s">
        <v>14</v>
      </c>
      <c r="E210" s="1" t="s">
        <v>17</v>
      </c>
      <c r="F210" s="1">
        <v>2005</v>
      </c>
      <c r="J210" s="6">
        <v>32812</v>
      </c>
      <c r="K210" s="6">
        <v>34622</v>
      </c>
      <c r="L210" s="21">
        <v>1.0551627453370718</v>
      </c>
      <c r="M210" s="1">
        <v>0</v>
      </c>
      <c r="N210" s="1" t="s">
        <v>28</v>
      </c>
      <c r="O210" s="1" t="s">
        <v>18</v>
      </c>
      <c r="P210" s="1" t="s">
        <v>18</v>
      </c>
      <c r="Q210" s="22" t="s">
        <v>18</v>
      </c>
      <c r="R210" s="8">
        <v>91.94971443374375</v>
      </c>
      <c r="S210" s="9" t="s">
        <v>2657</v>
      </c>
      <c r="T210" s="8">
        <v>87.891266305010362</v>
      </c>
      <c r="U210" s="9" t="s">
        <v>2657</v>
      </c>
      <c r="V210" s="8">
        <v>82.853594111910269</v>
      </c>
      <c r="W210" s="8" t="s">
        <v>2657</v>
      </c>
      <c r="X210" s="8"/>
    </row>
    <row r="211" spans="1:24" x14ac:dyDescent="0.3">
      <c r="A211" s="1" t="s">
        <v>2010</v>
      </c>
      <c r="B211" s="1" t="s">
        <v>2011</v>
      </c>
      <c r="C211" s="1" t="s">
        <v>1586</v>
      </c>
      <c r="D211" s="1" t="s">
        <v>14</v>
      </c>
      <c r="E211" s="1" t="s">
        <v>17</v>
      </c>
      <c r="F211" s="1">
        <v>2019</v>
      </c>
      <c r="G211" s="1" t="s">
        <v>21</v>
      </c>
      <c r="H211" s="1">
        <v>2022</v>
      </c>
      <c r="I211" s="1" t="s">
        <v>1818</v>
      </c>
      <c r="J211" s="6">
        <v>19403</v>
      </c>
      <c r="K211" s="6">
        <v>4910</v>
      </c>
      <c r="L211" s="21">
        <v>0.25305365149719117</v>
      </c>
      <c r="M211" s="1">
        <v>0</v>
      </c>
      <c r="N211" s="1" t="s">
        <v>28</v>
      </c>
      <c r="O211" s="1" t="s">
        <v>18</v>
      </c>
      <c r="P211" s="1" t="s">
        <v>18</v>
      </c>
      <c r="Q211" s="22" t="s">
        <v>18</v>
      </c>
      <c r="R211" s="8">
        <v>81.873754058650732</v>
      </c>
      <c r="S211" s="9" t="s">
        <v>2657</v>
      </c>
      <c r="T211" s="8">
        <v>81.058350770499402</v>
      </c>
      <c r="U211" s="9" t="s">
        <v>2657</v>
      </c>
      <c r="V211" s="8">
        <v>81.116729887130845</v>
      </c>
      <c r="W211" s="8" t="s">
        <v>2657</v>
      </c>
      <c r="X211" s="8"/>
    </row>
    <row r="212" spans="1:24" x14ac:dyDescent="0.3">
      <c r="A212" s="1" t="s">
        <v>1854</v>
      </c>
      <c r="B212" s="1" t="s">
        <v>933</v>
      </c>
      <c r="C212" s="1" t="s">
        <v>1586</v>
      </c>
      <c r="D212" s="1" t="s">
        <v>14</v>
      </c>
      <c r="E212" s="1" t="s">
        <v>17</v>
      </c>
      <c r="F212" s="1">
        <v>1960</v>
      </c>
      <c r="J212" s="6">
        <v>15091</v>
      </c>
      <c r="K212" s="6">
        <v>9500</v>
      </c>
      <c r="L212" s="21">
        <v>0.62951428003445764</v>
      </c>
      <c r="M212" s="1">
        <v>0</v>
      </c>
      <c r="N212" s="1" t="s">
        <v>28</v>
      </c>
      <c r="O212" s="1" t="s">
        <v>18</v>
      </c>
      <c r="P212" s="1" t="s">
        <v>18</v>
      </c>
      <c r="Q212" s="22" t="s">
        <v>18</v>
      </c>
      <c r="R212" s="8">
        <v>83.392564442382863</v>
      </c>
      <c r="S212" s="9" t="s">
        <v>2657</v>
      </c>
      <c r="T212" s="8">
        <v>78.123525279968206</v>
      </c>
      <c r="U212" s="9" t="s">
        <v>2657</v>
      </c>
      <c r="V212" s="8">
        <v>80.243548472599556</v>
      </c>
      <c r="W212" s="8" t="s">
        <v>2657</v>
      </c>
      <c r="X212" s="8"/>
    </row>
    <row r="213" spans="1:24" x14ac:dyDescent="0.3">
      <c r="A213" s="1" t="s">
        <v>1967</v>
      </c>
      <c r="B213" s="1" t="s">
        <v>183</v>
      </c>
      <c r="C213" s="1" t="s">
        <v>1586</v>
      </c>
      <c r="D213" s="1" t="s">
        <v>14</v>
      </c>
      <c r="E213" s="1" t="s">
        <v>17</v>
      </c>
      <c r="F213" s="1">
        <v>2005</v>
      </c>
      <c r="G213" s="1" t="s">
        <v>19</v>
      </c>
      <c r="H213" s="1">
        <v>2019</v>
      </c>
      <c r="I213" s="1" t="s">
        <v>1601</v>
      </c>
      <c r="J213" s="6">
        <v>133192</v>
      </c>
      <c r="K213" s="6">
        <v>57969</v>
      </c>
      <c r="L213" s="21">
        <v>0.43522884257312749</v>
      </c>
      <c r="M213" s="1">
        <v>0</v>
      </c>
      <c r="N213" s="1" t="s">
        <v>1589</v>
      </c>
      <c r="O213" s="1">
        <v>5</v>
      </c>
      <c r="P213" s="1">
        <v>1.6049</v>
      </c>
      <c r="Q213" s="22">
        <v>44957</v>
      </c>
      <c r="R213" s="8">
        <v>87.042146675476005</v>
      </c>
      <c r="S213" s="9" t="s">
        <v>2657</v>
      </c>
      <c r="T213" s="8">
        <v>80.244224878371085</v>
      </c>
      <c r="U213" s="9" t="s">
        <v>2657</v>
      </c>
      <c r="V213" s="8">
        <v>77.289569944140794</v>
      </c>
      <c r="W213" s="8" t="s">
        <v>2657</v>
      </c>
      <c r="X213" s="8"/>
    </row>
    <row r="214" spans="1:24" x14ac:dyDescent="0.3">
      <c r="A214" s="1" t="s">
        <v>908</v>
      </c>
      <c r="B214" s="1" t="s">
        <v>2592</v>
      </c>
      <c r="C214" s="1" t="s">
        <v>1586</v>
      </c>
      <c r="D214" s="1" t="s">
        <v>14</v>
      </c>
      <c r="E214" s="1" t="s">
        <v>17</v>
      </c>
      <c r="F214" s="1">
        <v>1982</v>
      </c>
      <c r="J214" s="6">
        <v>25879</v>
      </c>
      <c r="K214" s="6">
        <v>20000</v>
      </c>
      <c r="L214" s="21">
        <v>0.77282738900266623</v>
      </c>
      <c r="M214" s="1">
        <v>0</v>
      </c>
      <c r="N214" s="1" t="s">
        <v>1589</v>
      </c>
      <c r="O214" s="1">
        <v>12</v>
      </c>
      <c r="P214" s="1">
        <v>0.72</v>
      </c>
      <c r="Q214" s="22">
        <v>42669</v>
      </c>
      <c r="R214" s="8">
        <v>83.410487267668771</v>
      </c>
      <c r="S214" s="9" t="s">
        <v>2657</v>
      </c>
      <c r="T214" s="8">
        <v>41.210324973917075</v>
      </c>
      <c r="U214" s="9" t="s">
        <v>2657</v>
      </c>
      <c r="V214" s="8">
        <v>75.913839406468568</v>
      </c>
      <c r="W214" s="8" t="s">
        <v>2657</v>
      </c>
      <c r="X214" s="8"/>
    </row>
    <row r="215" spans="1:24" x14ac:dyDescent="0.3">
      <c r="A215" s="1" t="s">
        <v>156</v>
      </c>
      <c r="B215" s="1" t="s">
        <v>157</v>
      </c>
      <c r="C215" s="1" t="s">
        <v>1586</v>
      </c>
      <c r="D215" s="1" t="s">
        <v>14</v>
      </c>
      <c r="E215" s="1" t="s">
        <v>17</v>
      </c>
      <c r="F215" s="1">
        <v>1991</v>
      </c>
      <c r="G215" s="1" t="s">
        <v>19</v>
      </c>
      <c r="H215" s="1">
        <v>2021</v>
      </c>
      <c r="I215" s="1" t="s">
        <v>1601</v>
      </c>
      <c r="J215" s="6">
        <v>16654</v>
      </c>
      <c r="K215" s="6">
        <v>6662</v>
      </c>
      <c r="L215" s="21">
        <v>0.40002401825387296</v>
      </c>
      <c r="M215" s="1">
        <v>0</v>
      </c>
      <c r="N215" s="1" t="s">
        <v>28</v>
      </c>
      <c r="O215" s="1" t="s">
        <v>18</v>
      </c>
      <c r="P215" s="1" t="s">
        <v>18</v>
      </c>
      <c r="Q215" s="22" t="s">
        <v>18</v>
      </c>
      <c r="R215" s="8">
        <v>77.487132220487567</v>
      </c>
      <c r="S215" s="9" t="s">
        <v>2657</v>
      </c>
      <c r="T215" s="8">
        <v>77.565716944878105</v>
      </c>
      <c r="U215" s="9" t="s">
        <v>2657</v>
      </c>
      <c r="V215" s="8">
        <v>75.130189744205595</v>
      </c>
      <c r="W215" s="8" t="s">
        <v>2657</v>
      </c>
      <c r="X215" s="8"/>
    </row>
    <row r="216" spans="1:24" x14ac:dyDescent="0.3">
      <c r="A216" s="1" t="s">
        <v>2271</v>
      </c>
      <c r="B216" s="1" t="s">
        <v>1391</v>
      </c>
      <c r="C216" s="1" t="s">
        <v>1586</v>
      </c>
      <c r="D216" s="1" t="s">
        <v>14</v>
      </c>
      <c r="E216" s="1" t="s">
        <v>17</v>
      </c>
      <c r="F216" s="1">
        <v>2003</v>
      </c>
      <c r="G216" s="1" t="s">
        <v>25</v>
      </c>
      <c r="H216" s="1">
        <v>2022</v>
      </c>
      <c r="I216" s="1" t="s">
        <v>1818</v>
      </c>
      <c r="J216" s="6">
        <v>19225</v>
      </c>
      <c r="K216" s="6">
        <v>19225</v>
      </c>
      <c r="L216" s="21">
        <v>1</v>
      </c>
      <c r="M216" s="1">
        <v>0</v>
      </c>
      <c r="N216" s="1" t="s">
        <v>1821</v>
      </c>
      <c r="O216" s="1" t="s">
        <v>18</v>
      </c>
      <c r="P216" s="1" t="s">
        <v>18</v>
      </c>
      <c r="Q216" s="22" t="s">
        <v>18</v>
      </c>
      <c r="R216" s="8">
        <v>85.460403120936277</v>
      </c>
      <c r="S216" s="9"/>
      <c r="T216" s="8">
        <v>78.859115734720419</v>
      </c>
      <c r="U216" s="9"/>
      <c r="V216" s="8">
        <v>73.628516514954484</v>
      </c>
      <c r="W216" s="8"/>
      <c r="X216" s="8"/>
    </row>
    <row r="217" spans="1:24" x14ac:dyDescent="0.3">
      <c r="A217" s="1" t="s">
        <v>116</v>
      </c>
      <c r="B217" s="1" t="s">
        <v>117</v>
      </c>
      <c r="C217" s="1" t="s">
        <v>1586</v>
      </c>
      <c r="D217" s="1" t="s">
        <v>14</v>
      </c>
      <c r="E217" s="1" t="s">
        <v>17</v>
      </c>
      <c r="F217" s="1">
        <v>1999</v>
      </c>
      <c r="J217" s="6">
        <v>19096</v>
      </c>
      <c r="K217" s="6">
        <v>9096</v>
      </c>
      <c r="L217" s="21">
        <v>0.4763301214914118</v>
      </c>
      <c r="M217" s="1">
        <v>0</v>
      </c>
      <c r="N217" s="1" t="s">
        <v>28</v>
      </c>
      <c r="O217" s="1" t="s">
        <v>18</v>
      </c>
      <c r="P217" s="1" t="s">
        <v>18</v>
      </c>
      <c r="Q217" s="22" t="s">
        <v>18</v>
      </c>
      <c r="R217" s="8">
        <v>67.676824989526594</v>
      </c>
      <c r="S217" s="9" t="s">
        <v>2657</v>
      </c>
      <c r="T217" s="8">
        <v>68.829058441558445</v>
      </c>
      <c r="U217" s="9" t="s">
        <v>2657</v>
      </c>
      <c r="V217" s="8">
        <v>71.671325408462494</v>
      </c>
      <c r="W217" s="8" t="s">
        <v>2657</v>
      </c>
      <c r="X217" s="8"/>
    </row>
    <row r="218" spans="1:24" x14ac:dyDescent="0.3">
      <c r="A218" s="1" t="s">
        <v>1435</v>
      </c>
      <c r="B218" s="1" t="s">
        <v>1436</v>
      </c>
      <c r="C218" s="1" t="s">
        <v>1586</v>
      </c>
      <c r="D218" s="1" t="s">
        <v>14</v>
      </c>
      <c r="E218" s="1" t="s">
        <v>17</v>
      </c>
      <c r="F218" s="1">
        <v>2014</v>
      </c>
      <c r="J218" s="6">
        <v>16377</v>
      </c>
      <c r="K218" s="6">
        <v>11180</v>
      </c>
      <c r="L218" s="21">
        <v>0.68266471270684492</v>
      </c>
      <c r="M218" s="1">
        <v>0</v>
      </c>
      <c r="N218" s="1" t="s">
        <v>1821</v>
      </c>
      <c r="O218" s="1" t="s">
        <v>18</v>
      </c>
      <c r="P218" s="1" t="s">
        <v>18</v>
      </c>
      <c r="Q218" s="22" t="s">
        <v>18</v>
      </c>
      <c r="R218" s="8">
        <v>68.841721927092863</v>
      </c>
      <c r="S218" s="9"/>
      <c r="T218" s="8">
        <v>72.240245466202595</v>
      </c>
      <c r="U218" s="9"/>
      <c r="V218" s="8">
        <v>71.161432496794291</v>
      </c>
      <c r="W218" s="8"/>
      <c r="X218" s="8"/>
    </row>
    <row r="219" spans="1:24" x14ac:dyDescent="0.3">
      <c r="A219" s="1" t="s">
        <v>2503</v>
      </c>
      <c r="B219" s="1" t="s">
        <v>2504</v>
      </c>
      <c r="C219" s="1" t="s">
        <v>1586</v>
      </c>
      <c r="D219" s="1" t="s">
        <v>14</v>
      </c>
      <c r="E219" s="1" t="s">
        <v>17</v>
      </c>
      <c r="F219" s="1">
        <v>2021</v>
      </c>
      <c r="J219" s="6">
        <v>19102</v>
      </c>
      <c r="K219" s="6">
        <v>16784</v>
      </c>
      <c r="L219" s="21">
        <v>0.87865145010993617</v>
      </c>
      <c r="M219" s="1">
        <v>0</v>
      </c>
      <c r="N219" s="1" t="s">
        <v>1821</v>
      </c>
      <c r="O219" s="1" t="s">
        <v>18</v>
      </c>
      <c r="P219" s="1" t="s">
        <v>18</v>
      </c>
      <c r="Q219" s="22" t="s">
        <v>18</v>
      </c>
      <c r="R219" s="8" t="s">
        <v>18</v>
      </c>
      <c r="S219" s="9"/>
      <c r="T219" s="8">
        <v>31.078368757198199</v>
      </c>
      <c r="U219" s="9"/>
      <c r="V219" s="8">
        <v>69.72086273688619</v>
      </c>
      <c r="W219" s="8"/>
      <c r="X219" s="8"/>
    </row>
    <row r="220" spans="1:24" x14ac:dyDescent="0.3">
      <c r="A220" s="1" t="s">
        <v>2007</v>
      </c>
      <c r="B220" s="1" t="s">
        <v>150</v>
      </c>
      <c r="C220" s="1" t="s">
        <v>1586</v>
      </c>
      <c r="D220" s="1" t="s">
        <v>14</v>
      </c>
      <c r="E220" s="1" t="s">
        <v>17</v>
      </c>
      <c r="F220" s="1">
        <v>2006</v>
      </c>
      <c r="G220" s="1" t="s">
        <v>19</v>
      </c>
      <c r="H220" s="1">
        <v>2022</v>
      </c>
      <c r="I220" s="1" t="s">
        <v>1818</v>
      </c>
      <c r="J220" s="6">
        <v>148466</v>
      </c>
      <c r="K220" s="6">
        <v>140000</v>
      </c>
      <c r="L220" s="21">
        <v>0.94297684318295094</v>
      </c>
      <c r="M220" s="1">
        <v>0</v>
      </c>
      <c r="N220" s="1" t="s">
        <v>1821</v>
      </c>
      <c r="O220" s="1" t="s">
        <v>18</v>
      </c>
      <c r="P220" s="1" t="s">
        <v>18</v>
      </c>
      <c r="Q220" s="22" t="s">
        <v>18</v>
      </c>
      <c r="R220" s="8">
        <v>186.9554510797085</v>
      </c>
      <c r="S220" s="9"/>
      <c r="T220" s="8">
        <v>138.74708013956058</v>
      </c>
      <c r="U220" s="9"/>
      <c r="V220" s="8">
        <v>69.669917691592687</v>
      </c>
      <c r="W220" s="8"/>
      <c r="X220" s="8"/>
    </row>
    <row r="221" spans="1:24" x14ac:dyDescent="0.3">
      <c r="A221" s="1" t="s">
        <v>2085</v>
      </c>
      <c r="B221" s="1" t="s">
        <v>1562</v>
      </c>
      <c r="C221" s="1" t="s">
        <v>1586</v>
      </c>
      <c r="D221" s="1" t="s">
        <v>14</v>
      </c>
      <c r="E221" s="1" t="s">
        <v>17</v>
      </c>
      <c r="F221" s="1">
        <v>2007</v>
      </c>
      <c r="J221" s="6">
        <v>18500</v>
      </c>
      <c r="K221" s="6">
        <v>18000</v>
      </c>
      <c r="L221" s="21">
        <v>0.97297297297297303</v>
      </c>
      <c r="M221" s="1">
        <v>0</v>
      </c>
      <c r="N221" s="1" t="s">
        <v>1821</v>
      </c>
      <c r="O221" s="1" t="s">
        <v>18</v>
      </c>
      <c r="P221" s="1" t="s">
        <v>18</v>
      </c>
      <c r="Q221" s="22" t="s">
        <v>18</v>
      </c>
      <c r="R221" s="8">
        <v>76.705804324324319</v>
      </c>
      <c r="S221" s="9"/>
      <c r="T221" s="8">
        <v>65.978946486486478</v>
      </c>
      <c r="U221" s="9"/>
      <c r="V221" s="8">
        <v>68.855042162162164</v>
      </c>
      <c r="W221" s="8"/>
      <c r="X221" s="8"/>
    </row>
    <row r="222" spans="1:24" x14ac:dyDescent="0.3">
      <c r="A222" s="1" t="s">
        <v>2415</v>
      </c>
      <c r="B222" s="1" t="s">
        <v>731</v>
      </c>
      <c r="C222" s="1" t="s">
        <v>1586</v>
      </c>
      <c r="D222" s="1" t="s">
        <v>14</v>
      </c>
      <c r="E222" s="1" t="s">
        <v>17</v>
      </c>
      <c r="F222" s="1">
        <v>2020</v>
      </c>
      <c r="G222" s="1" t="s">
        <v>19</v>
      </c>
      <c r="H222" s="1">
        <v>2021</v>
      </c>
      <c r="I222" s="1" t="s">
        <v>1602</v>
      </c>
      <c r="J222" s="6">
        <v>22085</v>
      </c>
      <c r="K222" s="6">
        <v>11905</v>
      </c>
      <c r="L222" s="21">
        <v>0.53905365632782432</v>
      </c>
      <c r="M222" s="1">
        <v>0</v>
      </c>
      <c r="N222" s="1" t="s">
        <v>1589</v>
      </c>
      <c r="O222" s="1">
        <v>3</v>
      </c>
      <c r="P222" s="1">
        <v>0.56000000000000005</v>
      </c>
      <c r="Q222" s="22">
        <v>44539</v>
      </c>
      <c r="R222" s="8">
        <v>57.388453701607425</v>
      </c>
      <c r="S222" s="9" t="s">
        <v>2657</v>
      </c>
      <c r="T222" s="8">
        <v>69.030095087163232</v>
      </c>
      <c r="U222" s="9" t="s">
        <v>2657</v>
      </c>
      <c r="V222" s="8">
        <v>63.736701381027849</v>
      </c>
      <c r="W222" s="8" t="s">
        <v>2657</v>
      </c>
      <c r="X222" s="8"/>
    </row>
    <row r="223" spans="1:24" x14ac:dyDescent="0.3">
      <c r="A223" s="1" t="s">
        <v>2443</v>
      </c>
      <c r="B223" s="1" t="s">
        <v>2444</v>
      </c>
      <c r="C223" s="1" t="s">
        <v>1586</v>
      </c>
      <c r="D223" s="1" t="s">
        <v>14</v>
      </c>
      <c r="E223" s="1" t="s">
        <v>17</v>
      </c>
      <c r="F223" s="1">
        <v>2018</v>
      </c>
      <c r="G223" s="1" t="s">
        <v>19</v>
      </c>
      <c r="H223" s="1">
        <v>2022</v>
      </c>
      <c r="I223" s="1" t="s">
        <v>1818</v>
      </c>
      <c r="J223" s="6">
        <v>39500</v>
      </c>
      <c r="K223" s="6">
        <v>16035</v>
      </c>
      <c r="L223" s="21">
        <v>0.40594936708860757</v>
      </c>
      <c r="M223" s="1">
        <v>0</v>
      </c>
      <c r="N223" s="1" t="s">
        <v>1821</v>
      </c>
      <c r="O223" s="1" t="s">
        <v>18</v>
      </c>
      <c r="P223" s="1" t="s">
        <v>18</v>
      </c>
      <c r="Q223" s="22" t="s">
        <v>18</v>
      </c>
      <c r="R223" s="8">
        <v>53.290293670886079</v>
      </c>
      <c r="S223" s="9"/>
      <c r="T223" s="8">
        <v>54.689286075949362</v>
      </c>
      <c r="U223" s="9"/>
      <c r="V223" s="8">
        <v>62.387091139240511</v>
      </c>
      <c r="W223" s="8"/>
      <c r="X223" s="8"/>
    </row>
    <row r="224" spans="1:24" x14ac:dyDescent="0.3">
      <c r="A224" s="1" t="s">
        <v>2539</v>
      </c>
      <c r="B224" s="1" t="s">
        <v>1271</v>
      </c>
      <c r="C224" s="1" t="s">
        <v>1586</v>
      </c>
      <c r="D224" s="1" t="s">
        <v>14</v>
      </c>
      <c r="E224" s="1" t="s">
        <v>17</v>
      </c>
      <c r="F224" s="1">
        <v>2002</v>
      </c>
      <c r="G224" s="1" t="s">
        <v>19</v>
      </c>
      <c r="H224" s="1">
        <v>2020</v>
      </c>
      <c r="I224" s="1" t="s">
        <v>1601</v>
      </c>
      <c r="J224" s="6">
        <v>26248</v>
      </c>
      <c r="K224" s="6">
        <v>21823</v>
      </c>
      <c r="L224" s="21">
        <v>0.83141572691252663</v>
      </c>
      <c r="M224" s="1">
        <v>0</v>
      </c>
      <c r="N224" s="1" t="s">
        <v>1589</v>
      </c>
      <c r="O224" s="1">
        <v>5</v>
      </c>
      <c r="P224" s="1" t="s">
        <v>18</v>
      </c>
      <c r="Q224" s="22" t="s">
        <v>18</v>
      </c>
      <c r="R224" s="8">
        <v>65.2726310576044</v>
      </c>
      <c r="S224" s="9" t="s">
        <v>2657</v>
      </c>
      <c r="T224" s="8">
        <v>65.987356370009138</v>
      </c>
      <c r="U224" s="9" t="s">
        <v>2657</v>
      </c>
      <c r="V224" s="8">
        <v>62.203838768668092</v>
      </c>
      <c r="W224" s="8" t="s">
        <v>2657</v>
      </c>
      <c r="X224" s="8"/>
    </row>
    <row r="225" spans="1:24" x14ac:dyDescent="0.3">
      <c r="A225" s="1" t="s">
        <v>2188</v>
      </c>
      <c r="B225" s="1" t="s">
        <v>597</v>
      </c>
      <c r="C225" s="1" t="s">
        <v>1586</v>
      </c>
      <c r="D225" s="1" t="s">
        <v>14</v>
      </c>
      <c r="E225" s="1" t="s">
        <v>17</v>
      </c>
      <c r="F225" s="1">
        <v>1978</v>
      </c>
      <c r="G225" s="1" t="s">
        <v>47</v>
      </c>
      <c r="H225" s="1">
        <v>2017</v>
      </c>
      <c r="I225" s="1" t="s">
        <v>1598</v>
      </c>
      <c r="J225" s="6">
        <v>20916</v>
      </c>
      <c r="K225" s="6">
        <v>14101</v>
      </c>
      <c r="L225" s="21">
        <v>0.67417288200420733</v>
      </c>
      <c r="M225" s="1">
        <v>0</v>
      </c>
      <c r="N225" s="1" t="s">
        <v>28</v>
      </c>
      <c r="O225" s="1" t="s">
        <v>18</v>
      </c>
      <c r="P225" s="1" t="s">
        <v>18</v>
      </c>
      <c r="Q225" s="22" t="s">
        <v>18</v>
      </c>
      <c r="R225" s="8">
        <v>51.812814113597248</v>
      </c>
      <c r="S225" s="9" t="s">
        <v>2657</v>
      </c>
      <c r="T225" s="8">
        <v>48.306804360298337</v>
      </c>
      <c r="U225" s="9" t="s">
        <v>2657</v>
      </c>
      <c r="V225" s="8">
        <v>56.758608720596676</v>
      </c>
      <c r="W225" s="8" t="s">
        <v>2657</v>
      </c>
      <c r="X225" s="8"/>
    </row>
    <row r="226" spans="1:24" x14ac:dyDescent="0.3">
      <c r="A226" s="1" t="s">
        <v>2206</v>
      </c>
      <c r="B226" s="1" t="s">
        <v>1280</v>
      </c>
      <c r="C226" s="1" t="s">
        <v>1586</v>
      </c>
      <c r="D226" s="1" t="s">
        <v>14</v>
      </c>
      <c r="E226" s="1" t="s">
        <v>17</v>
      </c>
      <c r="F226" s="1">
        <v>2003</v>
      </c>
      <c r="G226" s="1" t="s">
        <v>21</v>
      </c>
      <c r="H226" s="1">
        <v>2022</v>
      </c>
      <c r="I226" s="1" t="s">
        <v>1601</v>
      </c>
      <c r="J226" s="6">
        <v>16259</v>
      </c>
      <c r="K226" s="6">
        <v>15500</v>
      </c>
      <c r="L226" s="21">
        <v>0.95331816224860078</v>
      </c>
      <c r="M226" s="1">
        <v>0</v>
      </c>
      <c r="N226" s="1" t="s">
        <v>1821</v>
      </c>
      <c r="O226" s="1" t="s">
        <v>18</v>
      </c>
      <c r="P226" s="1" t="s">
        <v>18</v>
      </c>
      <c r="Q226" s="22" t="s">
        <v>18</v>
      </c>
      <c r="R226" s="8">
        <v>56.469148779137711</v>
      </c>
      <c r="S226" s="9"/>
      <c r="T226" s="8">
        <v>52.155671320499422</v>
      </c>
      <c r="U226" s="9"/>
      <c r="V226" s="8">
        <v>50.973583246202104</v>
      </c>
      <c r="W226" s="8"/>
      <c r="X226" s="8"/>
    </row>
    <row r="227" spans="1:24" x14ac:dyDescent="0.3">
      <c r="A227" s="1" t="s">
        <v>548</v>
      </c>
      <c r="B227" s="1" t="s">
        <v>549</v>
      </c>
      <c r="C227" s="1" t="s">
        <v>1586</v>
      </c>
      <c r="D227" s="1" t="s">
        <v>14</v>
      </c>
      <c r="E227" s="1" t="s">
        <v>17</v>
      </c>
      <c r="F227" s="1">
        <v>2015</v>
      </c>
      <c r="G227" s="1" t="s">
        <v>25</v>
      </c>
      <c r="H227" s="1">
        <v>2016</v>
      </c>
      <c r="I227" s="1" t="s">
        <v>1598</v>
      </c>
      <c r="J227" s="6">
        <v>15990</v>
      </c>
      <c r="K227" s="6">
        <v>13141</v>
      </c>
      <c r="L227" s="21">
        <v>0.82182614133833642</v>
      </c>
      <c r="M227" s="1">
        <v>0</v>
      </c>
      <c r="N227" s="1" t="s">
        <v>1821</v>
      </c>
      <c r="O227" s="1" t="s">
        <v>18</v>
      </c>
      <c r="P227" s="1" t="s">
        <v>18</v>
      </c>
      <c r="Q227" s="22" t="s">
        <v>18</v>
      </c>
      <c r="R227" s="8">
        <v>37.414474671669794</v>
      </c>
      <c r="S227" s="9"/>
      <c r="T227" s="8">
        <v>45.861412132582863</v>
      </c>
      <c r="U227" s="9"/>
      <c r="V227" s="8">
        <v>40.951581613508445</v>
      </c>
      <c r="W227" s="8"/>
      <c r="X227" s="8"/>
    </row>
    <row r="228" spans="1:24" x14ac:dyDescent="0.3">
      <c r="A228" s="1" t="s">
        <v>167</v>
      </c>
      <c r="B228" s="1" t="s">
        <v>168</v>
      </c>
      <c r="C228" s="1" t="s">
        <v>1586</v>
      </c>
      <c r="D228" s="1" t="s">
        <v>14</v>
      </c>
      <c r="E228" s="1" t="s">
        <v>17</v>
      </c>
      <c r="F228" s="1">
        <v>1994</v>
      </c>
      <c r="G228" s="1" t="s">
        <v>19</v>
      </c>
      <c r="H228" s="1">
        <v>2022</v>
      </c>
      <c r="I228" s="1" t="s">
        <v>1875</v>
      </c>
      <c r="J228" s="6">
        <v>46217.52</v>
      </c>
      <c r="K228" s="6">
        <v>18758</v>
      </c>
      <c r="L228" s="21">
        <v>0.40586340418092537</v>
      </c>
      <c r="M228" s="1">
        <v>0</v>
      </c>
      <c r="N228" s="1" t="s">
        <v>1589</v>
      </c>
      <c r="O228" s="1">
        <v>3</v>
      </c>
      <c r="P228" s="1" t="s">
        <v>18</v>
      </c>
      <c r="Q228" s="22" t="s">
        <v>18</v>
      </c>
      <c r="R228" s="8">
        <v>37.803363529674471</v>
      </c>
      <c r="S228" s="9" t="s">
        <v>2657</v>
      </c>
      <c r="T228" s="8">
        <v>39.004127655486492</v>
      </c>
      <c r="U228" s="9" t="s">
        <v>2657</v>
      </c>
      <c r="V228" s="8">
        <v>39.996559746174185</v>
      </c>
      <c r="W228" s="8" t="s">
        <v>2657</v>
      </c>
      <c r="X228" s="8"/>
    </row>
    <row r="229" spans="1:24" x14ac:dyDescent="0.3">
      <c r="A229" s="1" t="s">
        <v>2207</v>
      </c>
      <c r="B229" s="1" t="s">
        <v>1281</v>
      </c>
      <c r="C229" s="1" t="s">
        <v>1586</v>
      </c>
      <c r="D229" s="1" t="s">
        <v>14</v>
      </c>
      <c r="E229" s="1" t="s">
        <v>17</v>
      </c>
      <c r="F229" s="1">
        <v>2003</v>
      </c>
      <c r="G229" s="1" t="s">
        <v>25</v>
      </c>
      <c r="H229" s="1">
        <v>2022</v>
      </c>
      <c r="I229" s="1" t="s">
        <v>1597</v>
      </c>
      <c r="J229" s="6">
        <v>19040</v>
      </c>
      <c r="K229" s="6">
        <v>14000</v>
      </c>
      <c r="L229" s="21">
        <v>0.73529411764705888</v>
      </c>
      <c r="M229" s="1">
        <v>0</v>
      </c>
      <c r="N229" s="1" t="s">
        <v>1821</v>
      </c>
      <c r="O229" s="1" t="s">
        <v>18</v>
      </c>
      <c r="P229" s="1" t="s">
        <v>18</v>
      </c>
      <c r="Q229" s="22" t="s">
        <v>18</v>
      </c>
      <c r="R229" s="8">
        <v>33.62480829831933</v>
      </c>
      <c r="S229" s="9"/>
      <c r="T229" s="8">
        <v>43.10006302521009</v>
      </c>
      <c r="U229" s="9"/>
      <c r="V229" s="8">
        <v>39.210755252100839</v>
      </c>
      <c r="W229" s="8"/>
      <c r="X229" s="8"/>
    </row>
    <row r="230" spans="1:24" x14ac:dyDescent="0.3">
      <c r="A230" s="1" t="s">
        <v>1010</v>
      </c>
      <c r="B230" s="1" t="s">
        <v>2152</v>
      </c>
      <c r="C230" s="1" t="s">
        <v>1586</v>
      </c>
      <c r="D230" s="1" t="s">
        <v>14</v>
      </c>
      <c r="E230" s="1" t="s">
        <v>17</v>
      </c>
      <c r="F230" s="1">
        <v>2000</v>
      </c>
      <c r="G230" s="1" t="s">
        <v>19</v>
      </c>
      <c r="H230" s="1">
        <v>2014</v>
      </c>
      <c r="I230" s="1" t="s">
        <v>1601</v>
      </c>
      <c r="J230" s="6">
        <v>20642</v>
      </c>
      <c r="K230" s="6">
        <v>5300</v>
      </c>
      <c r="L230" s="21">
        <v>0.25675806607886831</v>
      </c>
      <c r="M230" s="1">
        <v>0</v>
      </c>
      <c r="N230" s="1" t="s">
        <v>28</v>
      </c>
      <c r="O230" s="1" t="s">
        <v>18</v>
      </c>
      <c r="P230" s="1" t="s">
        <v>18</v>
      </c>
      <c r="Q230" s="22" t="s">
        <v>18</v>
      </c>
      <c r="R230" s="8">
        <v>53.525284371669407</v>
      </c>
      <c r="S230" s="9" t="s">
        <v>2657</v>
      </c>
      <c r="T230" s="8">
        <v>34.921141846720275</v>
      </c>
      <c r="U230" s="9" t="s">
        <v>2657</v>
      </c>
      <c r="V230" s="8">
        <v>38.274605173917259</v>
      </c>
      <c r="W230" s="8" t="s">
        <v>2657</v>
      </c>
      <c r="X230" s="8"/>
    </row>
    <row r="231" spans="1:24" x14ac:dyDescent="0.3">
      <c r="A231" s="1" t="s">
        <v>2534</v>
      </c>
      <c r="B231" s="1" t="s">
        <v>2535</v>
      </c>
      <c r="C231" s="1" t="s">
        <v>1586</v>
      </c>
      <c r="D231" s="1" t="s">
        <v>14</v>
      </c>
      <c r="E231" s="1" t="s">
        <v>17</v>
      </c>
      <c r="F231" s="1">
        <v>2022</v>
      </c>
      <c r="J231" s="6">
        <v>16300</v>
      </c>
      <c r="K231" s="6">
        <v>5670</v>
      </c>
      <c r="L231" s="21">
        <v>0.34785276073619631</v>
      </c>
      <c r="M231" s="1">
        <v>0</v>
      </c>
      <c r="N231" s="1" t="s">
        <v>28</v>
      </c>
      <c r="O231" s="1" t="s">
        <v>18</v>
      </c>
      <c r="P231" s="1" t="s">
        <v>18</v>
      </c>
      <c r="Q231" s="22" t="s">
        <v>18</v>
      </c>
      <c r="R231" s="8" t="s">
        <v>18</v>
      </c>
      <c r="S231" s="9"/>
      <c r="T231" s="8" t="s">
        <v>18</v>
      </c>
      <c r="U231" s="9"/>
      <c r="V231" s="8">
        <v>36.996613496932518</v>
      </c>
      <c r="W231" s="8" t="s">
        <v>2657</v>
      </c>
      <c r="X231" s="8"/>
    </row>
    <row r="232" spans="1:24" x14ac:dyDescent="0.3">
      <c r="A232" s="1" t="s">
        <v>1983</v>
      </c>
      <c r="B232" s="1" t="s">
        <v>1984</v>
      </c>
      <c r="C232" s="1" t="s">
        <v>1586</v>
      </c>
      <c r="D232" s="1" t="s">
        <v>14</v>
      </c>
      <c r="E232" s="1" t="s">
        <v>17</v>
      </c>
      <c r="F232" s="1">
        <v>1998</v>
      </c>
      <c r="G232" s="1" t="s">
        <v>25</v>
      </c>
      <c r="H232" s="1">
        <v>2022</v>
      </c>
      <c r="I232" s="1" t="s">
        <v>1599</v>
      </c>
      <c r="J232" s="6">
        <v>2372</v>
      </c>
      <c r="K232" s="6">
        <v>0</v>
      </c>
      <c r="L232" s="21">
        <v>0</v>
      </c>
      <c r="M232" s="1">
        <v>0</v>
      </c>
      <c r="N232" s="1" t="s">
        <v>28</v>
      </c>
      <c r="O232" s="1" t="s">
        <v>18</v>
      </c>
      <c r="P232" s="1" t="s">
        <v>18</v>
      </c>
      <c r="Q232" s="22" t="s">
        <v>18</v>
      </c>
      <c r="R232" s="8">
        <v>24.311255208641004</v>
      </c>
      <c r="S232" s="9" t="s">
        <v>2657</v>
      </c>
      <c r="T232" s="8">
        <v>29.546806199930018</v>
      </c>
      <c r="U232" s="9" t="s">
        <v>2657</v>
      </c>
      <c r="V232" s="8">
        <v>35.210308678720565</v>
      </c>
      <c r="W232" s="8" t="s">
        <v>2657</v>
      </c>
      <c r="X232" s="8"/>
    </row>
    <row r="233" spans="1:24" x14ac:dyDescent="0.3">
      <c r="A233" s="1" t="s">
        <v>1797</v>
      </c>
      <c r="B233" s="1" t="s">
        <v>1798</v>
      </c>
      <c r="C233" s="1" t="s">
        <v>1586</v>
      </c>
      <c r="D233" s="1" t="s">
        <v>14</v>
      </c>
      <c r="E233" s="1" t="s">
        <v>17</v>
      </c>
      <c r="F233" s="1">
        <v>2000</v>
      </c>
      <c r="G233" s="1" t="s">
        <v>25</v>
      </c>
      <c r="H233" s="1">
        <v>2022</v>
      </c>
      <c r="I233" s="1" t="s">
        <v>1599</v>
      </c>
      <c r="J233" s="6">
        <v>91069</v>
      </c>
      <c r="K233" s="6">
        <v>8</v>
      </c>
      <c r="L233" s="21">
        <v>8.7845479801029985E-5</v>
      </c>
      <c r="M233" s="1">
        <v>0</v>
      </c>
      <c r="N233" s="1" t="s">
        <v>28</v>
      </c>
      <c r="O233" s="1" t="s">
        <v>18</v>
      </c>
      <c r="P233" s="1" t="s">
        <v>18</v>
      </c>
      <c r="Q233" s="22" t="s">
        <v>18</v>
      </c>
      <c r="R233" s="8">
        <v>32.553856416563264</v>
      </c>
      <c r="S233" s="9" t="s">
        <v>2657</v>
      </c>
      <c r="T233" s="8">
        <v>27.471991347220236</v>
      </c>
      <c r="U233" s="9" t="s">
        <v>2657</v>
      </c>
      <c r="V233" s="8">
        <v>25.549601401135401</v>
      </c>
      <c r="W233" s="8" t="s">
        <v>2657</v>
      </c>
      <c r="X233" s="8"/>
    </row>
    <row r="234" spans="1:24" x14ac:dyDescent="0.3">
      <c r="A234" s="1" t="s">
        <v>1313</v>
      </c>
      <c r="B234" s="1" t="s">
        <v>1921</v>
      </c>
      <c r="C234" s="1" t="s">
        <v>1586</v>
      </c>
      <c r="D234" s="1" t="s">
        <v>14</v>
      </c>
      <c r="E234" s="1" t="s">
        <v>17</v>
      </c>
      <c r="F234" s="1">
        <v>1986</v>
      </c>
      <c r="G234" s="1" t="s">
        <v>19</v>
      </c>
      <c r="H234" s="1">
        <v>2020</v>
      </c>
      <c r="I234" s="1" t="s">
        <v>1601</v>
      </c>
      <c r="J234" s="6">
        <v>56369</v>
      </c>
      <c r="K234" s="6">
        <v>64356</v>
      </c>
      <c r="L234" s="21">
        <v>1.1416913551774912</v>
      </c>
      <c r="M234" s="1">
        <v>0</v>
      </c>
      <c r="N234" s="1" t="s">
        <v>1589</v>
      </c>
      <c r="O234" s="1">
        <v>20</v>
      </c>
      <c r="P234" s="1" t="s">
        <v>18</v>
      </c>
      <c r="Q234" s="22" t="s">
        <v>18</v>
      </c>
      <c r="R234" s="8">
        <v>284.66703329844415</v>
      </c>
      <c r="S234" s="9" t="s">
        <v>2654</v>
      </c>
      <c r="T234" s="8">
        <v>72.638258617325121</v>
      </c>
      <c r="U234" s="9" t="s">
        <v>2657</v>
      </c>
      <c r="V234" s="8">
        <v>1.0427717362380031</v>
      </c>
      <c r="W234" s="8" t="s">
        <v>2657</v>
      </c>
      <c r="X234" s="8"/>
    </row>
    <row r="235" spans="1:24" x14ac:dyDescent="0.3">
      <c r="A235" s="1" t="s">
        <v>2322</v>
      </c>
      <c r="B235" s="1" t="s">
        <v>1535</v>
      </c>
      <c r="C235" s="1" t="s">
        <v>1586</v>
      </c>
      <c r="D235" s="1" t="s">
        <v>14</v>
      </c>
      <c r="E235" s="1" t="s">
        <v>17</v>
      </c>
      <c r="F235" s="1">
        <v>2009</v>
      </c>
      <c r="G235" s="1" t="s">
        <v>19</v>
      </c>
      <c r="H235" s="1">
        <v>2021</v>
      </c>
      <c r="I235" s="1" t="s">
        <v>1597</v>
      </c>
      <c r="J235" s="6">
        <v>33599</v>
      </c>
      <c r="K235" s="6">
        <v>2601</v>
      </c>
      <c r="L235" s="21">
        <v>7.7413018244590612E-2</v>
      </c>
      <c r="M235" s="1">
        <v>0</v>
      </c>
      <c r="N235" s="1" t="s">
        <v>1589</v>
      </c>
      <c r="O235" s="1">
        <v>14</v>
      </c>
      <c r="P235" s="1">
        <v>0.64</v>
      </c>
      <c r="Q235" s="22">
        <v>44328</v>
      </c>
      <c r="R235" s="8">
        <v>0</v>
      </c>
      <c r="S235" s="9"/>
      <c r="T235" s="8">
        <v>0</v>
      </c>
      <c r="U235" s="9"/>
      <c r="V235" s="8">
        <v>0</v>
      </c>
      <c r="W235" s="8"/>
      <c r="X235" s="8"/>
    </row>
    <row r="236" spans="1:24" x14ac:dyDescent="0.3">
      <c r="A236" s="1" t="s">
        <v>1456</v>
      </c>
      <c r="B236" s="1" t="s">
        <v>1457</v>
      </c>
      <c r="C236" s="1" t="s">
        <v>1586</v>
      </c>
      <c r="D236" s="1" t="s">
        <v>14</v>
      </c>
      <c r="E236" s="1" t="s">
        <v>1588</v>
      </c>
      <c r="F236" s="1">
        <v>1997</v>
      </c>
      <c r="J236" s="6">
        <v>8905</v>
      </c>
      <c r="K236" s="6">
        <v>8904</v>
      </c>
      <c r="L236" s="21">
        <v>0.99988770353733858</v>
      </c>
      <c r="M236" s="1">
        <v>0</v>
      </c>
      <c r="N236" s="1" t="s">
        <v>1589</v>
      </c>
      <c r="O236" s="1">
        <v>25</v>
      </c>
      <c r="P236" s="1">
        <v>1.18</v>
      </c>
      <c r="Q236" s="22">
        <v>43348</v>
      </c>
      <c r="R236" s="8">
        <v>1508.8210443571029</v>
      </c>
      <c r="S236" s="9" t="s">
        <v>2654</v>
      </c>
      <c r="T236" s="8">
        <v>1515.5967209432904</v>
      </c>
      <c r="U236" s="9" t="s">
        <v>2654</v>
      </c>
      <c r="V236" s="8">
        <v>1528.2336889387984</v>
      </c>
      <c r="W236" s="8" t="s">
        <v>2654</v>
      </c>
      <c r="X236" s="8" t="s">
        <v>1773</v>
      </c>
    </row>
    <row r="237" spans="1:24" x14ac:dyDescent="0.3">
      <c r="A237" s="1" t="s">
        <v>1890</v>
      </c>
      <c r="B237" s="1" t="s">
        <v>318</v>
      </c>
      <c r="C237" s="1" t="s">
        <v>1586</v>
      </c>
      <c r="D237" s="1" t="s">
        <v>14</v>
      </c>
      <c r="E237" s="1" t="s">
        <v>1588</v>
      </c>
      <c r="F237" s="1">
        <v>1997</v>
      </c>
      <c r="J237" s="6">
        <v>11816</v>
      </c>
      <c r="K237" s="6">
        <v>11816</v>
      </c>
      <c r="L237" s="21">
        <v>1</v>
      </c>
      <c r="M237" s="1">
        <v>0</v>
      </c>
      <c r="N237" s="1" t="s">
        <v>1589</v>
      </c>
      <c r="O237" s="1">
        <v>26</v>
      </c>
      <c r="P237" s="1" t="s">
        <v>18</v>
      </c>
      <c r="Q237" s="22" t="s">
        <v>18</v>
      </c>
      <c r="R237" s="8">
        <v>1221.8770311442113</v>
      </c>
      <c r="S237" s="9" t="s">
        <v>2654</v>
      </c>
      <c r="T237" s="8">
        <v>1312.2011255924172</v>
      </c>
      <c r="U237" s="9" t="s">
        <v>2654</v>
      </c>
      <c r="V237" s="8">
        <v>1292.4828622207176</v>
      </c>
      <c r="W237" s="8" t="s">
        <v>2654</v>
      </c>
      <c r="X237" s="8" t="s">
        <v>1773</v>
      </c>
    </row>
    <row r="238" spans="1:24" x14ac:dyDescent="0.3">
      <c r="A238" s="1" t="s">
        <v>1258</v>
      </c>
      <c r="B238" s="1" t="s">
        <v>1259</v>
      </c>
      <c r="C238" s="1" t="s">
        <v>1586</v>
      </c>
      <c r="D238" s="1" t="s">
        <v>14</v>
      </c>
      <c r="E238" s="1" t="s">
        <v>1588</v>
      </c>
      <c r="F238" s="1">
        <v>1999</v>
      </c>
      <c r="G238" s="1" t="s">
        <v>25</v>
      </c>
      <c r="H238" s="1">
        <v>2023</v>
      </c>
      <c r="I238" s="1" t="s">
        <v>1783</v>
      </c>
      <c r="J238" s="6">
        <v>11686</v>
      </c>
      <c r="K238" s="6">
        <v>11683</v>
      </c>
      <c r="L238" s="21">
        <v>0.99974328256032863</v>
      </c>
      <c r="M238" s="1">
        <v>0</v>
      </c>
      <c r="N238" s="1" t="s">
        <v>28</v>
      </c>
      <c r="O238" s="1" t="s">
        <v>18</v>
      </c>
      <c r="P238" s="1" t="s">
        <v>18</v>
      </c>
      <c r="Q238" s="22" t="s">
        <v>18</v>
      </c>
      <c r="R238" s="8">
        <v>946.61479804894759</v>
      </c>
      <c r="S238" s="9" t="s">
        <v>2654</v>
      </c>
      <c r="T238" s="8">
        <v>958.52610217354095</v>
      </c>
      <c r="U238" s="9" t="s">
        <v>2654</v>
      </c>
      <c r="V238" s="8">
        <v>1007.7821376005477</v>
      </c>
      <c r="W238" s="8" t="s">
        <v>2654</v>
      </c>
      <c r="X238" s="8" t="s">
        <v>1773</v>
      </c>
    </row>
    <row r="239" spans="1:24" x14ac:dyDescent="0.3">
      <c r="A239" s="1" t="s">
        <v>1778</v>
      </c>
      <c r="B239" s="1" t="s">
        <v>205</v>
      </c>
      <c r="C239" s="1" t="s">
        <v>1586</v>
      </c>
      <c r="D239" s="1" t="s">
        <v>14</v>
      </c>
      <c r="E239" s="1" t="s">
        <v>1588</v>
      </c>
      <c r="F239" s="1">
        <v>1995</v>
      </c>
      <c r="J239" s="6">
        <v>8288</v>
      </c>
      <c r="K239" s="6">
        <v>5942</v>
      </c>
      <c r="L239" s="21">
        <v>0.71694015444015446</v>
      </c>
      <c r="M239" s="1">
        <v>0</v>
      </c>
      <c r="N239" s="1" t="s">
        <v>1590</v>
      </c>
      <c r="O239" s="1" t="s">
        <v>18</v>
      </c>
      <c r="P239" s="1" t="s">
        <v>18</v>
      </c>
      <c r="Q239" s="22" t="s">
        <v>18</v>
      </c>
      <c r="R239" s="8">
        <v>1056.8227557915059</v>
      </c>
      <c r="S239" s="9" t="s">
        <v>2654</v>
      </c>
      <c r="T239" s="8">
        <v>1052.297689430502</v>
      </c>
      <c r="U239" s="9" t="s">
        <v>2654</v>
      </c>
      <c r="V239" s="8">
        <v>983.44230212355205</v>
      </c>
      <c r="W239" s="8" t="s">
        <v>2654</v>
      </c>
      <c r="X239" s="8" t="s">
        <v>1773</v>
      </c>
    </row>
    <row r="240" spans="1:24" x14ac:dyDescent="0.3">
      <c r="A240" s="1" t="s">
        <v>451</v>
      </c>
      <c r="B240" s="1" t="s">
        <v>452</v>
      </c>
      <c r="C240" s="1" t="s">
        <v>1586</v>
      </c>
      <c r="D240" s="1" t="s">
        <v>14</v>
      </c>
      <c r="E240" s="1" t="s">
        <v>1588</v>
      </c>
      <c r="F240" s="1">
        <v>1983</v>
      </c>
      <c r="J240" s="6">
        <v>12133</v>
      </c>
      <c r="K240" s="6">
        <v>8736</v>
      </c>
      <c r="L240" s="21">
        <v>0.72001978076320783</v>
      </c>
      <c r="M240" s="1">
        <v>0</v>
      </c>
      <c r="N240" s="1" t="s">
        <v>1589</v>
      </c>
      <c r="O240" s="1">
        <v>20</v>
      </c>
      <c r="P240" s="1">
        <v>1.3779999999999999</v>
      </c>
      <c r="Q240" s="22">
        <v>44834</v>
      </c>
      <c r="R240" s="8">
        <v>263.06255666364461</v>
      </c>
      <c r="S240" s="9" t="s">
        <v>2654</v>
      </c>
      <c r="T240" s="8">
        <v>186.04104508365614</v>
      </c>
      <c r="U240" s="9" t="s">
        <v>2655</v>
      </c>
      <c r="V240" s="8">
        <v>787.21173658616999</v>
      </c>
      <c r="W240" s="8" t="s">
        <v>2654</v>
      </c>
      <c r="X240" s="8"/>
    </row>
    <row r="241" spans="1:24" x14ac:dyDescent="0.3">
      <c r="A241" s="1" t="s">
        <v>613</v>
      </c>
      <c r="B241" s="1" t="s">
        <v>614</v>
      </c>
      <c r="C241" s="1" t="s">
        <v>1586</v>
      </c>
      <c r="D241" s="1" t="s">
        <v>14</v>
      </c>
      <c r="E241" s="1" t="s">
        <v>1588</v>
      </c>
      <c r="F241" s="1">
        <v>1997</v>
      </c>
      <c r="J241" s="6">
        <v>8213</v>
      </c>
      <c r="K241" s="6">
        <v>3413</v>
      </c>
      <c r="L241" s="21">
        <v>0.41556069645683674</v>
      </c>
      <c r="M241" s="1">
        <v>0</v>
      </c>
      <c r="N241" s="1" t="s">
        <v>1589</v>
      </c>
      <c r="O241" s="1">
        <v>2</v>
      </c>
      <c r="P241" s="1" t="s">
        <v>18</v>
      </c>
      <c r="Q241" s="22" t="s">
        <v>18</v>
      </c>
      <c r="R241" s="8">
        <v>926.21018507244617</v>
      </c>
      <c r="S241" s="9" t="s">
        <v>2654</v>
      </c>
      <c r="T241" s="8">
        <v>970.33553512723734</v>
      </c>
      <c r="U241" s="9" t="s">
        <v>2654</v>
      </c>
      <c r="V241" s="8">
        <v>733.09742237915498</v>
      </c>
      <c r="W241" s="8" t="s">
        <v>2654</v>
      </c>
      <c r="X241" s="8" t="s">
        <v>1773</v>
      </c>
    </row>
    <row r="242" spans="1:24" x14ac:dyDescent="0.3">
      <c r="A242" s="1" t="s">
        <v>1893</v>
      </c>
      <c r="B242" s="1" t="s">
        <v>317</v>
      </c>
      <c r="C242" s="1" t="s">
        <v>1586</v>
      </c>
      <c r="D242" s="1" t="s">
        <v>14</v>
      </c>
      <c r="E242" s="1" t="s">
        <v>1588</v>
      </c>
      <c r="F242" s="1">
        <v>2003</v>
      </c>
      <c r="G242" s="1" t="s">
        <v>25</v>
      </c>
      <c r="H242" s="1">
        <v>2019</v>
      </c>
      <c r="I242" s="1" t="s">
        <v>1600</v>
      </c>
      <c r="J242" s="6">
        <v>10960</v>
      </c>
      <c r="K242" s="6">
        <v>10960</v>
      </c>
      <c r="L242" s="21">
        <v>1</v>
      </c>
      <c r="M242" s="1">
        <v>0</v>
      </c>
      <c r="N242" s="1" t="s">
        <v>1589</v>
      </c>
      <c r="O242" s="1">
        <v>9</v>
      </c>
      <c r="P242" s="1">
        <v>0.6</v>
      </c>
      <c r="Q242" s="22">
        <v>43607</v>
      </c>
      <c r="R242" s="8">
        <v>805.5617244525547</v>
      </c>
      <c r="S242" s="9" t="s">
        <v>2654</v>
      </c>
      <c r="T242" s="8">
        <v>747.00843978102193</v>
      </c>
      <c r="U242" s="9" t="s">
        <v>2654</v>
      </c>
      <c r="V242" s="8">
        <v>731.16576186131385</v>
      </c>
      <c r="W242" s="8" t="s">
        <v>2654</v>
      </c>
      <c r="X242" s="8" t="s">
        <v>1773</v>
      </c>
    </row>
    <row r="243" spans="1:24" x14ac:dyDescent="0.3">
      <c r="A243" s="1" t="s">
        <v>144</v>
      </c>
      <c r="B243" s="1" t="s">
        <v>145</v>
      </c>
      <c r="C243" s="1" t="s">
        <v>1586</v>
      </c>
      <c r="D243" s="1" t="s">
        <v>14</v>
      </c>
      <c r="E243" s="1" t="s">
        <v>1588</v>
      </c>
      <c r="F243" s="1">
        <v>1997</v>
      </c>
      <c r="G243" s="1" t="s">
        <v>21</v>
      </c>
      <c r="H243" s="1">
        <v>2021</v>
      </c>
      <c r="I243" s="1" t="s">
        <v>1599</v>
      </c>
      <c r="J243" s="6">
        <v>8060</v>
      </c>
      <c r="K243" s="6">
        <v>6500</v>
      </c>
      <c r="L243" s="21">
        <v>0.80645161290322576</v>
      </c>
      <c r="M243" s="1">
        <v>0</v>
      </c>
      <c r="N243" s="1" t="s">
        <v>1589</v>
      </c>
      <c r="O243" s="1">
        <v>2020</v>
      </c>
      <c r="P243" s="1">
        <v>0.56599999999999995</v>
      </c>
      <c r="Q243" s="22">
        <v>43888</v>
      </c>
      <c r="R243" s="8">
        <v>654.72073449131517</v>
      </c>
      <c r="S243" s="9" t="s">
        <v>2654</v>
      </c>
      <c r="T243" s="8">
        <v>567.97196401985116</v>
      </c>
      <c r="U243" s="9" t="s">
        <v>2654</v>
      </c>
      <c r="V243" s="8">
        <v>506.44168734491313</v>
      </c>
      <c r="W243" s="8" t="s">
        <v>2654</v>
      </c>
      <c r="X243" s="8" t="s">
        <v>1773</v>
      </c>
    </row>
    <row r="244" spans="1:24" x14ac:dyDescent="0.3">
      <c r="A244" s="1" t="s">
        <v>525</v>
      </c>
      <c r="B244" s="1" t="s">
        <v>526</v>
      </c>
      <c r="C244" s="1" t="s">
        <v>1586</v>
      </c>
      <c r="D244" s="1" t="s">
        <v>14</v>
      </c>
      <c r="E244" s="1" t="s">
        <v>1588</v>
      </c>
      <c r="F244" s="1">
        <v>2001</v>
      </c>
      <c r="J244" s="6">
        <v>10555</v>
      </c>
      <c r="K244" s="6">
        <v>10552</v>
      </c>
      <c r="L244" s="21">
        <v>0.99971577451444815</v>
      </c>
      <c r="M244" s="1">
        <v>0</v>
      </c>
      <c r="N244" s="1" t="s">
        <v>28</v>
      </c>
      <c r="O244" s="1" t="s">
        <v>18</v>
      </c>
      <c r="P244" s="1" t="s">
        <v>18</v>
      </c>
      <c r="Q244" s="22" t="s">
        <v>18</v>
      </c>
      <c r="R244" s="8">
        <v>136.52317479867364</v>
      </c>
      <c r="S244" s="9" t="s">
        <v>2656</v>
      </c>
      <c r="T244" s="8">
        <v>397.42179346281387</v>
      </c>
      <c r="U244" s="9" t="s">
        <v>2654</v>
      </c>
      <c r="V244" s="8">
        <v>398.33542302226431</v>
      </c>
      <c r="W244" s="8" t="s">
        <v>2654</v>
      </c>
      <c r="X244" s="8"/>
    </row>
    <row r="245" spans="1:24" x14ac:dyDescent="0.3">
      <c r="A245" s="1" t="s">
        <v>2417</v>
      </c>
      <c r="B245" s="1" t="s">
        <v>652</v>
      </c>
      <c r="C245" s="1" t="s">
        <v>1586</v>
      </c>
      <c r="D245" s="1" t="s">
        <v>14</v>
      </c>
      <c r="E245" s="1" t="s">
        <v>1588</v>
      </c>
      <c r="F245" s="1">
        <v>1997</v>
      </c>
      <c r="J245" s="6">
        <v>8214</v>
      </c>
      <c r="K245" s="6">
        <v>5679</v>
      </c>
      <c r="L245" s="21">
        <v>0.69138056975894813</v>
      </c>
      <c r="M245" s="1">
        <v>0</v>
      </c>
      <c r="N245" s="1" t="s">
        <v>1590</v>
      </c>
      <c r="O245" s="1" t="s">
        <v>18</v>
      </c>
      <c r="P245" s="1" t="s">
        <v>18</v>
      </c>
      <c r="Q245" s="22" t="s">
        <v>18</v>
      </c>
      <c r="R245" s="8">
        <v>440.84401022644266</v>
      </c>
      <c r="S245" s="9" t="s">
        <v>2654</v>
      </c>
      <c r="T245" s="8">
        <v>422.72503652300952</v>
      </c>
      <c r="U245" s="9" t="s">
        <v>2654</v>
      </c>
      <c r="V245" s="8">
        <v>397.60390796201608</v>
      </c>
      <c r="W245" s="8" t="s">
        <v>2654</v>
      </c>
      <c r="X245" s="8"/>
    </row>
    <row r="246" spans="1:24" x14ac:dyDescent="0.3">
      <c r="A246" s="1" t="s">
        <v>1465</v>
      </c>
      <c r="B246" s="1" t="s">
        <v>1466</v>
      </c>
      <c r="C246" s="1" t="s">
        <v>1586</v>
      </c>
      <c r="D246" s="1" t="s">
        <v>14</v>
      </c>
      <c r="E246" s="1" t="s">
        <v>1588</v>
      </c>
      <c r="F246" s="1">
        <v>2000</v>
      </c>
      <c r="J246" s="6">
        <v>8724.5300000000007</v>
      </c>
      <c r="K246" s="6">
        <v>100</v>
      </c>
      <c r="L246" s="21">
        <v>1.1461935485349926E-2</v>
      </c>
      <c r="M246" s="1">
        <v>0</v>
      </c>
      <c r="N246" s="1" t="s">
        <v>28</v>
      </c>
      <c r="O246" s="1" t="s">
        <v>18</v>
      </c>
      <c r="P246" s="1" t="s">
        <v>18</v>
      </c>
      <c r="Q246" s="22" t="s">
        <v>18</v>
      </c>
      <c r="R246" s="8">
        <v>283.80390691532949</v>
      </c>
      <c r="S246" s="9" t="s">
        <v>2654</v>
      </c>
      <c r="T246" s="8">
        <v>277.37057927475746</v>
      </c>
      <c r="U246" s="9" t="s">
        <v>2654</v>
      </c>
      <c r="V246" s="8">
        <v>344.07889937910693</v>
      </c>
      <c r="W246" s="8" t="s">
        <v>2654</v>
      </c>
      <c r="X246" s="8"/>
    </row>
    <row r="247" spans="1:24" x14ac:dyDescent="0.3">
      <c r="A247" s="1" t="s">
        <v>293</v>
      </c>
      <c r="B247" s="1" t="s">
        <v>294</v>
      </c>
      <c r="C247" s="1" t="s">
        <v>1586</v>
      </c>
      <c r="D247" s="1" t="s">
        <v>14</v>
      </c>
      <c r="E247" s="1" t="s">
        <v>1588</v>
      </c>
      <c r="F247" s="1">
        <v>1986</v>
      </c>
      <c r="G247" s="1" t="s">
        <v>25</v>
      </c>
      <c r="H247" s="1">
        <v>2022</v>
      </c>
      <c r="I247" s="1" t="s">
        <v>1818</v>
      </c>
      <c r="J247" s="6">
        <v>11047</v>
      </c>
      <c r="K247" s="6">
        <v>8824</v>
      </c>
      <c r="L247" s="21">
        <v>0.79876889653299543</v>
      </c>
      <c r="M247" s="1">
        <v>0</v>
      </c>
      <c r="N247" s="1" t="s">
        <v>1589</v>
      </c>
      <c r="O247" s="1">
        <v>12</v>
      </c>
      <c r="P247" s="1">
        <v>0.69599999999999995</v>
      </c>
      <c r="Q247" s="22">
        <v>42528</v>
      </c>
      <c r="R247" s="8">
        <v>361.59347334117859</v>
      </c>
      <c r="S247" s="9" t="s">
        <v>2654</v>
      </c>
      <c r="T247" s="8">
        <v>344.620553091337</v>
      </c>
      <c r="U247" s="9" t="s">
        <v>2654</v>
      </c>
      <c r="V247" s="8">
        <v>325.84723273286863</v>
      </c>
      <c r="W247" s="8" t="s">
        <v>2654</v>
      </c>
      <c r="X247" s="8" t="s">
        <v>1773</v>
      </c>
    </row>
    <row r="248" spans="1:24" x14ac:dyDescent="0.3">
      <c r="A248" s="1" t="s">
        <v>2035</v>
      </c>
      <c r="B248" s="1" t="s">
        <v>2036</v>
      </c>
      <c r="C248" s="1" t="s">
        <v>1586</v>
      </c>
      <c r="D248" s="1" t="s">
        <v>14</v>
      </c>
      <c r="E248" s="1" t="s">
        <v>1588</v>
      </c>
      <c r="F248" s="1">
        <v>2011</v>
      </c>
      <c r="J248" s="6">
        <v>2181</v>
      </c>
      <c r="K248" s="6">
        <v>1486</v>
      </c>
      <c r="L248" s="21">
        <v>0.68133883539660711</v>
      </c>
      <c r="M248" s="1">
        <v>0</v>
      </c>
      <c r="N248" s="1" t="s">
        <v>28</v>
      </c>
      <c r="O248" s="1" t="s">
        <v>18</v>
      </c>
      <c r="P248" s="1" t="s">
        <v>18</v>
      </c>
      <c r="Q248" s="22" t="s">
        <v>18</v>
      </c>
      <c r="R248" s="8">
        <v>346.56835855112331</v>
      </c>
      <c r="S248" s="9" t="s">
        <v>2654</v>
      </c>
      <c r="T248" s="8">
        <v>317.69989454378725</v>
      </c>
      <c r="U248" s="9" t="s">
        <v>2654</v>
      </c>
      <c r="V248" s="8">
        <v>300.71985327831271</v>
      </c>
      <c r="W248" s="8" t="s">
        <v>2654</v>
      </c>
      <c r="X248" s="8"/>
    </row>
    <row r="249" spans="1:24" x14ac:dyDescent="0.3">
      <c r="A249" s="1" t="s">
        <v>764</v>
      </c>
      <c r="B249" s="1" t="s">
        <v>765</v>
      </c>
      <c r="C249" s="1" t="s">
        <v>1586</v>
      </c>
      <c r="D249" s="1" t="s">
        <v>14</v>
      </c>
      <c r="E249" s="1" t="s">
        <v>1588</v>
      </c>
      <c r="F249" s="1">
        <v>1992</v>
      </c>
      <c r="J249" s="6">
        <v>8760</v>
      </c>
      <c r="K249" s="6">
        <v>0</v>
      </c>
      <c r="L249" s="21">
        <v>0</v>
      </c>
      <c r="M249" s="1">
        <v>0</v>
      </c>
      <c r="N249" s="1" t="s">
        <v>28</v>
      </c>
      <c r="O249" s="1" t="s">
        <v>18</v>
      </c>
      <c r="P249" s="1" t="s">
        <v>18</v>
      </c>
      <c r="Q249" s="22" t="s">
        <v>18</v>
      </c>
      <c r="R249" s="8">
        <v>430.40304337899533</v>
      </c>
      <c r="S249" s="9" t="s">
        <v>2654</v>
      </c>
      <c r="T249" s="8">
        <v>277.7588287671233</v>
      </c>
      <c r="U249" s="9" t="s">
        <v>2654</v>
      </c>
      <c r="V249" s="8">
        <v>290.04740296803652</v>
      </c>
      <c r="W249" s="8" t="s">
        <v>2654</v>
      </c>
      <c r="X249" s="8"/>
    </row>
    <row r="250" spans="1:24" x14ac:dyDescent="0.3">
      <c r="A250" s="1" t="s">
        <v>1388</v>
      </c>
      <c r="B250" s="1" t="s">
        <v>1389</v>
      </c>
      <c r="C250" s="1" t="s">
        <v>1586</v>
      </c>
      <c r="D250" s="1" t="s">
        <v>14</v>
      </c>
      <c r="E250" s="1" t="s">
        <v>1588</v>
      </c>
      <c r="F250" s="1">
        <v>1998</v>
      </c>
      <c r="J250" s="6">
        <v>8908</v>
      </c>
      <c r="K250" s="6">
        <v>8907</v>
      </c>
      <c r="L250" s="21">
        <v>0.99988774135608438</v>
      </c>
      <c r="M250" s="1">
        <v>0</v>
      </c>
      <c r="N250" s="1" t="s">
        <v>1589</v>
      </c>
      <c r="O250" s="1">
        <v>5</v>
      </c>
      <c r="P250" s="1" t="s">
        <v>18</v>
      </c>
      <c r="Q250" s="22" t="s">
        <v>18</v>
      </c>
      <c r="R250" s="8">
        <v>265.09362370902562</v>
      </c>
      <c r="S250" s="9" t="s">
        <v>2654</v>
      </c>
      <c r="T250" s="8">
        <v>273.01206780422092</v>
      </c>
      <c r="U250" s="9" t="s">
        <v>2654</v>
      </c>
      <c r="V250" s="8">
        <v>277.61321284238886</v>
      </c>
      <c r="W250" s="8" t="s">
        <v>2654</v>
      </c>
      <c r="X250" s="8"/>
    </row>
    <row r="251" spans="1:24" x14ac:dyDescent="0.3">
      <c r="A251" s="1" t="s">
        <v>1774</v>
      </c>
      <c r="B251" s="1" t="s">
        <v>725</v>
      </c>
      <c r="C251" s="1" t="s">
        <v>1586</v>
      </c>
      <c r="D251" s="1" t="s">
        <v>14</v>
      </c>
      <c r="E251" s="1" t="s">
        <v>1588</v>
      </c>
      <c r="F251" s="1">
        <v>2004</v>
      </c>
      <c r="J251" s="6">
        <v>5680</v>
      </c>
      <c r="K251" s="6">
        <v>4202</v>
      </c>
      <c r="L251" s="21">
        <v>0.73978873239436616</v>
      </c>
      <c r="M251" s="1">
        <v>0</v>
      </c>
      <c r="N251" s="1" t="s">
        <v>28</v>
      </c>
      <c r="O251" s="1" t="s">
        <v>18</v>
      </c>
      <c r="P251" s="1" t="s">
        <v>18</v>
      </c>
      <c r="Q251" s="1" t="s">
        <v>18</v>
      </c>
      <c r="R251" s="8">
        <v>231.49383802816902</v>
      </c>
      <c r="S251" s="9" t="s">
        <v>2654</v>
      </c>
      <c r="T251" s="8">
        <v>246.97183098591549</v>
      </c>
      <c r="U251" s="9" t="s">
        <v>2654</v>
      </c>
      <c r="V251" s="8">
        <v>259.96742957746477</v>
      </c>
      <c r="W251" s="8" t="s">
        <v>2654</v>
      </c>
      <c r="X251" s="8"/>
    </row>
    <row r="252" spans="1:24" x14ac:dyDescent="0.3">
      <c r="A252" s="1" t="s">
        <v>2305</v>
      </c>
      <c r="B252" s="1" t="s">
        <v>1545</v>
      </c>
      <c r="C252" s="1" t="s">
        <v>1586</v>
      </c>
      <c r="D252" s="1" t="s">
        <v>14</v>
      </c>
      <c r="E252" s="1" t="s">
        <v>1588</v>
      </c>
      <c r="F252" s="1">
        <v>2009</v>
      </c>
      <c r="J252" s="6">
        <v>12875</v>
      </c>
      <c r="K252" s="6">
        <v>12763</v>
      </c>
      <c r="L252" s="21">
        <v>0.99130097087378644</v>
      </c>
      <c r="M252" s="1">
        <v>0</v>
      </c>
      <c r="N252" s="1" t="s">
        <v>1590</v>
      </c>
      <c r="O252" s="1" t="s">
        <v>18</v>
      </c>
      <c r="P252" s="1" t="s">
        <v>18</v>
      </c>
      <c r="Q252" s="22" t="s">
        <v>18</v>
      </c>
      <c r="R252" s="8">
        <v>273.33120000000002</v>
      </c>
      <c r="S252" s="9" t="s">
        <v>2654</v>
      </c>
      <c r="T252" s="8">
        <v>266.70848932038831</v>
      </c>
      <c r="U252" s="9" t="s">
        <v>2654</v>
      </c>
      <c r="V252" s="8">
        <v>259.69975922330099</v>
      </c>
      <c r="W252" s="8" t="s">
        <v>2654</v>
      </c>
      <c r="X252" s="8"/>
    </row>
    <row r="253" spans="1:24" x14ac:dyDescent="0.3">
      <c r="A253" s="1" t="s">
        <v>1299</v>
      </c>
      <c r="B253" s="1" t="s">
        <v>1300</v>
      </c>
      <c r="C253" s="1" t="s">
        <v>1586</v>
      </c>
      <c r="D253" s="1" t="s">
        <v>14</v>
      </c>
      <c r="E253" s="1" t="s">
        <v>1588</v>
      </c>
      <c r="F253" s="1">
        <v>1986</v>
      </c>
      <c r="G253" s="1" t="s">
        <v>25</v>
      </c>
      <c r="H253" s="1">
        <v>2019</v>
      </c>
      <c r="I253" s="1" t="s">
        <v>1601</v>
      </c>
      <c r="J253" s="6">
        <v>10678</v>
      </c>
      <c r="K253" s="6">
        <v>9000</v>
      </c>
      <c r="L253" s="21">
        <v>0.84285446712867573</v>
      </c>
      <c r="M253" s="1">
        <v>0</v>
      </c>
      <c r="N253" s="1" t="s">
        <v>1787</v>
      </c>
      <c r="O253" s="1" t="s">
        <v>18</v>
      </c>
      <c r="P253" s="1" t="s">
        <v>18</v>
      </c>
      <c r="Q253" s="22" t="s">
        <v>18</v>
      </c>
      <c r="R253" s="8">
        <v>211.89316913279643</v>
      </c>
      <c r="S253" s="9" t="s">
        <v>2655</v>
      </c>
      <c r="T253" s="8">
        <v>241.12633451957299</v>
      </c>
      <c r="U253" s="9" t="s">
        <v>2654</v>
      </c>
      <c r="V253" s="8">
        <v>257.26115471061996</v>
      </c>
      <c r="W253" s="8" t="s">
        <v>2654</v>
      </c>
      <c r="X253" s="8"/>
    </row>
    <row r="254" spans="1:24" x14ac:dyDescent="0.3">
      <c r="A254" s="1" t="s">
        <v>362</v>
      </c>
      <c r="B254" s="1" t="s">
        <v>2017</v>
      </c>
      <c r="C254" s="1" t="s">
        <v>1586</v>
      </c>
      <c r="D254" s="1" t="s">
        <v>14</v>
      </c>
      <c r="E254" s="1" t="s">
        <v>1588</v>
      </c>
      <c r="F254" s="1">
        <v>1990</v>
      </c>
      <c r="G254" s="1" t="s">
        <v>19</v>
      </c>
      <c r="H254" s="1">
        <v>2011</v>
      </c>
      <c r="I254" s="1" t="s">
        <v>1603</v>
      </c>
      <c r="J254" s="6">
        <v>12890</v>
      </c>
      <c r="K254" s="6">
        <v>9670</v>
      </c>
      <c r="L254" s="21">
        <v>0.75019394879751744</v>
      </c>
      <c r="M254" s="1">
        <v>0</v>
      </c>
      <c r="N254" s="1" t="s">
        <v>1589</v>
      </c>
      <c r="O254" s="1" t="s">
        <v>18</v>
      </c>
      <c r="P254" s="1">
        <v>0.7</v>
      </c>
      <c r="Q254" s="22">
        <v>44957</v>
      </c>
      <c r="R254" s="8">
        <v>282.87021567106285</v>
      </c>
      <c r="S254" s="9" t="s">
        <v>2654</v>
      </c>
      <c r="T254" s="8">
        <v>270.53065011636926</v>
      </c>
      <c r="U254" s="9" t="s">
        <v>2654</v>
      </c>
      <c r="V254" s="8">
        <v>257.17409231962762</v>
      </c>
      <c r="W254" s="8" t="s">
        <v>2654</v>
      </c>
      <c r="X254" s="8" t="s">
        <v>1773</v>
      </c>
    </row>
    <row r="255" spans="1:24" x14ac:dyDescent="0.3">
      <c r="A255" s="1" t="s">
        <v>406</v>
      </c>
      <c r="B255" s="1" t="s">
        <v>407</v>
      </c>
      <c r="C255" s="1" t="s">
        <v>1586</v>
      </c>
      <c r="D255" s="1" t="s">
        <v>14</v>
      </c>
      <c r="E255" s="1" t="s">
        <v>1588</v>
      </c>
      <c r="F255" s="1">
        <v>2001</v>
      </c>
      <c r="G255" s="1" t="s">
        <v>47</v>
      </c>
      <c r="H255" s="1">
        <v>2020</v>
      </c>
      <c r="I255" s="1" t="s">
        <v>1599</v>
      </c>
      <c r="J255" s="6">
        <v>14989</v>
      </c>
      <c r="K255" s="6">
        <v>14873</v>
      </c>
      <c r="L255" s="21">
        <v>0.99226099139368873</v>
      </c>
      <c r="M255" s="1">
        <v>0</v>
      </c>
      <c r="N255" s="1" t="s">
        <v>1589</v>
      </c>
      <c r="O255" s="1">
        <v>1</v>
      </c>
      <c r="P255" s="1" t="s">
        <v>18</v>
      </c>
      <c r="Q255" s="22" t="s">
        <v>18</v>
      </c>
      <c r="R255" s="8">
        <v>315.97618253385815</v>
      </c>
      <c r="S255" s="9" t="s">
        <v>2654</v>
      </c>
      <c r="T255" s="8">
        <v>276.77396757622256</v>
      </c>
      <c r="U255" s="9" t="s">
        <v>2654</v>
      </c>
      <c r="V255" s="8">
        <v>256.37247314697447</v>
      </c>
      <c r="W255" s="8" t="s">
        <v>2654</v>
      </c>
      <c r="X255" s="8"/>
    </row>
    <row r="256" spans="1:24" x14ac:dyDescent="0.3">
      <c r="A256" s="1" t="s">
        <v>65</v>
      </c>
      <c r="B256" s="1" t="s">
        <v>66</v>
      </c>
      <c r="C256" s="1" t="s">
        <v>1586</v>
      </c>
      <c r="D256" s="1" t="s">
        <v>14</v>
      </c>
      <c r="E256" s="1" t="s">
        <v>1588</v>
      </c>
      <c r="F256" s="1">
        <v>1980</v>
      </c>
      <c r="J256" s="6">
        <v>10471</v>
      </c>
      <c r="K256" s="6">
        <v>7202</v>
      </c>
      <c r="L256" s="21">
        <v>0.68780441218603761</v>
      </c>
      <c r="M256" s="1">
        <v>0</v>
      </c>
      <c r="N256" s="1" t="s">
        <v>28</v>
      </c>
      <c r="O256" s="1" t="s">
        <v>18</v>
      </c>
      <c r="P256" s="1" t="s">
        <v>18</v>
      </c>
      <c r="Q256" s="22" t="s">
        <v>18</v>
      </c>
      <c r="R256" s="8">
        <v>227.94052144016806</v>
      </c>
      <c r="S256" s="9" t="s">
        <v>2654</v>
      </c>
      <c r="T256" s="8">
        <v>242.90866201890938</v>
      </c>
      <c r="U256" s="9" t="s">
        <v>2654</v>
      </c>
      <c r="V256" s="8">
        <v>250.43400821316015</v>
      </c>
      <c r="W256" s="8" t="s">
        <v>2656</v>
      </c>
      <c r="X256" s="8"/>
    </row>
    <row r="257" spans="1:24" x14ac:dyDescent="0.3">
      <c r="A257" s="1" t="s">
        <v>283</v>
      </c>
      <c r="B257" s="1" t="s">
        <v>284</v>
      </c>
      <c r="C257" s="1" t="s">
        <v>1586</v>
      </c>
      <c r="D257" s="1" t="s">
        <v>14</v>
      </c>
      <c r="E257" s="1" t="s">
        <v>1588</v>
      </c>
      <c r="F257" s="1">
        <v>1997</v>
      </c>
      <c r="J257" s="6">
        <v>11291</v>
      </c>
      <c r="K257" s="6">
        <v>10627</v>
      </c>
      <c r="L257" s="21">
        <v>0.94119209990257724</v>
      </c>
      <c r="M257" s="1">
        <v>0</v>
      </c>
      <c r="N257" s="1" t="s">
        <v>1589</v>
      </c>
      <c r="O257" s="1">
        <v>2</v>
      </c>
      <c r="P257" s="1">
        <v>0.7</v>
      </c>
      <c r="Q257" s="22">
        <v>42889</v>
      </c>
      <c r="R257" s="8">
        <v>256.61915950757242</v>
      </c>
      <c r="S257" s="9" t="s">
        <v>2654</v>
      </c>
      <c r="T257" s="8">
        <v>257.49486759365863</v>
      </c>
      <c r="U257" s="9" t="s">
        <v>2654</v>
      </c>
      <c r="V257" s="8">
        <v>249.88562571959969</v>
      </c>
      <c r="W257" s="8" t="s">
        <v>2656</v>
      </c>
      <c r="X257" s="8" t="s">
        <v>1773</v>
      </c>
    </row>
    <row r="258" spans="1:24" x14ac:dyDescent="0.3">
      <c r="A258" s="1" t="s">
        <v>995</v>
      </c>
      <c r="B258" s="1" t="s">
        <v>996</v>
      </c>
      <c r="C258" s="1" t="s">
        <v>1586</v>
      </c>
      <c r="D258" s="1" t="s">
        <v>14</v>
      </c>
      <c r="E258" s="1" t="s">
        <v>1588</v>
      </c>
      <c r="F258" s="1">
        <v>2018</v>
      </c>
      <c r="J258" s="6">
        <v>11658</v>
      </c>
      <c r="K258" s="6">
        <v>11559</v>
      </c>
      <c r="L258" s="21">
        <v>0.99150797735460627</v>
      </c>
      <c r="M258" s="1">
        <v>0</v>
      </c>
      <c r="N258" s="1" t="s">
        <v>1589</v>
      </c>
      <c r="O258" s="1">
        <v>5</v>
      </c>
      <c r="P258" s="1" t="s">
        <v>18</v>
      </c>
      <c r="Q258" s="22" t="s">
        <v>18</v>
      </c>
      <c r="R258" s="8">
        <v>141.96703980099502</v>
      </c>
      <c r="S258" s="9" t="s">
        <v>2656</v>
      </c>
      <c r="T258" s="8">
        <v>224.15980528392518</v>
      </c>
      <c r="U258" s="9" t="s">
        <v>2654</v>
      </c>
      <c r="V258" s="8">
        <v>234.92660319094182</v>
      </c>
      <c r="W258" s="8" t="s">
        <v>2656</v>
      </c>
      <c r="X258" s="8"/>
    </row>
    <row r="259" spans="1:24" x14ac:dyDescent="0.3">
      <c r="A259" s="1" t="s">
        <v>709</v>
      </c>
      <c r="B259" s="1" t="s">
        <v>710</v>
      </c>
      <c r="C259" s="1" t="s">
        <v>1586</v>
      </c>
      <c r="D259" s="1" t="s">
        <v>14</v>
      </c>
      <c r="E259" s="1" t="s">
        <v>1588</v>
      </c>
      <c r="F259" s="1">
        <v>2009</v>
      </c>
      <c r="J259" s="6">
        <v>7783</v>
      </c>
      <c r="K259" s="6">
        <v>5867</v>
      </c>
      <c r="L259" s="21">
        <v>0.75382243350892975</v>
      </c>
      <c r="M259" s="1">
        <v>0</v>
      </c>
      <c r="N259" s="1" t="s">
        <v>1590</v>
      </c>
      <c r="O259" s="1" t="s">
        <v>18</v>
      </c>
      <c r="P259" s="1" t="s">
        <v>18</v>
      </c>
      <c r="Q259" s="22" t="s">
        <v>18</v>
      </c>
      <c r="R259" s="8">
        <v>262.95053064371064</v>
      </c>
      <c r="S259" s="9" t="s">
        <v>2654</v>
      </c>
      <c r="T259" s="8">
        <v>249.72294616471797</v>
      </c>
      <c r="U259" s="9" t="s">
        <v>2654</v>
      </c>
      <c r="V259" s="8">
        <v>233.00322369266351</v>
      </c>
      <c r="W259" s="8" t="s">
        <v>2656</v>
      </c>
      <c r="X259" s="8"/>
    </row>
    <row r="260" spans="1:24" x14ac:dyDescent="0.3">
      <c r="A260" s="1" t="s">
        <v>2256</v>
      </c>
      <c r="B260" s="1" t="s">
        <v>1266</v>
      </c>
      <c r="C260" s="1" t="s">
        <v>1586</v>
      </c>
      <c r="D260" s="1" t="s">
        <v>14</v>
      </c>
      <c r="E260" s="1" t="s">
        <v>1588</v>
      </c>
      <c r="F260" s="1">
        <v>45149</v>
      </c>
      <c r="G260" s="1" t="s">
        <v>47</v>
      </c>
      <c r="H260" s="1">
        <v>2022</v>
      </c>
      <c r="I260" s="1" t="s">
        <v>1818</v>
      </c>
      <c r="J260" s="6">
        <v>10180</v>
      </c>
      <c r="K260" s="6">
        <v>11695</v>
      </c>
      <c r="L260" s="21">
        <v>1.1488212180746562</v>
      </c>
      <c r="M260" s="1">
        <v>0</v>
      </c>
      <c r="N260" s="1" t="s">
        <v>1821</v>
      </c>
      <c r="O260" s="1" t="s">
        <v>18</v>
      </c>
      <c r="P260" s="1" t="s">
        <v>18</v>
      </c>
      <c r="Q260" s="22" t="s">
        <v>18</v>
      </c>
      <c r="R260" s="8" t="s">
        <v>18</v>
      </c>
      <c r="S260" s="9"/>
      <c r="T260" s="8" t="s">
        <v>18</v>
      </c>
      <c r="U260" s="9"/>
      <c r="V260" s="8">
        <v>230.99279469548134</v>
      </c>
      <c r="W260" s="8"/>
      <c r="X260" s="8"/>
    </row>
    <row r="261" spans="1:24" x14ac:dyDescent="0.3">
      <c r="A261" s="1" t="s">
        <v>2555</v>
      </c>
      <c r="B261" s="1" t="s">
        <v>2556</v>
      </c>
      <c r="C261" s="1" t="s">
        <v>1586</v>
      </c>
      <c r="D261" s="1" t="s">
        <v>14</v>
      </c>
      <c r="E261" s="1" t="s">
        <v>1588</v>
      </c>
      <c r="F261" s="1">
        <v>2012</v>
      </c>
      <c r="J261" s="6">
        <v>3809</v>
      </c>
      <c r="K261" s="6">
        <v>1000</v>
      </c>
      <c r="L261" s="21">
        <v>0.26253609871357314</v>
      </c>
      <c r="M261" s="1">
        <v>0</v>
      </c>
      <c r="N261" s="1" t="s">
        <v>1821</v>
      </c>
      <c r="O261" s="1" t="s">
        <v>18</v>
      </c>
      <c r="P261" s="1" t="s">
        <v>18</v>
      </c>
      <c r="Q261" s="22" t="s">
        <v>18</v>
      </c>
      <c r="R261" s="8">
        <v>205.89045943817277</v>
      </c>
      <c r="S261" s="9"/>
      <c r="T261" s="8">
        <v>182.05873457600418</v>
      </c>
      <c r="U261" s="9"/>
      <c r="V261" s="8">
        <v>226.41768443160933</v>
      </c>
      <c r="W261" s="8"/>
      <c r="X261" s="8"/>
    </row>
    <row r="262" spans="1:24" x14ac:dyDescent="0.3">
      <c r="A262" s="1" t="s">
        <v>557</v>
      </c>
      <c r="B262" s="1" t="s">
        <v>558</v>
      </c>
      <c r="C262" s="1" t="s">
        <v>1586</v>
      </c>
      <c r="D262" s="1" t="s">
        <v>14</v>
      </c>
      <c r="E262" s="1" t="s">
        <v>1588</v>
      </c>
      <c r="F262" s="1">
        <v>1990</v>
      </c>
      <c r="G262" s="1" t="s">
        <v>21</v>
      </c>
      <c r="H262" s="1">
        <v>2022</v>
      </c>
      <c r="I262" s="1" t="s">
        <v>1783</v>
      </c>
      <c r="J262" s="6">
        <v>8790</v>
      </c>
      <c r="K262" s="6">
        <v>6539</v>
      </c>
      <c r="L262" s="21">
        <v>0.7439135381114903</v>
      </c>
      <c r="M262" s="1">
        <v>0</v>
      </c>
      <c r="N262" s="1" t="s">
        <v>28</v>
      </c>
      <c r="O262" s="1" t="s">
        <v>18</v>
      </c>
      <c r="P262" s="1" t="s">
        <v>18</v>
      </c>
      <c r="Q262" s="22" t="s">
        <v>18</v>
      </c>
      <c r="R262" s="8">
        <v>229.55747440273038</v>
      </c>
      <c r="S262" s="9" t="s">
        <v>2654</v>
      </c>
      <c r="T262" s="8">
        <v>212.09093060295791</v>
      </c>
      <c r="U262" s="9" t="s">
        <v>2655</v>
      </c>
      <c r="V262" s="8">
        <v>225.31584072810011</v>
      </c>
      <c r="W262" s="8" t="s">
        <v>2656</v>
      </c>
      <c r="X262" s="8"/>
    </row>
    <row r="263" spans="1:24" x14ac:dyDescent="0.3">
      <c r="A263" s="1" t="s">
        <v>1320</v>
      </c>
      <c r="B263" s="1" t="s">
        <v>1321</v>
      </c>
      <c r="C263" s="1" t="s">
        <v>1586</v>
      </c>
      <c r="D263" s="1" t="s">
        <v>14</v>
      </c>
      <c r="E263" s="1" t="s">
        <v>1588</v>
      </c>
      <c r="F263" s="1">
        <v>1998</v>
      </c>
      <c r="G263" s="1" t="s">
        <v>25</v>
      </c>
      <c r="H263" s="1">
        <v>2022</v>
      </c>
      <c r="I263" s="1" t="s">
        <v>1818</v>
      </c>
      <c r="J263" s="6">
        <v>7600</v>
      </c>
      <c r="K263" s="6">
        <v>7419</v>
      </c>
      <c r="L263" s="21">
        <v>0.97618421052631577</v>
      </c>
      <c r="M263" s="1">
        <v>0</v>
      </c>
      <c r="N263" s="1" t="s">
        <v>1589</v>
      </c>
      <c r="O263" s="1">
        <v>10</v>
      </c>
      <c r="P263" s="1">
        <v>0.79700000000000004</v>
      </c>
      <c r="Q263" s="22">
        <v>44804</v>
      </c>
      <c r="R263" s="8">
        <v>314.06721710526318</v>
      </c>
      <c r="S263" s="9" t="s">
        <v>2654</v>
      </c>
      <c r="T263" s="8">
        <v>301.07987236842104</v>
      </c>
      <c r="U263" s="9" t="s">
        <v>2654</v>
      </c>
      <c r="V263" s="8">
        <v>224.50304605263156</v>
      </c>
      <c r="W263" s="8" t="s">
        <v>2656</v>
      </c>
      <c r="X263" s="8"/>
    </row>
    <row r="264" spans="1:24" x14ac:dyDescent="0.3">
      <c r="A264" s="1" t="s">
        <v>803</v>
      </c>
      <c r="B264" s="1" t="s">
        <v>804</v>
      </c>
      <c r="C264" s="1" t="s">
        <v>1586</v>
      </c>
      <c r="D264" s="1" t="s">
        <v>14</v>
      </c>
      <c r="E264" s="1" t="s">
        <v>1588</v>
      </c>
      <c r="F264" s="1">
        <v>2013</v>
      </c>
      <c r="G264" s="1" t="s">
        <v>21</v>
      </c>
      <c r="H264" s="1">
        <v>2022</v>
      </c>
      <c r="I264" s="1" t="s">
        <v>1818</v>
      </c>
      <c r="J264" s="6">
        <v>13121</v>
      </c>
      <c r="K264" s="6">
        <v>12587</v>
      </c>
      <c r="L264" s="21">
        <v>0.95930188247846959</v>
      </c>
      <c r="M264" s="1">
        <v>0</v>
      </c>
      <c r="N264" s="1" t="s">
        <v>1589</v>
      </c>
      <c r="O264" s="1">
        <v>10</v>
      </c>
      <c r="P264" s="1">
        <v>0.67</v>
      </c>
      <c r="Q264" s="22">
        <v>42636</v>
      </c>
      <c r="R264" s="8">
        <v>227.25874552244494</v>
      </c>
      <c r="S264" s="9" t="s">
        <v>2654</v>
      </c>
      <c r="T264" s="8">
        <v>224.25443944821279</v>
      </c>
      <c r="U264" s="9" t="s">
        <v>2654</v>
      </c>
      <c r="V264" s="8">
        <v>222.12190381830652</v>
      </c>
      <c r="W264" s="8" t="s">
        <v>2656</v>
      </c>
      <c r="X264" s="8"/>
    </row>
    <row r="265" spans="1:24" x14ac:dyDescent="0.3">
      <c r="A265" s="1" t="s">
        <v>52</v>
      </c>
      <c r="B265" s="1" t="s">
        <v>2575</v>
      </c>
      <c r="C265" s="1" t="s">
        <v>1586</v>
      </c>
      <c r="D265" s="1" t="s">
        <v>14</v>
      </c>
      <c r="E265" s="1" t="s">
        <v>1588</v>
      </c>
      <c r="F265" s="1">
        <v>1995</v>
      </c>
      <c r="J265" s="6">
        <v>14801</v>
      </c>
      <c r="K265" s="6">
        <v>17642</v>
      </c>
      <c r="L265" s="21">
        <v>1.19194649010202</v>
      </c>
      <c r="M265" s="1">
        <v>0</v>
      </c>
      <c r="N265" s="1" t="s">
        <v>1590</v>
      </c>
      <c r="O265" s="1" t="s">
        <v>18</v>
      </c>
      <c r="P265" s="1" t="s">
        <v>18</v>
      </c>
      <c r="Q265" s="22" t="s">
        <v>18</v>
      </c>
      <c r="R265" s="8">
        <v>234.11232349165596</v>
      </c>
      <c r="S265" s="9" t="s">
        <v>2654</v>
      </c>
      <c r="T265" s="8">
        <v>234.8556516451591</v>
      </c>
      <c r="U265" s="9" t="s">
        <v>2654</v>
      </c>
      <c r="V265" s="8">
        <v>221.12451861360719</v>
      </c>
      <c r="W265" s="8" t="s">
        <v>2656</v>
      </c>
      <c r="X265" s="8"/>
    </row>
    <row r="266" spans="1:24" x14ac:dyDescent="0.3">
      <c r="A266" s="1" t="s">
        <v>26</v>
      </c>
      <c r="B266" s="1" t="s">
        <v>27</v>
      </c>
      <c r="C266" s="1" t="s">
        <v>1586</v>
      </c>
      <c r="D266" s="1" t="s">
        <v>14</v>
      </c>
      <c r="E266" s="1" t="s">
        <v>1588</v>
      </c>
      <c r="F266" s="1">
        <v>1980</v>
      </c>
      <c r="J266" s="6">
        <v>7372</v>
      </c>
      <c r="K266" s="6">
        <v>7163</v>
      </c>
      <c r="L266" s="21">
        <v>0.97164948453608246</v>
      </c>
      <c r="M266" s="1">
        <v>0</v>
      </c>
      <c r="N266" s="1" t="s">
        <v>28</v>
      </c>
      <c r="O266" s="1" t="s">
        <v>18</v>
      </c>
      <c r="P266" s="1" t="s">
        <v>18</v>
      </c>
      <c r="Q266" s="22" t="s">
        <v>18</v>
      </c>
      <c r="R266" s="8">
        <v>216.26585322843189</v>
      </c>
      <c r="S266" s="9" t="s">
        <v>2655</v>
      </c>
      <c r="T266" s="8">
        <v>212.43017498643516</v>
      </c>
      <c r="U266" s="9" t="s">
        <v>2655</v>
      </c>
      <c r="V266" s="8">
        <v>220.36118149755831</v>
      </c>
      <c r="W266" s="8" t="s">
        <v>2656</v>
      </c>
      <c r="X266" s="8"/>
    </row>
    <row r="267" spans="1:24" x14ac:dyDescent="0.3">
      <c r="A267" s="1" t="s">
        <v>543</v>
      </c>
      <c r="B267" s="1" t="s">
        <v>2218</v>
      </c>
      <c r="C267" s="1" t="s">
        <v>1586</v>
      </c>
      <c r="D267" s="1" t="s">
        <v>14</v>
      </c>
      <c r="E267" s="1" t="s">
        <v>1588</v>
      </c>
      <c r="F267" s="1">
        <v>1984</v>
      </c>
      <c r="J267" s="6">
        <v>5111</v>
      </c>
      <c r="K267" s="6">
        <v>2100</v>
      </c>
      <c r="L267" s="21">
        <v>0.41087849735863824</v>
      </c>
      <c r="M267" s="1">
        <v>0</v>
      </c>
      <c r="N267" s="1" t="s">
        <v>1589</v>
      </c>
      <c r="O267" s="1">
        <v>30</v>
      </c>
      <c r="P267" s="1" t="s">
        <v>18</v>
      </c>
      <c r="Q267" s="22" t="s">
        <v>18</v>
      </c>
      <c r="R267" s="8">
        <v>242.3744864018783</v>
      </c>
      <c r="S267" s="9" t="s">
        <v>2654</v>
      </c>
      <c r="T267" s="8">
        <v>237.84151829387596</v>
      </c>
      <c r="U267" s="9" t="s">
        <v>2654</v>
      </c>
      <c r="V267" s="8">
        <v>220.08530620230874</v>
      </c>
      <c r="W267" s="8" t="s">
        <v>2656</v>
      </c>
      <c r="X267" s="8"/>
    </row>
    <row r="268" spans="1:24" x14ac:dyDescent="0.3">
      <c r="A268" s="1" t="s">
        <v>2045</v>
      </c>
      <c r="B268" s="1" t="s">
        <v>880</v>
      </c>
      <c r="C268" s="1" t="s">
        <v>1586</v>
      </c>
      <c r="D268" s="1" t="s">
        <v>14</v>
      </c>
      <c r="E268" s="1" t="s">
        <v>1588</v>
      </c>
      <c r="F268" s="1">
        <v>2005</v>
      </c>
      <c r="J268" s="6">
        <v>13098</v>
      </c>
      <c r="K268" s="6">
        <v>9195</v>
      </c>
      <c r="L268" s="21">
        <v>0.70201557489693078</v>
      </c>
      <c r="M268" s="1">
        <v>0</v>
      </c>
      <c r="N268" s="1" t="s">
        <v>1590</v>
      </c>
      <c r="O268" s="1" t="s">
        <v>18</v>
      </c>
      <c r="P268" s="1">
        <v>2</v>
      </c>
      <c r="Q268" s="22">
        <v>43770</v>
      </c>
      <c r="R268" s="8">
        <v>214.44621392579018</v>
      </c>
      <c r="S268" s="9" t="s">
        <v>2655</v>
      </c>
      <c r="T268" s="8">
        <v>203.4183005038937</v>
      </c>
      <c r="U268" s="9" t="s">
        <v>2655</v>
      </c>
      <c r="V268" s="8">
        <v>220.01164223545581</v>
      </c>
      <c r="W268" s="8" t="s">
        <v>2656</v>
      </c>
      <c r="X268" s="8"/>
    </row>
    <row r="269" spans="1:24" x14ac:dyDescent="0.3">
      <c r="A269" s="1" t="s">
        <v>1539</v>
      </c>
      <c r="B269" s="1" t="s">
        <v>1540</v>
      </c>
      <c r="C269" s="1" t="s">
        <v>1586</v>
      </c>
      <c r="D269" s="1" t="s">
        <v>14</v>
      </c>
      <c r="E269" s="1" t="s">
        <v>1588</v>
      </c>
      <c r="F269" s="1">
        <v>1974</v>
      </c>
      <c r="J269" s="6">
        <v>5711</v>
      </c>
      <c r="K269" s="6">
        <v>5711</v>
      </c>
      <c r="L269" s="21">
        <v>1</v>
      </c>
      <c r="M269" s="1">
        <v>0</v>
      </c>
      <c r="N269" s="1" t="s">
        <v>1787</v>
      </c>
      <c r="O269" s="1" t="s">
        <v>18</v>
      </c>
      <c r="P269" s="1" t="s">
        <v>18</v>
      </c>
      <c r="Q269" s="22" t="s">
        <v>18</v>
      </c>
      <c r="R269" s="8">
        <v>222.4462405883383</v>
      </c>
      <c r="S269" s="9" t="s">
        <v>2655</v>
      </c>
      <c r="T269" s="8">
        <v>208.86382419891439</v>
      </c>
      <c r="U269" s="9" t="s">
        <v>2655</v>
      </c>
      <c r="V269" s="8">
        <v>216.73091227455788</v>
      </c>
      <c r="W269" s="8" t="s">
        <v>2656</v>
      </c>
      <c r="X269" s="8"/>
    </row>
    <row r="270" spans="1:24" x14ac:dyDescent="0.3">
      <c r="A270" s="1" t="s">
        <v>1143</v>
      </c>
      <c r="B270" s="1" t="s">
        <v>1144</v>
      </c>
      <c r="C270" s="1" t="s">
        <v>1586</v>
      </c>
      <c r="D270" s="1" t="s">
        <v>14</v>
      </c>
      <c r="E270" s="1" t="s">
        <v>1588</v>
      </c>
      <c r="F270" s="1">
        <v>1980</v>
      </c>
      <c r="G270" s="1" t="s">
        <v>25</v>
      </c>
      <c r="H270" s="1">
        <v>2017</v>
      </c>
      <c r="I270" s="1" t="s">
        <v>1601</v>
      </c>
      <c r="J270" s="6">
        <v>14787</v>
      </c>
      <c r="K270" s="6">
        <v>18000</v>
      </c>
      <c r="L270" s="21">
        <v>1.2172854534388313</v>
      </c>
      <c r="M270" s="1">
        <v>0</v>
      </c>
      <c r="N270" s="1" t="s">
        <v>1589</v>
      </c>
      <c r="O270" s="1">
        <v>6</v>
      </c>
      <c r="P270" s="1">
        <v>0.77</v>
      </c>
      <c r="Q270" s="22">
        <v>44998</v>
      </c>
      <c r="R270" s="8">
        <v>202.54317846757283</v>
      </c>
      <c r="S270" s="9" t="s">
        <v>2655</v>
      </c>
      <c r="T270" s="8">
        <v>201.73386352877526</v>
      </c>
      <c r="U270" s="9" t="s">
        <v>2655</v>
      </c>
      <c r="V270" s="8">
        <v>215.06336849935752</v>
      </c>
      <c r="W270" s="8" t="s">
        <v>2656</v>
      </c>
      <c r="X270" s="8"/>
    </row>
    <row r="271" spans="1:24" x14ac:dyDescent="0.3">
      <c r="A271" s="1" t="s">
        <v>1318</v>
      </c>
      <c r="B271" s="1" t="s">
        <v>1319</v>
      </c>
      <c r="C271" s="1" t="s">
        <v>1586</v>
      </c>
      <c r="D271" s="1" t="s">
        <v>14</v>
      </c>
      <c r="E271" s="1" t="s">
        <v>1588</v>
      </c>
      <c r="F271" s="1">
        <v>1998</v>
      </c>
      <c r="G271" s="1" t="s">
        <v>25</v>
      </c>
      <c r="H271" s="1">
        <v>2022</v>
      </c>
      <c r="I271" s="1" t="s">
        <v>1818</v>
      </c>
      <c r="J271" s="6">
        <v>10577</v>
      </c>
      <c r="K271" s="6">
        <v>9171</v>
      </c>
      <c r="L271" s="21">
        <v>0.86707005767230783</v>
      </c>
      <c r="M271" s="1">
        <v>0</v>
      </c>
      <c r="N271" s="1" t="s">
        <v>1589</v>
      </c>
      <c r="O271" s="1">
        <v>3</v>
      </c>
      <c r="P271" s="1">
        <v>0.68</v>
      </c>
      <c r="Q271" s="22">
        <v>44767</v>
      </c>
      <c r="R271" s="8">
        <v>236.91848350193814</v>
      </c>
      <c r="S271" s="9" t="s">
        <v>2654</v>
      </c>
      <c r="T271" s="8">
        <v>240.97801834168479</v>
      </c>
      <c r="U271" s="9" t="s">
        <v>2654</v>
      </c>
      <c r="V271" s="8">
        <v>214.7826226718351</v>
      </c>
      <c r="W271" s="8" t="s">
        <v>2656</v>
      </c>
      <c r="X271" s="8"/>
    </row>
    <row r="272" spans="1:24" x14ac:dyDescent="0.3">
      <c r="A272" s="1" t="s">
        <v>2236</v>
      </c>
      <c r="B272" s="1" t="s">
        <v>729</v>
      </c>
      <c r="C272" s="1" t="s">
        <v>1586</v>
      </c>
      <c r="D272" s="1" t="s">
        <v>14</v>
      </c>
      <c r="E272" s="1" t="s">
        <v>1588</v>
      </c>
      <c r="F272" s="1">
        <v>2000</v>
      </c>
      <c r="G272" s="1" t="s">
        <v>25</v>
      </c>
      <c r="H272" s="1">
        <v>2020</v>
      </c>
      <c r="I272" s="1" t="s">
        <v>1601</v>
      </c>
      <c r="J272" s="6">
        <v>9811</v>
      </c>
      <c r="K272" s="6">
        <v>9809</v>
      </c>
      <c r="L272" s="21">
        <v>0.99979614718173482</v>
      </c>
      <c r="M272" s="1">
        <v>0</v>
      </c>
      <c r="N272" s="1" t="s">
        <v>1589</v>
      </c>
      <c r="O272" s="1">
        <v>7</v>
      </c>
      <c r="P272" s="1" t="s">
        <v>18</v>
      </c>
      <c r="Q272" s="22" t="s">
        <v>18</v>
      </c>
      <c r="R272" s="8">
        <v>188.51090612577718</v>
      </c>
      <c r="S272" s="9" t="s">
        <v>2655</v>
      </c>
      <c r="T272" s="8">
        <v>207.91122209764549</v>
      </c>
      <c r="U272" s="9" t="s">
        <v>2655</v>
      </c>
      <c r="V272" s="8">
        <v>210.97344817042097</v>
      </c>
      <c r="W272" s="8" t="s">
        <v>2656</v>
      </c>
      <c r="X272" s="8"/>
    </row>
    <row r="273" spans="1:24" x14ac:dyDescent="0.3">
      <c r="A273" s="1" t="s">
        <v>1301</v>
      </c>
      <c r="B273" s="1" t="s">
        <v>1302</v>
      </c>
      <c r="C273" s="1" t="s">
        <v>1586</v>
      </c>
      <c r="D273" s="1" t="s">
        <v>14</v>
      </c>
      <c r="E273" s="1" t="s">
        <v>1588</v>
      </c>
      <c r="F273" s="1">
        <v>1998</v>
      </c>
      <c r="J273" s="6">
        <v>11080</v>
      </c>
      <c r="K273" s="6">
        <v>11080</v>
      </c>
      <c r="L273" s="21">
        <v>1</v>
      </c>
      <c r="M273" s="1">
        <v>0</v>
      </c>
      <c r="N273" s="1" t="s">
        <v>28</v>
      </c>
      <c r="O273" s="1" t="s">
        <v>18</v>
      </c>
      <c r="P273" s="1" t="s">
        <v>18</v>
      </c>
      <c r="Q273" s="22" t="s">
        <v>18</v>
      </c>
      <c r="R273" s="8">
        <v>239.15601353790612</v>
      </c>
      <c r="S273" s="9" t="s">
        <v>2654</v>
      </c>
      <c r="T273" s="8">
        <v>224.4811489169675</v>
      </c>
      <c r="U273" s="9" t="s">
        <v>2654</v>
      </c>
      <c r="V273" s="8">
        <v>207.78184476534295</v>
      </c>
      <c r="W273" s="8" t="s">
        <v>2656</v>
      </c>
      <c r="X273" s="8"/>
    </row>
    <row r="274" spans="1:24" x14ac:dyDescent="0.3">
      <c r="A274" s="1" t="s">
        <v>1111</v>
      </c>
      <c r="B274" s="1" t="s">
        <v>2056</v>
      </c>
      <c r="C274" s="1" t="s">
        <v>1586</v>
      </c>
      <c r="D274" s="1" t="s">
        <v>14</v>
      </c>
      <c r="E274" s="1" t="s">
        <v>1588</v>
      </c>
      <c r="F274" s="1">
        <v>2021</v>
      </c>
      <c r="G274" s="1" t="s">
        <v>21</v>
      </c>
      <c r="H274" s="1">
        <v>2022</v>
      </c>
      <c r="I274" s="1" t="s">
        <v>1818</v>
      </c>
      <c r="J274" s="6">
        <v>11015</v>
      </c>
      <c r="K274" s="6">
        <v>7800</v>
      </c>
      <c r="L274" s="21">
        <v>0.70812528370403993</v>
      </c>
      <c r="M274" s="1">
        <v>0</v>
      </c>
      <c r="N274" s="1" t="s">
        <v>28</v>
      </c>
      <c r="O274" s="1" t="s">
        <v>18</v>
      </c>
      <c r="P274" s="1" t="s">
        <v>18</v>
      </c>
      <c r="Q274" s="22" t="s">
        <v>18</v>
      </c>
      <c r="R274" s="8" t="s">
        <v>18</v>
      </c>
      <c r="S274" s="9"/>
      <c r="T274" s="8">
        <v>199.39217703132093</v>
      </c>
      <c r="U274" s="9" t="s">
        <v>2655</v>
      </c>
      <c r="V274" s="8">
        <v>207.1978765320018</v>
      </c>
      <c r="W274" s="8" t="s">
        <v>2656</v>
      </c>
      <c r="X274" s="8"/>
    </row>
    <row r="275" spans="1:24" x14ac:dyDescent="0.3">
      <c r="A275" s="1" t="s">
        <v>2053</v>
      </c>
      <c r="B275" s="1" t="s">
        <v>2054</v>
      </c>
      <c r="C275" s="1" t="s">
        <v>1586</v>
      </c>
      <c r="D275" s="1" t="s">
        <v>14</v>
      </c>
      <c r="E275" s="1" t="s">
        <v>1588</v>
      </c>
      <c r="F275" s="1">
        <v>2021</v>
      </c>
      <c r="J275" s="6">
        <v>13032</v>
      </c>
      <c r="K275" s="6">
        <v>8650</v>
      </c>
      <c r="L275" s="21">
        <v>0.66375076734192762</v>
      </c>
      <c r="M275" s="1">
        <v>0</v>
      </c>
      <c r="N275" s="1" t="s">
        <v>1589</v>
      </c>
      <c r="O275" s="1">
        <v>1</v>
      </c>
      <c r="P275" s="1">
        <v>0.65600000000000003</v>
      </c>
      <c r="Q275" s="22">
        <v>44881</v>
      </c>
      <c r="R275" s="8" t="s">
        <v>18</v>
      </c>
      <c r="S275" s="9"/>
      <c r="T275" s="8">
        <v>52.536740331491714</v>
      </c>
      <c r="U275" s="9" t="s">
        <v>2657</v>
      </c>
      <c r="V275" s="8">
        <v>205.71665131982812</v>
      </c>
      <c r="W275" s="8" t="s">
        <v>2656</v>
      </c>
      <c r="X275" s="8"/>
    </row>
    <row r="276" spans="1:24" x14ac:dyDescent="0.3">
      <c r="A276" s="1" t="s">
        <v>1662</v>
      </c>
      <c r="B276" s="1" t="s">
        <v>655</v>
      </c>
      <c r="C276" s="1" t="s">
        <v>1586</v>
      </c>
      <c r="D276" s="1" t="s">
        <v>14</v>
      </c>
      <c r="E276" s="1" t="s">
        <v>1588</v>
      </c>
      <c r="F276" s="1">
        <v>2008</v>
      </c>
      <c r="G276" s="1" t="s">
        <v>25</v>
      </c>
      <c r="H276" s="1">
        <v>2020</v>
      </c>
      <c r="I276" s="1" t="s">
        <v>1597</v>
      </c>
      <c r="J276" s="6">
        <v>13553</v>
      </c>
      <c r="K276" s="6">
        <v>11791</v>
      </c>
      <c r="L276" s="21">
        <v>0.86999188371578251</v>
      </c>
      <c r="M276" s="1">
        <v>0</v>
      </c>
      <c r="N276" s="1" t="s">
        <v>28</v>
      </c>
      <c r="O276" s="1" t="s">
        <v>18</v>
      </c>
      <c r="P276" s="1">
        <v>0.85</v>
      </c>
      <c r="Q276" s="22">
        <v>44145</v>
      </c>
      <c r="R276" s="8">
        <v>202.68195233527632</v>
      </c>
      <c r="S276" s="9" t="s">
        <v>2655</v>
      </c>
      <c r="T276" s="8">
        <v>199.96352468088244</v>
      </c>
      <c r="U276" s="9" t="s">
        <v>2655</v>
      </c>
      <c r="V276" s="8">
        <v>204.106493027374</v>
      </c>
      <c r="W276" s="8" t="s">
        <v>2656</v>
      </c>
      <c r="X276" s="8"/>
    </row>
    <row r="277" spans="1:24" x14ac:dyDescent="0.3">
      <c r="A277" s="1" t="s">
        <v>347</v>
      </c>
      <c r="B277" s="1" t="s">
        <v>348</v>
      </c>
      <c r="C277" s="1" t="s">
        <v>1586</v>
      </c>
      <c r="D277" s="1" t="s">
        <v>14</v>
      </c>
      <c r="E277" s="1" t="s">
        <v>1588</v>
      </c>
      <c r="F277" s="1">
        <v>1999</v>
      </c>
      <c r="J277" s="6">
        <v>10417</v>
      </c>
      <c r="K277" s="6">
        <v>8463</v>
      </c>
      <c r="L277" s="21">
        <v>0.81242200249592011</v>
      </c>
      <c r="M277" s="1">
        <v>0</v>
      </c>
      <c r="N277" s="1" t="s">
        <v>1589</v>
      </c>
      <c r="O277" s="1">
        <v>6</v>
      </c>
      <c r="P277" s="1">
        <v>0.63800000000000001</v>
      </c>
      <c r="Q277" s="22">
        <v>44676</v>
      </c>
      <c r="R277" s="8">
        <v>189.6582989344341</v>
      </c>
      <c r="S277" s="9" t="s">
        <v>2655</v>
      </c>
      <c r="T277" s="8">
        <v>196.07641355476625</v>
      </c>
      <c r="U277" s="9" t="s">
        <v>2655</v>
      </c>
      <c r="V277" s="8">
        <v>201.60631659786887</v>
      </c>
      <c r="W277" s="8" t="s">
        <v>2656</v>
      </c>
      <c r="X277" s="8"/>
    </row>
    <row r="278" spans="1:24" x14ac:dyDescent="0.3">
      <c r="A278" s="1" t="s">
        <v>2428</v>
      </c>
      <c r="B278" s="1" t="s">
        <v>2429</v>
      </c>
      <c r="C278" s="1" t="s">
        <v>1586</v>
      </c>
      <c r="D278" s="1" t="s">
        <v>14</v>
      </c>
      <c r="E278" s="1" t="s">
        <v>1588</v>
      </c>
      <c r="F278" s="1">
        <v>1988</v>
      </c>
      <c r="J278" s="6">
        <v>12021</v>
      </c>
      <c r="K278" s="6">
        <v>12021</v>
      </c>
      <c r="L278" s="21">
        <v>1</v>
      </c>
      <c r="M278" s="1">
        <v>0</v>
      </c>
      <c r="N278" s="1" t="s">
        <v>1589</v>
      </c>
      <c r="O278" s="1">
        <v>20</v>
      </c>
      <c r="P278" s="1" t="s">
        <v>18</v>
      </c>
      <c r="Q278" s="22" t="s">
        <v>18</v>
      </c>
      <c r="R278" s="8">
        <v>168.53292987272275</v>
      </c>
      <c r="S278" s="9" t="s">
        <v>2655</v>
      </c>
      <c r="T278" s="8">
        <v>201.38285500374343</v>
      </c>
      <c r="U278" s="9" t="s">
        <v>2655</v>
      </c>
      <c r="V278" s="8">
        <v>200.79274436402963</v>
      </c>
      <c r="W278" s="8" t="s">
        <v>2656</v>
      </c>
      <c r="X278" s="8"/>
    </row>
    <row r="279" spans="1:24" x14ac:dyDescent="0.3">
      <c r="A279" s="1" t="s">
        <v>2215</v>
      </c>
      <c r="B279" s="1" t="s">
        <v>2216</v>
      </c>
      <c r="C279" s="1" t="s">
        <v>1586</v>
      </c>
      <c r="D279" s="1" t="s">
        <v>14</v>
      </c>
      <c r="E279" s="1" t="s">
        <v>1588</v>
      </c>
      <c r="F279" s="1">
        <v>2021</v>
      </c>
      <c r="J279" s="6">
        <v>9233</v>
      </c>
      <c r="K279" s="6">
        <v>9233</v>
      </c>
      <c r="L279" s="21">
        <v>1</v>
      </c>
      <c r="M279" s="1">
        <v>0</v>
      </c>
      <c r="N279" s="1" t="s">
        <v>28</v>
      </c>
      <c r="O279" s="1" t="s">
        <v>18</v>
      </c>
      <c r="P279" s="1" t="s">
        <v>18</v>
      </c>
      <c r="Q279" s="22" t="s">
        <v>18</v>
      </c>
      <c r="R279" s="8" t="s">
        <v>18</v>
      </c>
      <c r="S279" s="9"/>
      <c r="T279" s="8">
        <v>190.27352214881404</v>
      </c>
      <c r="U279" s="9" t="s">
        <v>2655</v>
      </c>
      <c r="V279" s="8">
        <v>200.57217914004116</v>
      </c>
      <c r="W279" s="8" t="s">
        <v>2656</v>
      </c>
      <c r="X279" s="8"/>
    </row>
    <row r="280" spans="1:24" x14ac:dyDescent="0.3">
      <c r="A280" s="1" t="s">
        <v>1470</v>
      </c>
      <c r="B280" s="1" t="s">
        <v>1471</v>
      </c>
      <c r="C280" s="1" t="s">
        <v>1586</v>
      </c>
      <c r="D280" s="1" t="s">
        <v>14</v>
      </c>
      <c r="E280" s="1" t="s">
        <v>1588</v>
      </c>
      <c r="F280" s="1">
        <v>2007</v>
      </c>
      <c r="J280" s="6">
        <v>7844</v>
      </c>
      <c r="K280" s="6">
        <v>5473</v>
      </c>
      <c r="L280" s="21">
        <v>0.69773074961754211</v>
      </c>
      <c r="M280" s="1">
        <v>0</v>
      </c>
      <c r="N280" s="1" t="s">
        <v>28</v>
      </c>
      <c r="O280" s="1" t="s">
        <v>18</v>
      </c>
      <c r="P280" s="1" t="s">
        <v>18</v>
      </c>
      <c r="Q280" s="22" t="s">
        <v>18</v>
      </c>
      <c r="R280" s="8">
        <v>222.86959204487508</v>
      </c>
      <c r="S280" s="9" t="s">
        <v>2655</v>
      </c>
      <c r="T280" s="8">
        <v>206.67533911269763</v>
      </c>
      <c r="U280" s="9" t="s">
        <v>2655</v>
      </c>
      <c r="V280" s="8">
        <v>199.04083758286589</v>
      </c>
      <c r="W280" s="8" t="s">
        <v>2656</v>
      </c>
      <c r="X280" s="8"/>
    </row>
    <row r="281" spans="1:24" x14ac:dyDescent="0.3">
      <c r="A281" s="1" t="s">
        <v>2224</v>
      </c>
      <c r="B281" s="1" t="s">
        <v>2225</v>
      </c>
      <c r="C281" s="1" t="s">
        <v>1586</v>
      </c>
      <c r="D281" s="1" t="s">
        <v>14</v>
      </c>
      <c r="E281" s="1" t="s">
        <v>1588</v>
      </c>
      <c r="F281" s="1">
        <v>2009</v>
      </c>
      <c r="J281" s="6">
        <v>6521</v>
      </c>
      <c r="K281" s="6">
        <v>5800</v>
      </c>
      <c r="L281" s="21">
        <v>0.88943413586873177</v>
      </c>
      <c r="M281" s="1">
        <v>0</v>
      </c>
      <c r="N281" s="1" t="s">
        <v>28</v>
      </c>
      <c r="O281" s="1" t="s">
        <v>18</v>
      </c>
      <c r="P281" s="1" t="s">
        <v>18</v>
      </c>
      <c r="Q281" s="22" t="s">
        <v>18</v>
      </c>
      <c r="R281" s="8">
        <v>198.62418187394573</v>
      </c>
      <c r="S281" s="9" t="s">
        <v>2655</v>
      </c>
      <c r="T281" s="8">
        <v>141.33872258856005</v>
      </c>
      <c r="U281" s="9" t="s">
        <v>2656</v>
      </c>
      <c r="V281" s="8">
        <v>197.39390430915503</v>
      </c>
      <c r="W281" s="8" t="s">
        <v>2656</v>
      </c>
      <c r="X281" s="8"/>
    </row>
    <row r="282" spans="1:24" x14ac:dyDescent="0.3">
      <c r="A282" s="1" t="s">
        <v>2426</v>
      </c>
      <c r="B282" s="1" t="s">
        <v>2427</v>
      </c>
      <c r="C282" s="1" t="s">
        <v>1586</v>
      </c>
      <c r="D282" s="1" t="s">
        <v>14</v>
      </c>
      <c r="E282" s="1" t="s">
        <v>1588</v>
      </c>
      <c r="F282" s="1">
        <v>2014</v>
      </c>
      <c r="G282" s="1" t="s">
        <v>25</v>
      </c>
      <c r="H282" s="1">
        <v>2021</v>
      </c>
      <c r="I282" s="1" t="s">
        <v>1601</v>
      </c>
      <c r="J282" s="6">
        <v>5494</v>
      </c>
      <c r="K282" s="6">
        <v>5200</v>
      </c>
      <c r="L282" s="21">
        <v>0.94648707681106659</v>
      </c>
      <c r="M282" s="1">
        <v>0</v>
      </c>
      <c r="N282" s="1" t="s">
        <v>28</v>
      </c>
      <c r="O282" s="1" t="s">
        <v>18</v>
      </c>
      <c r="P282" s="1" t="s">
        <v>18</v>
      </c>
      <c r="Q282" s="22" t="s">
        <v>18</v>
      </c>
      <c r="R282" s="8">
        <v>202.93681288678559</v>
      </c>
      <c r="S282" s="9" t="s">
        <v>2655</v>
      </c>
      <c r="T282" s="8">
        <v>194.10442300691662</v>
      </c>
      <c r="U282" s="9" t="s">
        <v>2655</v>
      </c>
      <c r="V282" s="8">
        <v>197.25412267928647</v>
      </c>
      <c r="W282" s="8" t="s">
        <v>2656</v>
      </c>
      <c r="X282" s="8"/>
    </row>
    <row r="283" spans="1:24" x14ac:dyDescent="0.3">
      <c r="A283" s="1" t="s">
        <v>2034</v>
      </c>
      <c r="B283" s="1" t="s">
        <v>869</v>
      </c>
      <c r="C283" s="1" t="s">
        <v>1586</v>
      </c>
      <c r="D283" s="1" t="s">
        <v>14</v>
      </c>
      <c r="E283" s="1" t="s">
        <v>1588</v>
      </c>
      <c r="F283" s="1">
        <v>2006</v>
      </c>
      <c r="J283" s="6">
        <v>14629</v>
      </c>
      <c r="K283" s="6">
        <v>10960</v>
      </c>
      <c r="L283" s="21">
        <v>0.74919680087497431</v>
      </c>
      <c r="M283" s="1">
        <v>0</v>
      </c>
      <c r="N283" s="1" t="s">
        <v>1590</v>
      </c>
      <c r="O283" s="1" t="s">
        <v>18</v>
      </c>
      <c r="P283" s="1">
        <v>1.44</v>
      </c>
      <c r="Q283" s="22">
        <v>43770</v>
      </c>
      <c r="R283" s="8">
        <v>170.55528060701349</v>
      </c>
      <c r="S283" s="9" t="s">
        <v>2655</v>
      </c>
      <c r="T283" s="8">
        <v>174.3173648232962</v>
      </c>
      <c r="U283" s="9" t="s">
        <v>2655</v>
      </c>
      <c r="V283" s="8">
        <v>192.59160844897124</v>
      </c>
      <c r="W283" s="8" t="s">
        <v>2656</v>
      </c>
      <c r="X283" s="8"/>
    </row>
    <row r="284" spans="1:24" x14ac:dyDescent="0.3">
      <c r="A284" s="1" t="s">
        <v>1025</v>
      </c>
      <c r="B284" s="1" t="s">
        <v>1026</v>
      </c>
      <c r="C284" s="1" t="s">
        <v>1586</v>
      </c>
      <c r="D284" s="1" t="s">
        <v>14</v>
      </c>
      <c r="E284" s="1" t="s">
        <v>1588</v>
      </c>
      <c r="F284" s="1">
        <v>2018</v>
      </c>
      <c r="J284" s="6">
        <v>5790.26</v>
      </c>
      <c r="K284" s="6">
        <v>2290</v>
      </c>
      <c r="L284" s="21">
        <v>0.39549173957646117</v>
      </c>
      <c r="M284" s="1">
        <v>0</v>
      </c>
      <c r="N284" s="1" t="s">
        <v>1787</v>
      </c>
      <c r="P284" s="1" t="s">
        <v>18</v>
      </c>
      <c r="Q284" s="22" t="s">
        <v>18</v>
      </c>
      <c r="R284" s="8">
        <v>176.90104244023584</v>
      </c>
      <c r="S284" s="9" t="s">
        <v>2655</v>
      </c>
      <c r="T284" s="8">
        <v>205.67220642941768</v>
      </c>
      <c r="U284" s="9" t="s">
        <v>2655</v>
      </c>
      <c r="V284" s="8">
        <v>190.47221022890164</v>
      </c>
      <c r="W284" s="8" t="s">
        <v>2656</v>
      </c>
      <c r="X284" s="8"/>
    </row>
    <row r="285" spans="1:24" x14ac:dyDescent="0.3">
      <c r="A285" s="1" t="s">
        <v>1132</v>
      </c>
      <c r="B285" s="1" t="s">
        <v>1133</v>
      </c>
      <c r="C285" s="1" t="s">
        <v>1586</v>
      </c>
      <c r="D285" s="1" t="s">
        <v>14</v>
      </c>
      <c r="E285" s="1" t="s">
        <v>1588</v>
      </c>
      <c r="F285" s="1">
        <v>1997</v>
      </c>
      <c r="G285" s="1" t="s">
        <v>25</v>
      </c>
      <c r="H285" s="1">
        <v>2022</v>
      </c>
      <c r="I285" s="1" t="s">
        <v>1601</v>
      </c>
      <c r="J285" s="6">
        <v>13889</v>
      </c>
      <c r="K285" s="6">
        <v>10279</v>
      </c>
      <c r="L285" s="21">
        <v>0.74008207934336523</v>
      </c>
      <c r="M285" s="1">
        <v>0</v>
      </c>
      <c r="N285" s="1" t="s">
        <v>1589</v>
      </c>
      <c r="O285" s="1">
        <v>5</v>
      </c>
      <c r="P285" s="1">
        <v>0.62</v>
      </c>
      <c r="Q285" s="22">
        <v>44609</v>
      </c>
      <c r="R285" s="8">
        <v>186.4623083015336</v>
      </c>
      <c r="S285" s="9" t="s">
        <v>2655</v>
      </c>
      <c r="T285" s="8">
        <v>188.43703650370796</v>
      </c>
      <c r="U285" s="9" t="s">
        <v>2655</v>
      </c>
      <c r="V285" s="8">
        <v>190.4671322629419</v>
      </c>
      <c r="W285" s="8" t="s">
        <v>2656</v>
      </c>
      <c r="X285" s="8"/>
    </row>
    <row r="286" spans="1:24" x14ac:dyDescent="0.3">
      <c r="A286" s="1" t="s">
        <v>2136</v>
      </c>
      <c r="B286" s="1" t="s">
        <v>1332</v>
      </c>
      <c r="C286" s="1" t="s">
        <v>1586</v>
      </c>
      <c r="D286" s="1" t="s">
        <v>14</v>
      </c>
      <c r="E286" s="1" t="s">
        <v>1588</v>
      </c>
      <c r="F286" s="1">
        <v>2009</v>
      </c>
      <c r="J286" s="6">
        <v>7016</v>
      </c>
      <c r="K286" s="6">
        <v>6694</v>
      </c>
      <c r="L286" s="21">
        <v>0.95410490307867735</v>
      </c>
      <c r="M286" s="1">
        <v>0</v>
      </c>
      <c r="N286" s="1" t="s">
        <v>28</v>
      </c>
      <c r="O286" s="1" t="s">
        <v>18</v>
      </c>
      <c r="P286" s="1" t="s">
        <v>18</v>
      </c>
      <c r="Q286" s="22" t="s">
        <v>18</v>
      </c>
      <c r="R286" s="8">
        <v>180.60005131128847</v>
      </c>
      <c r="S286" s="9" t="s">
        <v>2655</v>
      </c>
      <c r="T286" s="8">
        <v>190.08262257696691</v>
      </c>
      <c r="U286" s="9" t="s">
        <v>2655</v>
      </c>
      <c r="V286" s="8">
        <v>185.95952109464082</v>
      </c>
      <c r="W286" s="8" t="s">
        <v>2656</v>
      </c>
      <c r="X286" s="8"/>
    </row>
    <row r="287" spans="1:24" x14ac:dyDescent="0.3">
      <c r="A287" s="1" t="s">
        <v>345</v>
      </c>
      <c r="B287" s="1" t="s">
        <v>346</v>
      </c>
      <c r="C287" s="1" t="s">
        <v>1586</v>
      </c>
      <c r="D287" s="1" t="s">
        <v>14</v>
      </c>
      <c r="E287" s="1" t="s">
        <v>1588</v>
      </c>
      <c r="F287" s="1">
        <v>1999</v>
      </c>
      <c r="J287" s="6">
        <v>10416</v>
      </c>
      <c r="K287" s="6">
        <v>8436</v>
      </c>
      <c r="L287" s="21">
        <v>0.80990783410138245</v>
      </c>
      <c r="M287" s="1">
        <v>0</v>
      </c>
      <c r="N287" s="1" t="s">
        <v>1589</v>
      </c>
      <c r="O287" s="1">
        <v>6</v>
      </c>
      <c r="P287" s="1">
        <v>0.65300000000000002</v>
      </c>
      <c r="Q287" s="22">
        <v>44676</v>
      </c>
      <c r="R287" s="8">
        <v>129.775633640553</v>
      </c>
      <c r="S287" s="9" t="s">
        <v>2656</v>
      </c>
      <c r="T287" s="8">
        <v>161.03677035330261</v>
      </c>
      <c r="U287" s="9" t="s">
        <v>2655</v>
      </c>
      <c r="V287" s="8">
        <v>181.91436251920123</v>
      </c>
      <c r="W287" s="8" t="s">
        <v>2656</v>
      </c>
      <c r="X287" s="8"/>
    </row>
    <row r="288" spans="1:24" x14ac:dyDescent="0.3">
      <c r="A288" s="1" t="s">
        <v>773</v>
      </c>
      <c r="B288" s="1" t="s">
        <v>2589</v>
      </c>
      <c r="C288" s="1" t="s">
        <v>1586</v>
      </c>
      <c r="D288" s="1" t="s">
        <v>14</v>
      </c>
      <c r="E288" s="1" t="s">
        <v>1588</v>
      </c>
      <c r="F288" s="1">
        <v>1900</v>
      </c>
      <c r="G288" s="1" t="s">
        <v>19</v>
      </c>
      <c r="H288" s="1">
        <v>2022</v>
      </c>
      <c r="I288" s="1" t="s">
        <v>1818</v>
      </c>
      <c r="J288" s="6">
        <v>8292</v>
      </c>
      <c r="K288" s="6">
        <v>5981</v>
      </c>
      <c r="L288" s="21">
        <v>0.72129763627592858</v>
      </c>
      <c r="M288" s="1">
        <v>0</v>
      </c>
      <c r="N288" s="1" t="s">
        <v>28</v>
      </c>
      <c r="Q288" s="22"/>
      <c r="R288" s="8">
        <v>148.40462011577426</v>
      </c>
      <c r="S288" s="9" t="s">
        <v>2655</v>
      </c>
      <c r="T288" s="8">
        <v>160.47621804148577</v>
      </c>
      <c r="U288" s="9" t="s">
        <v>2655</v>
      </c>
      <c r="V288" s="8">
        <v>181.569825132658</v>
      </c>
      <c r="W288" s="8" t="s">
        <v>2656</v>
      </c>
      <c r="X288" s="8"/>
    </row>
    <row r="289" spans="1:24" x14ac:dyDescent="0.3">
      <c r="A289" s="1" t="s">
        <v>553</v>
      </c>
      <c r="B289" s="1" t="s">
        <v>554</v>
      </c>
      <c r="C289" s="1" t="s">
        <v>1586</v>
      </c>
      <c r="D289" s="1" t="s">
        <v>14</v>
      </c>
      <c r="E289" s="1" t="s">
        <v>1588</v>
      </c>
      <c r="F289" s="1">
        <v>1998</v>
      </c>
      <c r="G289" s="1" t="s">
        <v>21</v>
      </c>
      <c r="H289" s="1">
        <v>2022</v>
      </c>
      <c r="I289" s="1" t="s">
        <v>1599</v>
      </c>
      <c r="J289" s="6">
        <v>10638</v>
      </c>
      <c r="K289" s="6">
        <v>8697</v>
      </c>
      <c r="L289" s="21">
        <v>0.8175408911449521</v>
      </c>
      <c r="M289" s="1">
        <v>0</v>
      </c>
      <c r="N289" s="1" t="s">
        <v>28</v>
      </c>
      <c r="O289" s="1" t="s">
        <v>18</v>
      </c>
      <c r="P289" s="1" t="s">
        <v>18</v>
      </c>
      <c r="Q289" s="22" t="s">
        <v>18</v>
      </c>
      <c r="R289" s="8">
        <v>175.07399229178415</v>
      </c>
      <c r="S289" s="9" t="s">
        <v>2655</v>
      </c>
      <c r="T289" s="8">
        <v>177.15365200225608</v>
      </c>
      <c r="U289" s="9" t="s">
        <v>2655</v>
      </c>
      <c r="V289" s="8">
        <v>180.87973115247229</v>
      </c>
      <c r="W289" s="8" t="s">
        <v>2656</v>
      </c>
      <c r="X289" s="8"/>
    </row>
    <row r="290" spans="1:24" x14ac:dyDescent="0.3">
      <c r="A290" s="1" t="s">
        <v>314</v>
      </c>
      <c r="B290" s="1" t="s">
        <v>2564</v>
      </c>
      <c r="C290" s="1" t="s">
        <v>1586</v>
      </c>
      <c r="D290" s="1" t="s">
        <v>14</v>
      </c>
      <c r="E290" s="1" t="s">
        <v>1588</v>
      </c>
      <c r="F290" s="1">
        <v>1987</v>
      </c>
      <c r="J290" s="6">
        <v>7272</v>
      </c>
      <c r="K290" s="6">
        <v>5417</v>
      </c>
      <c r="L290" s="21">
        <v>0.74491199119911988</v>
      </c>
      <c r="M290" s="1">
        <v>0</v>
      </c>
      <c r="N290" s="1" t="s">
        <v>1821</v>
      </c>
      <c r="O290" s="1" t="s">
        <v>18</v>
      </c>
      <c r="P290" s="1" t="s">
        <v>18</v>
      </c>
      <c r="Q290" s="22" t="s">
        <v>18</v>
      </c>
      <c r="R290" s="8">
        <v>177.51607673267327</v>
      </c>
      <c r="S290" s="9"/>
      <c r="T290" s="8">
        <v>177.49898652365235</v>
      </c>
      <c r="U290" s="9"/>
      <c r="V290" s="8">
        <v>179.43916941694167</v>
      </c>
      <c r="W290" s="8"/>
      <c r="X290" s="8"/>
    </row>
    <row r="291" spans="1:24" x14ac:dyDescent="0.3">
      <c r="A291" s="1" t="s">
        <v>2272</v>
      </c>
      <c r="B291" s="1" t="s">
        <v>1564</v>
      </c>
      <c r="C291" s="1" t="s">
        <v>1586</v>
      </c>
      <c r="D291" s="1" t="s">
        <v>14</v>
      </c>
      <c r="E291" s="1" t="s">
        <v>1588</v>
      </c>
      <c r="F291" s="1">
        <v>1997</v>
      </c>
      <c r="J291" s="6">
        <v>9381</v>
      </c>
      <c r="K291" s="6">
        <v>6944</v>
      </c>
      <c r="L291" s="21">
        <v>0.74021959279394522</v>
      </c>
      <c r="M291" s="1">
        <v>0</v>
      </c>
      <c r="N291" s="1" t="s">
        <v>1590</v>
      </c>
      <c r="O291" s="1" t="s">
        <v>18</v>
      </c>
      <c r="P291" s="1" t="s">
        <v>18</v>
      </c>
      <c r="Q291" s="22" t="s">
        <v>18</v>
      </c>
      <c r="R291" s="8">
        <v>89.911425221191763</v>
      </c>
      <c r="S291" s="9" t="s">
        <v>2657</v>
      </c>
      <c r="T291" s="8">
        <v>27.046402302526381</v>
      </c>
      <c r="U291" s="9" t="s">
        <v>2657</v>
      </c>
      <c r="V291" s="8">
        <v>179.11255729666345</v>
      </c>
      <c r="W291" s="8" t="s">
        <v>2656</v>
      </c>
      <c r="X291" s="8"/>
    </row>
    <row r="292" spans="1:24" x14ac:dyDescent="0.3">
      <c r="A292" s="1" t="s">
        <v>2043</v>
      </c>
      <c r="B292" s="1" t="s">
        <v>878</v>
      </c>
      <c r="C292" s="1" t="s">
        <v>1586</v>
      </c>
      <c r="D292" s="1" t="s">
        <v>14</v>
      </c>
      <c r="E292" s="1" t="s">
        <v>1588</v>
      </c>
      <c r="F292" s="1">
        <v>2005</v>
      </c>
      <c r="J292" s="6">
        <v>13060</v>
      </c>
      <c r="K292" s="6">
        <v>7671</v>
      </c>
      <c r="L292" s="21">
        <v>0.58736600306278719</v>
      </c>
      <c r="M292" s="1">
        <v>0</v>
      </c>
      <c r="N292" s="1" t="s">
        <v>1590</v>
      </c>
      <c r="O292" s="1" t="s">
        <v>18</v>
      </c>
      <c r="P292" s="1">
        <v>1.56</v>
      </c>
      <c r="Q292" s="22">
        <v>43770</v>
      </c>
      <c r="R292" s="8">
        <v>173.82110260336907</v>
      </c>
      <c r="S292" s="9" t="s">
        <v>2655</v>
      </c>
      <c r="T292" s="8">
        <v>167.26818529862175</v>
      </c>
      <c r="U292" s="9" t="s">
        <v>2655</v>
      </c>
      <c r="V292" s="8">
        <v>178.07670750382846</v>
      </c>
      <c r="W292" s="8" t="s">
        <v>2656</v>
      </c>
      <c r="X292" s="8"/>
    </row>
    <row r="293" spans="1:24" x14ac:dyDescent="0.3">
      <c r="A293" s="1" t="s">
        <v>684</v>
      </c>
      <c r="B293" s="1" t="s">
        <v>685</v>
      </c>
      <c r="C293" s="1" t="s">
        <v>1586</v>
      </c>
      <c r="D293" s="1" t="s">
        <v>14</v>
      </c>
      <c r="E293" s="1" t="s">
        <v>1588</v>
      </c>
      <c r="F293" s="1">
        <v>2015</v>
      </c>
      <c r="J293" s="6">
        <v>14998</v>
      </c>
      <c r="K293" s="6">
        <v>11858</v>
      </c>
      <c r="L293" s="21">
        <v>0.79063875183357779</v>
      </c>
      <c r="M293" s="1">
        <v>0</v>
      </c>
      <c r="N293" s="1" t="s">
        <v>28</v>
      </c>
      <c r="O293" s="1" t="s">
        <v>18</v>
      </c>
      <c r="P293" s="1" t="s">
        <v>18</v>
      </c>
      <c r="Q293" s="22" t="s">
        <v>18</v>
      </c>
      <c r="R293" s="8">
        <v>169.0493452460328</v>
      </c>
      <c r="S293" s="9" t="s">
        <v>2655</v>
      </c>
      <c r="T293" s="8">
        <v>171.3109081210828</v>
      </c>
      <c r="U293" s="9" t="s">
        <v>2655</v>
      </c>
      <c r="V293" s="8">
        <v>176.35836244832646</v>
      </c>
      <c r="W293" s="8" t="s">
        <v>2656</v>
      </c>
      <c r="X293" s="8"/>
    </row>
    <row r="294" spans="1:24" x14ac:dyDescent="0.3">
      <c r="A294" s="1" t="s">
        <v>886</v>
      </c>
      <c r="B294" s="1" t="s">
        <v>887</v>
      </c>
      <c r="C294" s="1" t="s">
        <v>1586</v>
      </c>
      <c r="D294" s="1" t="s">
        <v>14</v>
      </c>
      <c r="E294" s="1" t="s">
        <v>1588</v>
      </c>
      <c r="F294" s="1">
        <v>1998</v>
      </c>
      <c r="G294" s="1" t="s">
        <v>19</v>
      </c>
      <c r="H294" s="1">
        <v>2021</v>
      </c>
      <c r="I294" s="1" t="s">
        <v>1601</v>
      </c>
      <c r="J294" s="6">
        <v>10850</v>
      </c>
      <c r="K294" s="6">
        <v>8800</v>
      </c>
      <c r="L294" s="21">
        <v>0.81105990783410142</v>
      </c>
      <c r="M294" s="1">
        <v>0</v>
      </c>
      <c r="N294" s="1" t="s">
        <v>1589</v>
      </c>
      <c r="O294" s="1">
        <v>10</v>
      </c>
      <c r="P294" s="1">
        <v>0.65</v>
      </c>
      <c r="Q294" s="22">
        <v>41136</v>
      </c>
      <c r="R294" s="8">
        <v>167.31504331797234</v>
      </c>
      <c r="S294" s="9" t="s">
        <v>2655</v>
      </c>
      <c r="T294" s="8">
        <v>162.02150967741935</v>
      </c>
      <c r="U294" s="9" t="s">
        <v>2655</v>
      </c>
      <c r="V294" s="8">
        <v>176.18051059907833</v>
      </c>
      <c r="W294" s="8" t="s">
        <v>2656</v>
      </c>
      <c r="X294" s="8"/>
    </row>
    <row r="295" spans="1:24" x14ac:dyDescent="0.3">
      <c r="A295" s="1" t="s">
        <v>975</v>
      </c>
      <c r="B295" s="1" t="s">
        <v>976</v>
      </c>
      <c r="C295" s="1" t="s">
        <v>1586</v>
      </c>
      <c r="D295" s="1" t="s">
        <v>14</v>
      </c>
      <c r="E295" s="1" t="s">
        <v>1588</v>
      </c>
      <c r="F295" s="1">
        <v>1996</v>
      </c>
      <c r="J295" s="6">
        <v>10580</v>
      </c>
      <c r="K295" s="6">
        <v>1000</v>
      </c>
      <c r="L295" s="21">
        <v>9.4517958412098299E-2</v>
      </c>
      <c r="M295" s="1">
        <v>0</v>
      </c>
      <c r="N295" s="1" t="s">
        <v>28</v>
      </c>
      <c r="O295" s="1" t="s">
        <v>18</v>
      </c>
      <c r="P295" s="1" t="s">
        <v>18</v>
      </c>
      <c r="Q295" s="22" t="s">
        <v>18</v>
      </c>
      <c r="R295" s="8">
        <v>173.08972117202268</v>
      </c>
      <c r="S295" s="9" t="s">
        <v>2655</v>
      </c>
      <c r="T295" s="8">
        <v>171.57270793950852</v>
      </c>
      <c r="U295" s="9" t="s">
        <v>2655</v>
      </c>
      <c r="V295" s="8">
        <v>169.25713610586013</v>
      </c>
      <c r="W295" s="8" t="s">
        <v>2656</v>
      </c>
      <c r="X295" s="8"/>
    </row>
    <row r="296" spans="1:24" x14ac:dyDescent="0.3">
      <c r="A296" s="1" t="s">
        <v>2290</v>
      </c>
      <c r="B296" s="1" t="s">
        <v>969</v>
      </c>
      <c r="C296" s="1" t="s">
        <v>1586</v>
      </c>
      <c r="D296" s="1" t="s">
        <v>14</v>
      </c>
      <c r="E296" s="1" t="s">
        <v>1588</v>
      </c>
      <c r="F296" s="1">
        <v>2005</v>
      </c>
      <c r="G296" s="1" t="s">
        <v>21</v>
      </c>
      <c r="H296" s="1">
        <v>2021</v>
      </c>
      <c r="I296" s="1" t="s">
        <v>1599</v>
      </c>
      <c r="J296" s="6">
        <v>10891</v>
      </c>
      <c r="K296" s="6">
        <v>9574</v>
      </c>
      <c r="L296" s="21">
        <v>0.87907446515471488</v>
      </c>
      <c r="M296" s="1">
        <v>0</v>
      </c>
      <c r="N296" s="1" t="s">
        <v>1590</v>
      </c>
      <c r="O296" s="1" t="s">
        <v>18</v>
      </c>
      <c r="P296" s="1">
        <v>0.82</v>
      </c>
      <c r="Q296" s="22">
        <v>44286</v>
      </c>
      <c r="R296" s="8">
        <v>155.56537508034157</v>
      </c>
      <c r="S296" s="9" t="s">
        <v>2655</v>
      </c>
      <c r="T296" s="8">
        <v>148.53824258562116</v>
      </c>
      <c r="U296" s="9" t="s">
        <v>2656</v>
      </c>
      <c r="V296" s="8">
        <v>165.87560830043154</v>
      </c>
      <c r="W296" s="8" t="s">
        <v>2656</v>
      </c>
      <c r="X296" s="8"/>
    </row>
    <row r="297" spans="1:24" x14ac:dyDescent="0.3">
      <c r="A297" s="1" t="s">
        <v>2220</v>
      </c>
      <c r="B297" s="1" t="s">
        <v>2221</v>
      </c>
      <c r="C297" s="1" t="s">
        <v>1586</v>
      </c>
      <c r="D297" s="1" t="s">
        <v>14</v>
      </c>
      <c r="E297" s="1" t="s">
        <v>1588</v>
      </c>
      <c r="F297" s="1">
        <v>1992</v>
      </c>
      <c r="G297" s="1" t="s">
        <v>47</v>
      </c>
      <c r="H297" s="1">
        <v>2022</v>
      </c>
      <c r="I297" s="1" t="s">
        <v>1599</v>
      </c>
      <c r="J297" s="6">
        <v>7816</v>
      </c>
      <c r="K297" s="6">
        <v>0</v>
      </c>
      <c r="L297" s="21">
        <v>0</v>
      </c>
      <c r="M297" s="1">
        <v>0</v>
      </c>
      <c r="N297" s="1" t="s">
        <v>28</v>
      </c>
      <c r="O297" s="1" t="s">
        <v>18</v>
      </c>
      <c r="P297" s="1" t="s">
        <v>18</v>
      </c>
      <c r="Q297" s="22" t="s">
        <v>18</v>
      </c>
      <c r="R297" s="8">
        <v>165.294252814739</v>
      </c>
      <c r="S297" s="9" t="s">
        <v>2655</v>
      </c>
      <c r="T297" s="8">
        <v>162.96750383828049</v>
      </c>
      <c r="U297" s="9" t="s">
        <v>2655</v>
      </c>
      <c r="V297" s="8">
        <v>165.5667400204708</v>
      </c>
      <c r="W297" s="8" t="s">
        <v>2656</v>
      </c>
      <c r="X297" s="8"/>
    </row>
    <row r="298" spans="1:24" x14ac:dyDescent="0.3">
      <c r="A298" s="1" t="s">
        <v>759</v>
      </c>
      <c r="B298" s="1" t="s">
        <v>760</v>
      </c>
      <c r="C298" s="1" t="s">
        <v>1586</v>
      </c>
      <c r="D298" s="1" t="s">
        <v>14</v>
      </c>
      <c r="E298" s="1" t="s">
        <v>1588</v>
      </c>
      <c r="F298" s="1">
        <v>1993</v>
      </c>
      <c r="G298" s="1" t="s">
        <v>25</v>
      </c>
      <c r="H298" s="1">
        <v>2014</v>
      </c>
      <c r="I298" s="1" t="s">
        <v>1601</v>
      </c>
      <c r="J298" s="6">
        <v>8797.4639999999999</v>
      </c>
      <c r="K298" s="6">
        <v>8797467</v>
      </c>
      <c r="L298" s="21">
        <v>1000.0003410073631</v>
      </c>
      <c r="M298" s="1">
        <v>0</v>
      </c>
      <c r="N298" s="1" t="s">
        <v>1589</v>
      </c>
      <c r="O298" s="1">
        <v>2012</v>
      </c>
      <c r="P298" s="1" t="s">
        <v>18</v>
      </c>
      <c r="Q298" s="22" t="s">
        <v>18</v>
      </c>
      <c r="R298" s="8">
        <v>137.50059789957652</v>
      </c>
      <c r="S298" s="9" t="s">
        <v>2656</v>
      </c>
      <c r="T298" s="8">
        <v>149.97630567172538</v>
      </c>
      <c r="U298" s="9" t="s">
        <v>2656</v>
      </c>
      <c r="V298" s="8">
        <v>163.9327776732022</v>
      </c>
      <c r="W298" s="8" t="s">
        <v>2656</v>
      </c>
      <c r="X298" s="8"/>
    </row>
    <row r="299" spans="1:24" x14ac:dyDescent="0.3">
      <c r="A299" s="1" t="s">
        <v>752</v>
      </c>
      <c r="B299" s="1" t="s">
        <v>753</v>
      </c>
      <c r="C299" s="1" t="s">
        <v>1586</v>
      </c>
      <c r="D299" s="1" t="s">
        <v>14</v>
      </c>
      <c r="E299" s="1" t="s">
        <v>1588</v>
      </c>
      <c r="F299" s="1">
        <v>1998</v>
      </c>
      <c r="J299" s="6">
        <v>14708</v>
      </c>
      <c r="K299" s="6">
        <v>14362</v>
      </c>
      <c r="L299" s="21">
        <v>0.97647538754419361</v>
      </c>
      <c r="M299" s="1">
        <v>0</v>
      </c>
      <c r="N299" s="1" t="s">
        <v>1589</v>
      </c>
      <c r="O299" s="1">
        <v>40</v>
      </c>
      <c r="P299" s="1" t="s">
        <v>18</v>
      </c>
      <c r="Q299" s="22" t="s">
        <v>18</v>
      </c>
      <c r="R299" s="8">
        <v>146.58366467228717</v>
      </c>
      <c r="S299" s="9" t="s">
        <v>2655</v>
      </c>
      <c r="T299" s="8">
        <v>154.35365379385368</v>
      </c>
      <c r="U299" s="9" t="s">
        <v>2655</v>
      </c>
      <c r="V299" s="8">
        <v>163.78156377481645</v>
      </c>
      <c r="W299" s="8" t="s">
        <v>2656</v>
      </c>
      <c r="X299" s="8"/>
    </row>
    <row r="300" spans="1:24" x14ac:dyDescent="0.3">
      <c r="A300" s="1" t="s">
        <v>1976</v>
      </c>
      <c r="B300" s="1" t="s">
        <v>1112</v>
      </c>
      <c r="C300" s="1" t="s">
        <v>1586</v>
      </c>
      <c r="D300" s="1" t="s">
        <v>14</v>
      </c>
      <c r="E300" s="1" t="s">
        <v>1588</v>
      </c>
      <c r="F300" s="1">
        <v>2009</v>
      </c>
      <c r="J300" s="6">
        <v>14094</v>
      </c>
      <c r="K300" s="6">
        <v>10000</v>
      </c>
      <c r="L300" s="21">
        <v>0.70952178231871721</v>
      </c>
      <c r="M300" s="1">
        <v>0</v>
      </c>
      <c r="N300" s="1" t="s">
        <v>28</v>
      </c>
      <c r="O300" s="1" t="s">
        <v>18</v>
      </c>
      <c r="P300" s="1" t="s">
        <v>18</v>
      </c>
      <c r="Q300" s="22" t="s">
        <v>18</v>
      </c>
      <c r="R300" s="8">
        <v>150.85209663686678</v>
      </c>
      <c r="S300" s="9" t="s">
        <v>2655</v>
      </c>
      <c r="T300" s="8">
        <v>156.46504895700298</v>
      </c>
      <c r="U300" s="9" t="s">
        <v>2655</v>
      </c>
      <c r="V300" s="8">
        <v>157.26624095359728</v>
      </c>
      <c r="W300" s="8" t="s">
        <v>2656</v>
      </c>
      <c r="X300" s="8"/>
    </row>
    <row r="301" spans="1:24" x14ac:dyDescent="0.3">
      <c r="A301" s="1" t="s">
        <v>148</v>
      </c>
      <c r="B301" s="1" t="s">
        <v>149</v>
      </c>
      <c r="C301" s="1" t="s">
        <v>1586</v>
      </c>
      <c r="D301" s="1" t="s">
        <v>14</v>
      </c>
      <c r="E301" s="1" t="s">
        <v>1588</v>
      </c>
      <c r="F301" s="1">
        <v>2010</v>
      </c>
      <c r="G301" s="1" t="s">
        <v>21</v>
      </c>
      <c r="H301" s="1">
        <v>2020</v>
      </c>
      <c r="I301" s="1" t="s">
        <v>1597</v>
      </c>
      <c r="J301" s="6">
        <v>14671</v>
      </c>
      <c r="K301" s="6">
        <v>13192</v>
      </c>
      <c r="L301" s="21">
        <v>0.89918887601390496</v>
      </c>
      <c r="M301" s="1">
        <v>0</v>
      </c>
      <c r="N301" s="1" t="s">
        <v>1589</v>
      </c>
      <c r="O301" s="1">
        <v>13</v>
      </c>
      <c r="P301" s="1" t="s">
        <v>18</v>
      </c>
      <c r="Q301" s="22" t="s">
        <v>18</v>
      </c>
      <c r="R301" s="8">
        <v>151.95572217299434</v>
      </c>
      <c r="S301" s="9" t="s">
        <v>2655</v>
      </c>
      <c r="T301" s="8">
        <v>147.1908254379388</v>
      </c>
      <c r="U301" s="9" t="s">
        <v>2656</v>
      </c>
      <c r="V301" s="8">
        <v>156.67880853384227</v>
      </c>
      <c r="W301" s="8" t="s">
        <v>2656</v>
      </c>
      <c r="X301" s="8"/>
    </row>
    <row r="302" spans="1:24" x14ac:dyDescent="0.3">
      <c r="A302" s="1" t="s">
        <v>298</v>
      </c>
      <c r="B302" s="1" t="s">
        <v>1948</v>
      </c>
      <c r="C302" s="1" t="s">
        <v>1586</v>
      </c>
      <c r="D302" s="1" t="s">
        <v>14</v>
      </c>
      <c r="E302" s="1" t="s">
        <v>1588</v>
      </c>
      <c r="F302" s="1">
        <v>2015</v>
      </c>
      <c r="G302" s="1" t="s">
        <v>19</v>
      </c>
      <c r="H302" s="1">
        <v>2020</v>
      </c>
      <c r="I302" s="1" t="s">
        <v>1600</v>
      </c>
      <c r="J302" s="6">
        <v>12767</v>
      </c>
      <c r="K302" s="6">
        <v>10352</v>
      </c>
      <c r="L302" s="21">
        <v>0.8108404480300776</v>
      </c>
      <c r="M302" s="1">
        <v>0</v>
      </c>
      <c r="N302" s="1" t="s">
        <v>1821</v>
      </c>
      <c r="O302" s="1" t="s">
        <v>18</v>
      </c>
      <c r="P302" s="1" t="s">
        <v>18</v>
      </c>
      <c r="Q302" s="22" t="s">
        <v>18</v>
      </c>
      <c r="R302" s="8">
        <v>148.65995222056867</v>
      </c>
      <c r="S302" s="9"/>
      <c r="T302" s="8">
        <v>152.57132450849849</v>
      </c>
      <c r="U302" s="9"/>
      <c r="V302" s="8">
        <v>156.28293491031565</v>
      </c>
      <c r="W302" s="8"/>
      <c r="X302" s="8"/>
    </row>
    <row r="303" spans="1:24" x14ac:dyDescent="0.3">
      <c r="A303" s="1" t="s">
        <v>607</v>
      </c>
      <c r="B303" s="1" t="s">
        <v>608</v>
      </c>
      <c r="C303" s="1" t="s">
        <v>1586</v>
      </c>
      <c r="D303" s="1" t="s">
        <v>14</v>
      </c>
      <c r="E303" s="1" t="s">
        <v>1588</v>
      </c>
      <c r="F303" s="1">
        <v>1994</v>
      </c>
      <c r="J303" s="6">
        <v>7526</v>
      </c>
      <c r="K303" s="6">
        <v>7526</v>
      </c>
      <c r="L303" s="21">
        <v>1</v>
      </c>
      <c r="M303" s="1">
        <v>0</v>
      </c>
      <c r="N303" s="1" t="s">
        <v>1589</v>
      </c>
      <c r="O303" s="1">
        <v>28</v>
      </c>
      <c r="P303" s="1" t="s">
        <v>18</v>
      </c>
      <c r="Q303" s="22" t="s">
        <v>18</v>
      </c>
      <c r="R303" s="8">
        <v>192.21174594738238</v>
      </c>
      <c r="S303" s="9" t="s">
        <v>2655</v>
      </c>
      <c r="T303" s="8">
        <v>178.48479271857562</v>
      </c>
      <c r="U303" s="9" t="s">
        <v>2655</v>
      </c>
      <c r="V303" s="8">
        <v>155.39230799893701</v>
      </c>
      <c r="W303" s="8" t="s">
        <v>2656</v>
      </c>
      <c r="X303" s="8"/>
    </row>
    <row r="304" spans="1:24" x14ac:dyDescent="0.3">
      <c r="A304" s="1" t="s">
        <v>279</v>
      </c>
      <c r="B304" s="1" t="s">
        <v>280</v>
      </c>
      <c r="C304" s="1" t="s">
        <v>1586</v>
      </c>
      <c r="D304" s="1" t="s">
        <v>14</v>
      </c>
      <c r="E304" s="1" t="s">
        <v>1588</v>
      </c>
      <c r="F304" s="1">
        <v>1996</v>
      </c>
      <c r="G304" s="1" t="s">
        <v>19</v>
      </c>
      <c r="H304" s="1">
        <v>2022</v>
      </c>
      <c r="I304" s="1" t="s">
        <v>1783</v>
      </c>
      <c r="J304" s="6">
        <v>6832</v>
      </c>
      <c r="K304" s="6">
        <v>6354</v>
      </c>
      <c r="L304" s="21">
        <v>0.93003512880562056</v>
      </c>
      <c r="M304" s="1">
        <v>0</v>
      </c>
      <c r="N304" s="1" t="s">
        <v>1589</v>
      </c>
      <c r="O304" s="1">
        <v>4</v>
      </c>
      <c r="P304" s="1">
        <v>0.52</v>
      </c>
      <c r="Q304" s="22">
        <v>43883</v>
      </c>
      <c r="R304" s="8">
        <v>146.6377049180328</v>
      </c>
      <c r="S304" s="9" t="s">
        <v>2655</v>
      </c>
      <c r="T304" s="8">
        <v>148.2336943793911</v>
      </c>
      <c r="U304" s="9" t="s">
        <v>2656</v>
      </c>
      <c r="V304" s="8">
        <v>154.51087529274005</v>
      </c>
      <c r="W304" s="8" t="s">
        <v>2656</v>
      </c>
      <c r="X304" s="8"/>
    </row>
    <row r="305" spans="1:24" x14ac:dyDescent="0.3">
      <c r="A305" s="1" t="s">
        <v>2542</v>
      </c>
      <c r="B305" s="1" t="s">
        <v>1468</v>
      </c>
      <c r="C305" s="1" t="s">
        <v>1586</v>
      </c>
      <c r="D305" s="1" t="s">
        <v>14</v>
      </c>
      <c r="E305" s="1" t="s">
        <v>1588</v>
      </c>
      <c r="F305" s="1">
        <v>2017</v>
      </c>
      <c r="G305" s="1" t="s">
        <v>25</v>
      </c>
      <c r="H305" s="1">
        <v>2017</v>
      </c>
      <c r="I305" s="1" t="s">
        <v>1598</v>
      </c>
      <c r="J305" s="6">
        <v>3867.79</v>
      </c>
      <c r="K305" s="6">
        <v>2800</v>
      </c>
      <c r="L305" s="21">
        <v>0.72392761758006507</v>
      </c>
      <c r="M305" s="1">
        <v>0</v>
      </c>
      <c r="N305" s="1" t="s">
        <v>1589</v>
      </c>
      <c r="O305" s="1">
        <v>0</v>
      </c>
      <c r="P305" s="1" t="s">
        <v>18</v>
      </c>
      <c r="Q305" s="22" t="s">
        <v>18</v>
      </c>
      <c r="R305" s="8">
        <v>117.35596555138723</v>
      </c>
      <c r="S305" s="9" t="s">
        <v>2656</v>
      </c>
      <c r="T305" s="8">
        <v>131.95117625310579</v>
      </c>
      <c r="U305" s="9" t="s">
        <v>2656</v>
      </c>
      <c r="V305" s="8">
        <v>152.49812166637795</v>
      </c>
      <c r="W305" s="8" t="s">
        <v>2656</v>
      </c>
      <c r="X305" s="8"/>
    </row>
    <row r="306" spans="1:24" x14ac:dyDescent="0.3">
      <c r="A306" s="1" t="s">
        <v>720</v>
      </c>
      <c r="B306" s="1" t="s">
        <v>721</v>
      </c>
      <c r="C306" s="1" t="s">
        <v>1586</v>
      </c>
      <c r="D306" s="1" t="s">
        <v>14</v>
      </c>
      <c r="E306" s="1" t="s">
        <v>1588</v>
      </c>
      <c r="F306" s="1">
        <v>1995</v>
      </c>
      <c r="J306" s="6">
        <v>10403</v>
      </c>
      <c r="K306" s="6">
        <v>8299</v>
      </c>
      <c r="L306" s="21">
        <v>0.79775064885129288</v>
      </c>
      <c r="M306" s="1">
        <v>0</v>
      </c>
      <c r="N306" s="1" t="s">
        <v>1590</v>
      </c>
      <c r="O306" s="1" t="s">
        <v>18</v>
      </c>
      <c r="P306" s="1">
        <v>1.1299999999999999</v>
      </c>
      <c r="Q306" s="22">
        <v>43152</v>
      </c>
      <c r="R306" s="8">
        <v>161.27151783139482</v>
      </c>
      <c r="S306" s="9" t="s">
        <v>2655</v>
      </c>
      <c r="T306" s="8">
        <v>141.67391617802556</v>
      </c>
      <c r="U306" s="9" t="s">
        <v>2656</v>
      </c>
      <c r="V306" s="8">
        <v>150.4273219263674</v>
      </c>
      <c r="W306" s="8" t="s">
        <v>2656</v>
      </c>
      <c r="X306" s="8"/>
    </row>
    <row r="307" spans="1:24" x14ac:dyDescent="0.3">
      <c r="A307" s="1" t="s">
        <v>2515</v>
      </c>
      <c r="B307" s="1" t="s">
        <v>2516</v>
      </c>
      <c r="C307" s="1" t="s">
        <v>1586</v>
      </c>
      <c r="D307" s="1" t="s">
        <v>14</v>
      </c>
      <c r="E307" s="1" t="s">
        <v>1588</v>
      </c>
      <c r="F307" s="1">
        <v>2015</v>
      </c>
      <c r="J307" s="6">
        <v>5973</v>
      </c>
      <c r="K307" s="6">
        <v>3360</v>
      </c>
      <c r="L307" s="21">
        <v>0.56253139126067297</v>
      </c>
      <c r="M307" s="1">
        <v>0</v>
      </c>
      <c r="N307" s="1" t="s">
        <v>28</v>
      </c>
      <c r="O307" s="1" t="s">
        <v>18</v>
      </c>
      <c r="P307" s="1" t="s">
        <v>18</v>
      </c>
      <c r="Q307" s="22" t="s">
        <v>18</v>
      </c>
      <c r="R307" s="8">
        <v>132.69070483843964</v>
      </c>
      <c r="S307" s="9" t="s">
        <v>2656</v>
      </c>
      <c r="T307" s="8">
        <v>153.52880462079355</v>
      </c>
      <c r="U307" s="9" t="s">
        <v>2655</v>
      </c>
      <c r="V307" s="8">
        <v>148.81558011049722</v>
      </c>
      <c r="W307" s="8" t="s">
        <v>2656</v>
      </c>
      <c r="X307" s="8"/>
    </row>
    <row r="308" spans="1:24" x14ac:dyDescent="0.3">
      <c r="A308" s="1" t="s">
        <v>1452</v>
      </c>
      <c r="B308" s="1" t="s">
        <v>1453</v>
      </c>
      <c r="C308" s="1" t="s">
        <v>1586</v>
      </c>
      <c r="D308" s="1" t="s">
        <v>14</v>
      </c>
      <c r="E308" s="1" t="s">
        <v>1588</v>
      </c>
      <c r="F308" s="1">
        <v>1991</v>
      </c>
      <c r="G308" s="1" t="s">
        <v>19</v>
      </c>
      <c r="H308" s="1">
        <v>2022</v>
      </c>
      <c r="I308" s="1" t="s">
        <v>1599</v>
      </c>
      <c r="J308" s="6">
        <v>11211.7</v>
      </c>
      <c r="K308" s="6">
        <v>10239</v>
      </c>
      <c r="L308" s="21">
        <v>0.91324241640429193</v>
      </c>
      <c r="M308" s="1">
        <v>0</v>
      </c>
      <c r="N308" s="1" t="s">
        <v>1589</v>
      </c>
      <c r="O308" s="1">
        <v>1</v>
      </c>
      <c r="P308" s="1">
        <v>0.65</v>
      </c>
      <c r="Q308" s="22">
        <v>44916</v>
      </c>
      <c r="R308" s="8">
        <v>135.44652728845759</v>
      </c>
      <c r="S308" s="9" t="s">
        <v>2656</v>
      </c>
      <c r="T308" s="8">
        <v>130.83636825815887</v>
      </c>
      <c r="U308" s="9" t="s">
        <v>2656</v>
      </c>
      <c r="V308" s="8">
        <v>148.13671521713923</v>
      </c>
      <c r="W308" s="8" t="s">
        <v>2656</v>
      </c>
      <c r="X308" s="8"/>
    </row>
    <row r="309" spans="1:24" x14ac:dyDescent="0.3">
      <c r="A309" s="1" t="s">
        <v>1244</v>
      </c>
      <c r="B309" s="1" t="s">
        <v>1245</v>
      </c>
      <c r="C309" s="1" t="s">
        <v>1586</v>
      </c>
      <c r="D309" s="1" t="s">
        <v>14</v>
      </c>
      <c r="E309" s="1" t="s">
        <v>1588</v>
      </c>
      <c r="F309" s="1">
        <v>1994</v>
      </c>
      <c r="J309" s="6">
        <v>12586</v>
      </c>
      <c r="K309" s="6">
        <v>1341</v>
      </c>
      <c r="L309" s="21">
        <v>0.1065469569362784</v>
      </c>
      <c r="M309" s="1">
        <v>0</v>
      </c>
      <c r="N309" s="1" t="s">
        <v>1589</v>
      </c>
      <c r="O309" s="1">
        <v>7</v>
      </c>
      <c r="P309" s="1" t="s">
        <v>18</v>
      </c>
      <c r="Q309" s="22" t="s">
        <v>18</v>
      </c>
      <c r="R309" s="8">
        <v>143.55639202288256</v>
      </c>
      <c r="S309" s="9" t="s">
        <v>2655</v>
      </c>
      <c r="T309" s="8">
        <v>134.40050452884157</v>
      </c>
      <c r="U309" s="9" t="s">
        <v>2656</v>
      </c>
      <c r="V309" s="8">
        <v>145.72866677260447</v>
      </c>
      <c r="W309" s="8" t="s">
        <v>2656</v>
      </c>
      <c r="X309" s="8"/>
    </row>
    <row r="310" spans="1:24" x14ac:dyDescent="0.3">
      <c r="A310" s="1" t="s">
        <v>2088</v>
      </c>
      <c r="B310" s="1" t="s">
        <v>2089</v>
      </c>
      <c r="C310" s="1" t="s">
        <v>1586</v>
      </c>
      <c r="D310" s="1" t="s">
        <v>14</v>
      </c>
      <c r="E310" s="1" t="s">
        <v>1588</v>
      </c>
      <c r="F310" s="1">
        <v>2021</v>
      </c>
      <c r="J310" s="6">
        <v>4276</v>
      </c>
      <c r="K310" s="6">
        <v>3498</v>
      </c>
      <c r="L310" s="21">
        <v>0.81805425631431239</v>
      </c>
      <c r="M310" s="1">
        <v>0</v>
      </c>
      <c r="N310" s="1" t="s">
        <v>28</v>
      </c>
      <c r="O310" s="1" t="s">
        <v>18</v>
      </c>
      <c r="P310" s="1" t="s">
        <v>18</v>
      </c>
      <c r="Q310" s="22" t="s">
        <v>18</v>
      </c>
      <c r="R310" s="8" t="s">
        <v>18</v>
      </c>
      <c r="S310" s="9"/>
      <c r="T310" s="8">
        <v>151.44246959775492</v>
      </c>
      <c r="U310" s="9" t="s">
        <v>2655</v>
      </c>
      <c r="V310" s="8">
        <v>144.07787652011226</v>
      </c>
      <c r="W310" s="8" t="s">
        <v>2656</v>
      </c>
      <c r="X310" s="8"/>
    </row>
    <row r="311" spans="1:24" x14ac:dyDescent="0.3">
      <c r="A311" s="1" t="s">
        <v>964</v>
      </c>
      <c r="B311" s="1" t="s">
        <v>1887</v>
      </c>
      <c r="C311" s="1" t="s">
        <v>1586</v>
      </c>
      <c r="D311" s="1" t="s">
        <v>14</v>
      </c>
      <c r="E311" s="1" t="s">
        <v>1588</v>
      </c>
      <c r="F311" s="1">
        <v>2012</v>
      </c>
      <c r="G311" s="1" t="s">
        <v>47</v>
      </c>
      <c r="H311" s="1">
        <v>2022</v>
      </c>
      <c r="I311" s="1" t="s">
        <v>1599</v>
      </c>
      <c r="J311" s="6">
        <v>4121</v>
      </c>
      <c r="K311" s="6">
        <v>4121</v>
      </c>
      <c r="L311" s="21">
        <v>1</v>
      </c>
      <c r="M311" s="1">
        <v>0</v>
      </c>
      <c r="N311" s="1" t="s">
        <v>28</v>
      </c>
      <c r="O311" s="1" t="s">
        <v>18</v>
      </c>
      <c r="P311" s="1" t="s">
        <v>18</v>
      </c>
      <c r="Q311" s="22" t="s">
        <v>18</v>
      </c>
      <c r="R311" s="8">
        <v>237.15504731861196</v>
      </c>
      <c r="S311" s="9" t="s">
        <v>2654</v>
      </c>
      <c r="T311" s="8">
        <v>160.75725066731377</v>
      </c>
      <c r="U311" s="9" t="s">
        <v>2655</v>
      </c>
      <c r="V311" s="8">
        <v>141.62402329531668</v>
      </c>
      <c r="W311" s="8" t="s">
        <v>2656</v>
      </c>
      <c r="X311" s="8"/>
    </row>
    <row r="312" spans="1:24" x14ac:dyDescent="0.3">
      <c r="A312" s="1" t="s">
        <v>366</v>
      </c>
      <c r="B312" s="1" t="s">
        <v>2128</v>
      </c>
      <c r="C312" s="1" t="s">
        <v>1586</v>
      </c>
      <c r="D312" s="1" t="s">
        <v>14</v>
      </c>
      <c r="E312" s="1" t="s">
        <v>1588</v>
      </c>
      <c r="F312" s="1">
        <v>1985</v>
      </c>
      <c r="G312" s="1" t="s">
        <v>19</v>
      </c>
      <c r="H312" s="1">
        <v>2022</v>
      </c>
      <c r="I312" s="1" t="s">
        <v>1818</v>
      </c>
      <c r="J312" s="6">
        <v>7669</v>
      </c>
      <c r="K312" s="6">
        <v>7110</v>
      </c>
      <c r="L312" s="21">
        <v>0.92710914069630979</v>
      </c>
      <c r="M312" s="1">
        <v>0</v>
      </c>
      <c r="N312" s="1" t="s">
        <v>1589</v>
      </c>
      <c r="O312" s="1">
        <v>6</v>
      </c>
      <c r="P312" s="1" t="s">
        <v>18</v>
      </c>
      <c r="Q312" s="22" t="s">
        <v>18</v>
      </c>
      <c r="R312" s="8">
        <v>125.60511018385709</v>
      </c>
      <c r="S312" s="9" t="s">
        <v>2656</v>
      </c>
      <c r="T312" s="8">
        <v>130.54360151258314</v>
      </c>
      <c r="U312" s="9" t="s">
        <v>2656</v>
      </c>
      <c r="V312" s="8">
        <v>141.58556526274612</v>
      </c>
      <c r="W312" s="8" t="s">
        <v>2656</v>
      </c>
      <c r="X312" s="8"/>
    </row>
    <row r="313" spans="1:24" x14ac:dyDescent="0.3">
      <c r="A313" s="1" t="s">
        <v>973</v>
      </c>
      <c r="B313" s="1" t="s">
        <v>974</v>
      </c>
      <c r="C313" s="1" t="s">
        <v>1586</v>
      </c>
      <c r="D313" s="1" t="s">
        <v>14</v>
      </c>
      <c r="E313" s="1" t="s">
        <v>1588</v>
      </c>
      <c r="F313" s="1">
        <v>1992</v>
      </c>
      <c r="J313" s="6">
        <v>5000</v>
      </c>
      <c r="K313" s="6">
        <v>3500</v>
      </c>
      <c r="L313" s="21">
        <v>0.7</v>
      </c>
      <c r="M313" s="1">
        <v>0</v>
      </c>
      <c r="N313" s="1" t="s">
        <v>1589</v>
      </c>
      <c r="O313" s="1">
        <v>6</v>
      </c>
      <c r="P313" s="1" t="s">
        <v>18</v>
      </c>
      <c r="Q313" s="22" t="s">
        <v>18</v>
      </c>
      <c r="R313" s="8">
        <v>151.123088</v>
      </c>
      <c r="S313" s="9" t="s">
        <v>2655</v>
      </c>
      <c r="T313" s="8">
        <v>151.487664</v>
      </c>
      <c r="U313" s="9" t="s">
        <v>2655</v>
      </c>
      <c r="V313" s="8">
        <v>141.03904800000001</v>
      </c>
      <c r="W313" s="8" t="s">
        <v>2656</v>
      </c>
      <c r="X313" s="8"/>
    </row>
    <row r="314" spans="1:24" x14ac:dyDescent="0.3">
      <c r="A314" s="1" t="s">
        <v>1657</v>
      </c>
      <c r="B314" s="1" t="s">
        <v>248</v>
      </c>
      <c r="C314" s="1" t="s">
        <v>1586</v>
      </c>
      <c r="D314" s="1" t="s">
        <v>14</v>
      </c>
      <c r="E314" s="1" t="s">
        <v>1588</v>
      </c>
      <c r="F314" s="1">
        <v>2009</v>
      </c>
      <c r="G314" s="1" t="s">
        <v>25</v>
      </c>
      <c r="H314" s="1">
        <v>2022</v>
      </c>
      <c r="I314" s="1" t="s">
        <v>1601</v>
      </c>
      <c r="J314" s="6">
        <v>11977</v>
      </c>
      <c r="K314" s="6">
        <v>9975</v>
      </c>
      <c r="L314" s="21">
        <v>0.83284628872004673</v>
      </c>
      <c r="M314" s="1">
        <v>0</v>
      </c>
      <c r="N314" s="1" t="s">
        <v>28</v>
      </c>
      <c r="O314" s="1" t="s">
        <v>18</v>
      </c>
      <c r="P314" s="1" t="s">
        <v>18</v>
      </c>
      <c r="Q314" s="22" t="s">
        <v>18</v>
      </c>
      <c r="R314" s="8">
        <v>137.50714118727561</v>
      </c>
      <c r="S314" s="9" t="s">
        <v>2656</v>
      </c>
      <c r="T314" s="8">
        <v>132.94245303498371</v>
      </c>
      <c r="U314" s="9" t="s">
        <v>2656</v>
      </c>
      <c r="V314" s="8">
        <v>140.43137931034482</v>
      </c>
      <c r="W314" s="8" t="s">
        <v>2656</v>
      </c>
      <c r="X314" s="8"/>
    </row>
    <row r="315" spans="1:24" x14ac:dyDescent="0.3">
      <c r="A315" s="1" t="s">
        <v>2502</v>
      </c>
      <c r="B315" s="1" t="s">
        <v>612</v>
      </c>
      <c r="C315" s="1" t="s">
        <v>1586</v>
      </c>
      <c r="D315" s="1" t="s">
        <v>14</v>
      </c>
      <c r="E315" s="1" t="s">
        <v>1588</v>
      </c>
      <c r="F315" s="1">
        <v>2007</v>
      </c>
      <c r="J315" s="6">
        <v>9374</v>
      </c>
      <c r="K315" s="6">
        <v>604</v>
      </c>
      <c r="L315" s="21">
        <v>6.4433539577554932E-2</v>
      </c>
      <c r="M315" s="1">
        <v>0</v>
      </c>
      <c r="N315" s="1" t="s">
        <v>1590</v>
      </c>
      <c r="O315" s="1" t="s">
        <v>18</v>
      </c>
      <c r="P315" s="1" t="s">
        <v>18</v>
      </c>
      <c r="Q315" s="22" t="s">
        <v>18</v>
      </c>
      <c r="R315" s="8">
        <v>167.29440580328568</v>
      </c>
      <c r="S315" s="9" t="s">
        <v>2655</v>
      </c>
      <c r="T315" s="8">
        <v>131.0791423085129</v>
      </c>
      <c r="U315" s="9" t="s">
        <v>2656</v>
      </c>
      <c r="V315" s="8">
        <v>139.63385534457009</v>
      </c>
      <c r="W315" s="8" t="s">
        <v>2656</v>
      </c>
      <c r="X315" s="8"/>
    </row>
    <row r="316" spans="1:24" x14ac:dyDescent="0.3">
      <c r="A316" s="1" t="s">
        <v>2291</v>
      </c>
      <c r="B316" s="1" t="s">
        <v>632</v>
      </c>
      <c r="C316" s="1" t="s">
        <v>1586</v>
      </c>
      <c r="D316" s="1" t="s">
        <v>14</v>
      </c>
      <c r="E316" s="1" t="s">
        <v>1588</v>
      </c>
      <c r="F316" s="1">
        <v>2012</v>
      </c>
      <c r="J316" s="6">
        <v>3340.4</v>
      </c>
      <c r="K316" s="6">
        <v>110071</v>
      </c>
      <c r="L316" s="21">
        <v>32.951442940965151</v>
      </c>
      <c r="M316" s="1">
        <v>0</v>
      </c>
      <c r="N316" s="1" t="s">
        <v>28</v>
      </c>
      <c r="O316" s="1" t="s">
        <v>18</v>
      </c>
      <c r="P316" s="1" t="s">
        <v>18</v>
      </c>
      <c r="Q316" s="22" t="s">
        <v>18</v>
      </c>
      <c r="R316" s="8">
        <v>170.08430128128367</v>
      </c>
      <c r="S316" s="9" t="s">
        <v>2655</v>
      </c>
      <c r="T316" s="8">
        <v>146.17518860016764</v>
      </c>
      <c r="U316" s="9" t="s">
        <v>2656</v>
      </c>
      <c r="V316" s="8">
        <v>139.47470362830799</v>
      </c>
      <c r="W316" s="8" t="s">
        <v>2656</v>
      </c>
      <c r="X316" s="8"/>
    </row>
    <row r="317" spans="1:24" x14ac:dyDescent="0.3">
      <c r="A317" s="1" t="s">
        <v>30</v>
      </c>
      <c r="B317" s="1" t="s">
        <v>2580</v>
      </c>
      <c r="C317" s="1" t="s">
        <v>1586</v>
      </c>
      <c r="D317" s="1" t="s">
        <v>14</v>
      </c>
      <c r="E317" s="1" t="s">
        <v>1588</v>
      </c>
      <c r="F317" s="1">
        <v>2011</v>
      </c>
      <c r="J317" s="6">
        <v>5030</v>
      </c>
      <c r="K317" s="6">
        <v>4024</v>
      </c>
      <c r="L317" s="21">
        <v>0.8</v>
      </c>
      <c r="M317" s="1">
        <v>0</v>
      </c>
      <c r="N317" s="1" t="s">
        <v>28</v>
      </c>
      <c r="Q317" s="22"/>
      <c r="R317" s="8">
        <v>115.42385685884692</v>
      </c>
      <c r="S317" s="9" t="s">
        <v>2656</v>
      </c>
      <c r="T317" s="8">
        <v>110.518986083499</v>
      </c>
      <c r="U317" s="9" t="s">
        <v>2657</v>
      </c>
      <c r="V317" s="8">
        <v>138.86707753479126</v>
      </c>
      <c r="W317" s="8" t="s">
        <v>2656</v>
      </c>
      <c r="X317" s="8"/>
    </row>
    <row r="318" spans="1:24" x14ac:dyDescent="0.3">
      <c r="A318" s="1" t="s">
        <v>1147</v>
      </c>
      <c r="B318" s="1" t="s">
        <v>1148</v>
      </c>
      <c r="C318" s="1" t="s">
        <v>1586</v>
      </c>
      <c r="D318" s="1" t="s">
        <v>14</v>
      </c>
      <c r="E318" s="1" t="s">
        <v>1588</v>
      </c>
      <c r="F318" s="1">
        <v>1998</v>
      </c>
      <c r="G318" s="1" t="s">
        <v>47</v>
      </c>
      <c r="H318" s="1">
        <v>2021</v>
      </c>
      <c r="I318" s="1" t="s">
        <v>1599</v>
      </c>
      <c r="J318" s="6">
        <v>9673</v>
      </c>
      <c r="K318" s="6">
        <v>8369</v>
      </c>
      <c r="L318" s="21">
        <v>0.86519177090871502</v>
      </c>
      <c r="M318" s="1">
        <v>0</v>
      </c>
      <c r="N318" s="1" t="s">
        <v>1590</v>
      </c>
      <c r="O318" s="1" t="s">
        <v>18</v>
      </c>
      <c r="P318" s="1">
        <v>0.96</v>
      </c>
      <c r="Q318" s="22">
        <v>44337</v>
      </c>
      <c r="R318" s="8">
        <v>164.91198180502431</v>
      </c>
      <c r="S318" s="9" t="s">
        <v>2655</v>
      </c>
      <c r="T318" s="8">
        <v>140.80622350873566</v>
      </c>
      <c r="U318" s="9" t="s">
        <v>2656</v>
      </c>
      <c r="V318" s="8">
        <v>136.38831799855268</v>
      </c>
      <c r="W318" s="8" t="s">
        <v>2656</v>
      </c>
      <c r="X318" s="8"/>
    </row>
    <row r="319" spans="1:24" x14ac:dyDescent="0.3">
      <c r="A319" s="1" t="s">
        <v>1956</v>
      </c>
      <c r="B319" s="1" t="s">
        <v>722</v>
      </c>
      <c r="C319" s="1" t="s">
        <v>1586</v>
      </c>
      <c r="D319" s="1" t="s">
        <v>14</v>
      </c>
      <c r="E319" s="1" t="s">
        <v>1588</v>
      </c>
      <c r="F319" s="1">
        <v>1993</v>
      </c>
      <c r="G319" s="1" t="s">
        <v>25</v>
      </c>
      <c r="H319" s="1">
        <v>2022</v>
      </c>
      <c r="I319" s="1" t="s">
        <v>1599</v>
      </c>
      <c r="J319" s="6">
        <v>9471</v>
      </c>
      <c r="K319" s="6">
        <v>956</v>
      </c>
      <c r="L319" s="21">
        <v>0.10093971069580826</v>
      </c>
      <c r="M319" s="1">
        <v>0</v>
      </c>
      <c r="N319" s="1" t="s">
        <v>28</v>
      </c>
      <c r="O319" s="1" t="s">
        <v>18</v>
      </c>
      <c r="P319" s="1" t="s">
        <v>18</v>
      </c>
      <c r="Q319" s="22" t="s">
        <v>18</v>
      </c>
      <c r="R319" s="8">
        <v>135.60251821349382</v>
      </c>
      <c r="S319" s="9" t="s">
        <v>2656</v>
      </c>
      <c r="T319" s="8">
        <v>137.77605321507761</v>
      </c>
      <c r="U319" s="9" t="s">
        <v>2656</v>
      </c>
      <c r="V319" s="8">
        <v>136.28606271777005</v>
      </c>
      <c r="W319" s="8" t="s">
        <v>2656</v>
      </c>
      <c r="X319" s="8"/>
    </row>
    <row r="320" spans="1:24" x14ac:dyDescent="0.3">
      <c r="A320" s="1" t="s">
        <v>577</v>
      </c>
      <c r="B320" s="1" t="s">
        <v>578</v>
      </c>
      <c r="C320" s="1" t="s">
        <v>1586</v>
      </c>
      <c r="D320" s="1" t="s">
        <v>14</v>
      </c>
      <c r="E320" s="1" t="s">
        <v>1588</v>
      </c>
      <c r="F320" s="1">
        <v>1975</v>
      </c>
      <c r="J320" s="6">
        <v>7200</v>
      </c>
      <c r="K320" s="6">
        <v>7200</v>
      </c>
      <c r="L320" s="21">
        <v>1</v>
      </c>
      <c r="M320" s="1">
        <v>0</v>
      </c>
      <c r="N320" s="1" t="s">
        <v>1589</v>
      </c>
      <c r="O320" s="1">
        <v>12</v>
      </c>
      <c r="P320" s="1" t="s">
        <v>18</v>
      </c>
      <c r="Q320" s="22" t="s">
        <v>18</v>
      </c>
      <c r="R320" s="8">
        <v>137.19249722222222</v>
      </c>
      <c r="S320" s="9" t="s">
        <v>2656</v>
      </c>
      <c r="T320" s="8">
        <v>137.805575</v>
      </c>
      <c r="U320" s="9" t="s">
        <v>2656</v>
      </c>
      <c r="V320" s="8">
        <v>135.69198611111111</v>
      </c>
      <c r="W320" s="8" t="s">
        <v>2656</v>
      </c>
      <c r="X320" s="8"/>
    </row>
    <row r="321" spans="1:24" x14ac:dyDescent="0.3">
      <c r="A321" s="1" t="s">
        <v>586</v>
      </c>
      <c r="B321" s="1" t="s">
        <v>587</v>
      </c>
      <c r="C321" s="1" t="s">
        <v>1586</v>
      </c>
      <c r="D321" s="1" t="s">
        <v>14</v>
      </c>
      <c r="E321" s="1" t="s">
        <v>1588</v>
      </c>
      <c r="F321" s="1">
        <v>1986</v>
      </c>
      <c r="J321" s="6">
        <v>10926</v>
      </c>
      <c r="K321" s="6">
        <v>7985</v>
      </c>
      <c r="L321" s="21">
        <v>0.73082555372505953</v>
      </c>
      <c r="M321" s="1">
        <v>0</v>
      </c>
      <c r="N321" s="1" t="s">
        <v>1589</v>
      </c>
      <c r="O321" s="1">
        <v>36</v>
      </c>
      <c r="P321" s="1" t="s">
        <v>18</v>
      </c>
      <c r="Q321" s="22" t="s">
        <v>18</v>
      </c>
      <c r="R321" s="8">
        <v>138.5858154859967</v>
      </c>
      <c r="S321" s="9" t="s">
        <v>2656</v>
      </c>
      <c r="T321" s="8">
        <v>128.84291231923851</v>
      </c>
      <c r="U321" s="9" t="s">
        <v>2656</v>
      </c>
      <c r="V321" s="8">
        <v>134.01545945451215</v>
      </c>
      <c r="W321" s="8" t="s">
        <v>2656</v>
      </c>
      <c r="X321" s="8"/>
    </row>
    <row r="322" spans="1:24" x14ac:dyDescent="0.3">
      <c r="A322" s="1" t="s">
        <v>1544</v>
      </c>
      <c r="B322" s="1" t="s">
        <v>2552</v>
      </c>
      <c r="C322" s="1" t="s">
        <v>1586</v>
      </c>
      <c r="D322" s="1" t="s">
        <v>14</v>
      </c>
      <c r="E322" s="1" t="s">
        <v>1588</v>
      </c>
      <c r="F322" s="1">
        <v>1988</v>
      </c>
      <c r="J322" s="6">
        <v>6034</v>
      </c>
      <c r="K322" s="6">
        <v>800</v>
      </c>
      <c r="L322" s="21">
        <v>0.1325820351342393</v>
      </c>
      <c r="M322" s="1">
        <v>0</v>
      </c>
      <c r="N322" s="1" t="s">
        <v>1590</v>
      </c>
      <c r="O322" s="1" t="s">
        <v>18</v>
      </c>
      <c r="P322" s="1" t="s">
        <v>18</v>
      </c>
      <c r="Q322" s="22" t="s">
        <v>18</v>
      </c>
      <c r="R322" s="8">
        <v>144.45477295326484</v>
      </c>
      <c r="S322" s="9" t="s">
        <v>2655</v>
      </c>
      <c r="T322" s="8">
        <v>140.46771461716938</v>
      </c>
      <c r="U322" s="9" t="s">
        <v>2656</v>
      </c>
      <c r="V322" s="8">
        <v>133.79293172025191</v>
      </c>
      <c r="W322" s="8" t="s">
        <v>2656</v>
      </c>
      <c r="X322" s="8"/>
    </row>
    <row r="323" spans="1:24" x14ac:dyDescent="0.3">
      <c r="A323" s="1" t="s">
        <v>33</v>
      </c>
      <c r="B323" s="1" t="s">
        <v>34</v>
      </c>
      <c r="C323" s="1" t="s">
        <v>1586</v>
      </c>
      <c r="D323" s="1" t="s">
        <v>14</v>
      </c>
      <c r="E323" s="1" t="s">
        <v>1588</v>
      </c>
      <c r="F323" s="1">
        <v>1975</v>
      </c>
      <c r="J323" s="6">
        <v>10418</v>
      </c>
      <c r="K323" s="6">
        <v>10418</v>
      </c>
      <c r="L323" s="21">
        <v>1</v>
      </c>
      <c r="M323" s="1">
        <v>0</v>
      </c>
      <c r="N323" s="1" t="s">
        <v>1589</v>
      </c>
      <c r="O323" s="1">
        <v>39</v>
      </c>
      <c r="P323" s="1">
        <v>0.8</v>
      </c>
      <c r="Q323" s="22">
        <v>44929</v>
      </c>
      <c r="R323" s="8">
        <v>129.53842580149743</v>
      </c>
      <c r="S323" s="9" t="s">
        <v>2656</v>
      </c>
      <c r="T323" s="8">
        <v>135.02324438471874</v>
      </c>
      <c r="U323" s="9" t="s">
        <v>2656</v>
      </c>
      <c r="V323" s="8">
        <v>133.57248416202725</v>
      </c>
      <c r="W323" s="8" t="s">
        <v>2656</v>
      </c>
      <c r="X323" s="8"/>
    </row>
    <row r="324" spans="1:24" x14ac:dyDescent="0.3">
      <c r="A324" s="1" t="s">
        <v>795</v>
      </c>
      <c r="B324" s="1" t="s">
        <v>796</v>
      </c>
      <c r="C324" s="1" t="s">
        <v>1586</v>
      </c>
      <c r="D324" s="1" t="s">
        <v>14</v>
      </c>
      <c r="E324" s="1" t="s">
        <v>1588</v>
      </c>
      <c r="F324" s="1">
        <v>2009</v>
      </c>
      <c r="J324" s="6">
        <v>7522</v>
      </c>
      <c r="K324" s="6">
        <v>5165</v>
      </c>
      <c r="L324" s="21">
        <v>0.68665248604094653</v>
      </c>
      <c r="M324" s="1">
        <v>0</v>
      </c>
      <c r="N324" s="1" t="s">
        <v>28</v>
      </c>
      <c r="O324" s="1" t="s">
        <v>18</v>
      </c>
      <c r="P324" s="1" t="s">
        <v>18</v>
      </c>
      <c r="Q324" s="22" t="s">
        <v>18</v>
      </c>
      <c r="R324" s="8">
        <v>127.54254187716033</v>
      </c>
      <c r="S324" s="9" t="s">
        <v>2656</v>
      </c>
      <c r="T324" s="8">
        <v>107.71536825312417</v>
      </c>
      <c r="U324" s="9" t="s">
        <v>2657</v>
      </c>
      <c r="V324" s="8">
        <v>133.2650890720553</v>
      </c>
      <c r="W324" s="8" t="s">
        <v>2656</v>
      </c>
      <c r="X324" s="8"/>
    </row>
    <row r="325" spans="1:24" x14ac:dyDescent="0.3">
      <c r="A325" s="1" t="s">
        <v>249</v>
      </c>
      <c r="B325" s="1" t="s">
        <v>250</v>
      </c>
      <c r="C325" s="1" t="s">
        <v>1586</v>
      </c>
      <c r="D325" s="1" t="s">
        <v>14</v>
      </c>
      <c r="E325" s="1" t="s">
        <v>1588</v>
      </c>
      <c r="F325" s="1">
        <v>1995</v>
      </c>
      <c r="J325" s="6">
        <v>7433</v>
      </c>
      <c r="K325" s="6">
        <v>5865</v>
      </c>
      <c r="L325" s="21">
        <v>0.78904883627068478</v>
      </c>
      <c r="M325" s="1">
        <v>0</v>
      </c>
      <c r="N325" s="1" t="s">
        <v>28</v>
      </c>
      <c r="O325" s="1" t="s">
        <v>18</v>
      </c>
      <c r="P325" s="1" t="s">
        <v>18</v>
      </c>
      <c r="Q325" s="22" t="s">
        <v>18</v>
      </c>
      <c r="R325" s="8">
        <v>111.63808018296784</v>
      </c>
      <c r="S325" s="9" t="s">
        <v>2656</v>
      </c>
      <c r="T325" s="8">
        <v>117.45466164401991</v>
      </c>
      <c r="U325" s="9" t="s">
        <v>2656</v>
      </c>
      <c r="V325" s="8">
        <v>133.15497914704696</v>
      </c>
      <c r="W325" s="8" t="s">
        <v>2656</v>
      </c>
      <c r="X325" s="8"/>
    </row>
    <row r="326" spans="1:24" x14ac:dyDescent="0.3">
      <c r="A326" s="1" t="s">
        <v>2132</v>
      </c>
      <c r="B326" s="1" t="s">
        <v>2133</v>
      </c>
      <c r="C326" s="1" t="s">
        <v>1586</v>
      </c>
      <c r="D326" s="1" t="s">
        <v>14</v>
      </c>
      <c r="E326" s="1" t="s">
        <v>1588</v>
      </c>
      <c r="F326" s="1">
        <v>2009</v>
      </c>
      <c r="G326" s="1" t="s">
        <v>25</v>
      </c>
      <c r="H326" s="1">
        <v>2021</v>
      </c>
      <c r="I326" s="1" t="s">
        <v>1599</v>
      </c>
      <c r="J326" s="6">
        <v>5274</v>
      </c>
      <c r="K326" s="6">
        <v>4701</v>
      </c>
      <c r="L326" s="21">
        <v>0.891353811149033</v>
      </c>
      <c r="M326" s="1">
        <v>0</v>
      </c>
      <c r="N326" s="1" t="s">
        <v>28</v>
      </c>
      <c r="O326" s="1" t="s">
        <v>18</v>
      </c>
      <c r="P326" s="1" t="s">
        <v>18</v>
      </c>
      <c r="Q326" s="22" t="s">
        <v>18</v>
      </c>
      <c r="R326" s="8">
        <v>131.89431740614336</v>
      </c>
      <c r="S326" s="9" t="s">
        <v>2656</v>
      </c>
      <c r="T326" s="8">
        <v>124.7835532802427</v>
      </c>
      <c r="U326" s="9" t="s">
        <v>2656</v>
      </c>
      <c r="V326" s="8">
        <v>130.79071482745545</v>
      </c>
      <c r="W326" s="8" t="s">
        <v>2656</v>
      </c>
      <c r="X326" s="8"/>
    </row>
    <row r="327" spans="1:24" x14ac:dyDescent="0.3">
      <c r="A327" s="1" t="s">
        <v>2390</v>
      </c>
      <c r="B327" s="1" t="s">
        <v>365</v>
      </c>
      <c r="C327" s="1" t="s">
        <v>1586</v>
      </c>
      <c r="D327" s="1" t="s">
        <v>14</v>
      </c>
      <c r="E327" s="1" t="s">
        <v>1588</v>
      </c>
      <c r="F327" s="1">
        <v>1990</v>
      </c>
      <c r="J327" s="6">
        <v>9938</v>
      </c>
      <c r="K327" s="6">
        <v>5454</v>
      </c>
      <c r="L327" s="21">
        <v>0.54880257597102033</v>
      </c>
      <c r="M327" s="1">
        <v>0</v>
      </c>
      <c r="N327" s="1" t="s">
        <v>1589</v>
      </c>
      <c r="O327" s="1">
        <v>13</v>
      </c>
      <c r="P327" s="1" t="s">
        <v>18</v>
      </c>
      <c r="Q327" s="22" t="s">
        <v>18</v>
      </c>
      <c r="R327" s="8">
        <v>114.20809015898571</v>
      </c>
      <c r="S327" s="9" t="s">
        <v>2656</v>
      </c>
      <c r="T327" s="8">
        <v>129.25135842221775</v>
      </c>
      <c r="U327" s="9" t="s">
        <v>2656</v>
      </c>
      <c r="V327" s="8">
        <v>129.25135842221775</v>
      </c>
      <c r="W327" s="8" t="s">
        <v>2656</v>
      </c>
      <c r="X327" s="8"/>
    </row>
    <row r="328" spans="1:24" x14ac:dyDescent="0.3">
      <c r="A328" s="1" t="s">
        <v>977</v>
      </c>
      <c r="B328" s="1" t="s">
        <v>978</v>
      </c>
      <c r="C328" s="1" t="s">
        <v>1586</v>
      </c>
      <c r="D328" s="1" t="s">
        <v>14</v>
      </c>
      <c r="E328" s="1" t="s">
        <v>1588</v>
      </c>
      <c r="F328" s="1">
        <v>1978</v>
      </c>
      <c r="J328" s="6">
        <v>12755.95</v>
      </c>
      <c r="K328" s="6">
        <v>12992</v>
      </c>
      <c r="L328" s="21">
        <v>1.0185050897816312</v>
      </c>
      <c r="M328" s="1">
        <v>0</v>
      </c>
      <c r="N328" s="1" t="s">
        <v>1589</v>
      </c>
      <c r="O328" s="1">
        <v>35</v>
      </c>
      <c r="P328" s="1" t="s">
        <v>18</v>
      </c>
      <c r="Q328" s="22" t="s">
        <v>18</v>
      </c>
      <c r="R328" s="8">
        <v>130.79402161344314</v>
      </c>
      <c r="S328" s="9" t="s">
        <v>2656</v>
      </c>
      <c r="T328" s="8">
        <v>129.01265291883394</v>
      </c>
      <c r="U328" s="9" t="s">
        <v>2656</v>
      </c>
      <c r="V328" s="8">
        <v>128.67045574810186</v>
      </c>
      <c r="W328" s="8" t="s">
        <v>2656</v>
      </c>
      <c r="X328" s="8"/>
    </row>
    <row r="329" spans="1:24" x14ac:dyDescent="0.3">
      <c r="A329" s="1" t="s">
        <v>2505</v>
      </c>
      <c r="B329" s="1" t="s">
        <v>673</v>
      </c>
      <c r="C329" s="1" t="s">
        <v>1586</v>
      </c>
      <c r="D329" s="1" t="s">
        <v>14</v>
      </c>
      <c r="E329" s="1" t="s">
        <v>1588</v>
      </c>
      <c r="F329" s="1">
        <v>2002</v>
      </c>
      <c r="J329" s="6">
        <v>6359</v>
      </c>
      <c r="K329" s="6">
        <v>5543</v>
      </c>
      <c r="L329" s="21">
        <v>0.87167793678251293</v>
      </c>
      <c r="M329" s="1">
        <v>0</v>
      </c>
      <c r="N329" s="1" t="s">
        <v>1590</v>
      </c>
      <c r="O329" s="1" t="s">
        <v>18</v>
      </c>
      <c r="P329" s="1" t="s">
        <v>18</v>
      </c>
      <c r="Q329" s="22" t="s">
        <v>18</v>
      </c>
      <c r="R329" s="8">
        <v>118.81854065104577</v>
      </c>
      <c r="S329" s="9" t="s">
        <v>2656</v>
      </c>
      <c r="T329" s="8">
        <v>142.5506447554647</v>
      </c>
      <c r="U329" s="9" t="s">
        <v>2656</v>
      </c>
      <c r="V329" s="8">
        <v>128.12886145620382</v>
      </c>
      <c r="W329" s="8" t="s">
        <v>2656</v>
      </c>
      <c r="X329" s="8"/>
    </row>
    <row r="330" spans="1:24" x14ac:dyDescent="0.3">
      <c r="A330" s="1" t="s">
        <v>2039</v>
      </c>
      <c r="B330" s="1" t="s">
        <v>2040</v>
      </c>
      <c r="C330" s="1" t="s">
        <v>1586</v>
      </c>
      <c r="D330" s="1" t="s">
        <v>14</v>
      </c>
      <c r="E330" s="1" t="s">
        <v>1588</v>
      </c>
      <c r="F330" s="1">
        <v>2011</v>
      </c>
      <c r="J330" s="6">
        <v>757</v>
      </c>
      <c r="K330" s="6">
        <v>755</v>
      </c>
      <c r="L330" s="21">
        <v>0.99735799207397624</v>
      </c>
      <c r="M330" s="1">
        <v>0</v>
      </c>
      <c r="N330" s="1" t="s">
        <v>28</v>
      </c>
      <c r="O330" s="1" t="s">
        <v>18</v>
      </c>
      <c r="P330" s="1" t="s">
        <v>18</v>
      </c>
      <c r="Q330" s="22" t="s">
        <v>18</v>
      </c>
      <c r="R330" s="8">
        <v>94.929167767503316</v>
      </c>
      <c r="S330" s="9" t="s">
        <v>2657</v>
      </c>
      <c r="T330" s="8">
        <v>59.186116248348746</v>
      </c>
      <c r="U330" s="9" t="s">
        <v>2657</v>
      </c>
      <c r="V330" s="8">
        <v>126.48895640686922</v>
      </c>
      <c r="W330" s="8" t="s">
        <v>2656</v>
      </c>
      <c r="X330" s="8"/>
    </row>
    <row r="331" spans="1:24" x14ac:dyDescent="0.3">
      <c r="A331" s="1" t="s">
        <v>2039</v>
      </c>
      <c r="B331" s="1" t="s">
        <v>2046</v>
      </c>
      <c r="C331" s="1" t="s">
        <v>1586</v>
      </c>
      <c r="D331" s="1" t="s">
        <v>14</v>
      </c>
      <c r="E331" s="1" t="s">
        <v>1588</v>
      </c>
      <c r="F331" s="1">
        <v>2011</v>
      </c>
      <c r="J331" s="6">
        <v>2599</v>
      </c>
      <c r="K331" s="6">
        <v>1904</v>
      </c>
      <c r="L331" s="21">
        <v>0.73258945748364757</v>
      </c>
      <c r="M331" s="1">
        <v>0</v>
      </c>
      <c r="N331" s="1" t="s">
        <v>28</v>
      </c>
      <c r="O331" s="1" t="s">
        <v>18</v>
      </c>
      <c r="P331" s="1" t="s">
        <v>18</v>
      </c>
      <c r="Q331" s="22" t="s">
        <v>18</v>
      </c>
      <c r="R331" s="8">
        <v>120.33521739130434</v>
      </c>
      <c r="S331" s="9" t="s">
        <v>2656</v>
      </c>
      <c r="T331" s="8">
        <v>114.48308195459794</v>
      </c>
      <c r="U331" s="9" t="s">
        <v>2656</v>
      </c>
      <c r="V331" s="8">
        <v>124.33958830319355</v>
      </c>
      <c r="W331" s="8" t="s">
        <v>2656</v>
      </c>
      <c r="X331" s="8"/>
    </row>
    <row r="332" spans="1:24" x14ac:dyDescent="0.3">
      <c r="A332" s="1" t="s">
        <v>923</v>
      </c>
      <c r="B332" s="1" t="s">
        <v>924</v>
      </c>
      <c r="C332" s="1" t="s">
        <v>1586</v>
      </c>
      <c r="D332" s="1" t="s">
        <v>14</v>
      </c>
      <c r="E332" s="1" t="s">
        <v>1588</v>
      </c>
      <c r="F332" s="1">
        <v>2005</v>
      </c>
      <c r="J332" s="6">
        <v>5463</v>
      </c>
      <c r="K332" s="6">
        <v>3405</v>
      </c>
      <c r="L332" s="21">
        <v>0.62328390993959359</v>
      </c>
      <c r="M332" s="1">
        <v>0</v>
      </c>
      <c r="N332" s="1" t="s">
        <v>28</v>
      </c>
      <c r="O332" s="1" t="s">
        <v>18</v>
      </c>
      <c r="P332" s="1" t="s">
        <v>18</v>
      </c>
      <c r="Q332" s="22" t="s">
        <v>18</v>
      </c>
      <c r="R332" s="8">
        <v>108.82635914332785</v>
      </c>
      <c r="S332" s="9" t="s">
        <v>2657</v>
      </c>
      <c r="T332" s="8">
        <v>117.59210140948197</v>
      </c>
      <c r="U332" s="9" t="s">
        <v>2656</v>
      </c>
      <c r="V332" s="8">
        <v>121.29372139849899</v>
      </c>
      <c r="W332" s="8" t="s">
        <v>2656</v>
      </c>
      <c r="X332" s="8"/>
    </row>
    <row r="333" spans="1:24" x14ac:dyDescent="0.3">
      <c r="A333" s="1" t="s">
        <v>1656</v>
      </c>
      <c r="B333" s="1" t="s">
        <v>919</v>
      </c>
      <c r="C333" s="1" t="s">
        <v>1586</v>
      </c>
      <c r="D333" s="1" t="s">
        <v>14</v>
      </c>
      <c r="E333" s="1" t="s">
        <v>1588</v>
      </c>
      <c r="F333" s="1">
        <v>2013</v>
      </c>
      <c r="J333" s="6">
        <v>14893</v>
      </c>
      <c r="K333" s="6">
        <v>10000</v>
      </c>
      <c r="L333" s="21">
        <v>0.67145638890754045</v>
      </c>
      <c r="M333" s="1">
        <v>0</v>
      </c>
      <c r="N333" s="1" t="s">
        <v>28</v>
      </c>
      <c r="Q333" s="22"/>
      <c r="R333" s="8">
        <v>112.28723225676492</v>
      </c>
      <c r="S333" s="9" t="s">
        <v>2656</v>
      </c>
      <c r="T333" s="8">
        <v>129.18163902504534</v>
      </c>
      <c r="U333" s="9" t="s">
        <v>2656</v>
      </c>
      <c r="V333" s="8">
        <v>117.99944806284832</v>
      </c>
      <c r="W333" s="8" t="s">
        <v>2656</v>
      </c>
      <c r="X333" s="8"/>
    </row>
    <row r="334" spans="1:24" x14ac:dyDescent="0.3">
      <c r="A334" s="1" t="s">
        <v>31</v>
      </c>
      <c r="B334" s="1" t="s">
        <v>32</v>
      </c>
      <c r="C334" s="1" t="s">
        <v>1586</v>
      </c>
      <c r="D334" s="1" t="s">
        <v>14</v>
      </c>
      <c r="E334" s="1" t="s">
        <v>1588</v>
      </c>
      <c r="F334" s="1">
        <v>1993</v>
      </c>
      <c r="J334" s="6">
        <v>5824</v>
      </c>
      <c r="K334" s="6">
        <v>4070</v>
      </c>
      <c r="L334" s="21">
        <v>0.69883241758241754</v>
      </c>
      <c r="M334" s="1">
        <v>0</v>
      </c>
      <c r="N334" s="1" t="s">
        <v>1590</v>
      </c>
      <c r="O334" s="1" t="s">
        <v>18</v>
      </c>
      <c r="P334" s="1" t="s">
        <v>18</v>
      </c>
      <c r="Q334" s="22" t="s">
        <v>18</v>
      </c>
      <c r="R334" s="8">
        <v>138.01088942307692</v>
      </c>
      <c r="S334" s="9" t="s">
        <v>2656</v>
      </c>
      <c r="T334" s="8">
        <v>119.05404532967033</v>
      </c>
      <c r="U334" s="9" t="s">
        <v>2656</v>
      </c>
      <c r="V334" s="8">
        <v>117.98011160714286</v>
      </c>
      <c r="W334" s="8" t="s">
        <v>2656</v>
      </c>
      <c r="X334" s="8"/>
    </row>
    <row r="335" spans="1:24" x14ac:dyDescent="0.3">
      <c r="A335" s="1" t="s">
        <v>1986</v>
      </c>
      <c r="B335" s="1" t="s">
        <v>1987</v>
      </c>
      <c r="C335" s="1" t="s">
        <v>1586</v>
      </c>
      <c r="D335" s="1" t="s">
        <v>14</v>
      </c>
      <c r="E335" s="1" t="s">
        <v>1588</v>
      </c>
      <c r="F335" s="1">
        <v>2001</v>
      </c>
      <c r="J335" s="6">
        <v>10700</v>
      </c>
      <c r="K335" s="6">
        <v>9095</v>
      </c>
      <c r="L335" s="21">
        <v>0.85</v>
      </c>
      <c r="M335" s="1">
        <v>0</v>
      </c>
      <c r="N335" s="1" t="s">
        <v>28</v>
      </c>
      <c r="O335" s="1" t="s">
        <v>18</v>
      </c>
      <c r="P335" s="1" t="s">
        <v>18</v>
      </c>
      <c r="Q335" s="22" t="s">
        <v>18</v>
      </c>
      <c r="R335" s="8">
        <v>125.3849308411215</v>
      </c>
      <c r="S335" s="9" t="s">
        <v>2656</v>
      </c>
      <c r="T335" s="8">
        <v>112.96692803738317</v>
      </c>
      <c r="U335" s="9" t="s">
        <v>2657</v>
      </c>
      <c r="V335" s="8">
        <v>117.85892523364485</v>
      </c>
      <c r="W335" s="8" t="s">
        <v>2656</v>
      </c>
      <c r="X335" s="8"/>
    </row>
    <row r="336" spans="1:24" x14ac:dyDescent="0.3">
      <c r="A336" s="1" t="s">
        <v>885</v>
      </c>
      <c r="B336" s="1" t="s">
        <v>2583</v>
      </c>
      <c r="C336" s="1" t="s">
        <v>1586</v>
      </c>
      <c r="D336" s="1" t="s">
        <v>14</v>
      </c>
      <c r="E336" s="1" t="s">
        <v>1588</v>
      </c>
      <c r="F336" s="1">
        <v>1973</v>
      </c>
      <c r="J336" s="6">
        <v>11481</v>
      </c>
      <c r="K336" s="6">
        <v>10000</v>
      </c>
      <c r="L336" s="21">
        <v>0.87100426792091279</v>
      </c>
      <c r="M336" s="1">
        <v>0</v>
      </c>
      <c r="N336" s="1" t="s">
        <v>1589</v>
      </c>
      <c r="O336" s="1">
        <v>1</v>
      </c>
      <c r="Q336" s="22"/>
      <c r="R336" s="8">
        <v>89.433233167842516</v>
      </c>
      <c r="S336" s="9" t="s">
        <v>2657</v>
      </c>
      <c r="T336" s="8">
        <v>95.582127863426521</v>
      </c>
      <c r="U336" s="9" t="s">
        <v>2657</v>
      </c>
      <c r="V336" s="8">
        <v>117.35444908980054</v>
      </c>
      <c r="W336" s="8" t="s">
        <v>2656</v>
      </c>
      <c r="X336" s="8"/>
    </row>
    <row r="337" spans="1:24" x14ac:dyDescent="0.3">
      <c r="A337" s="1" t="s">
        <v>925</v>
      </c>
      <c r="B337" s="1" t="s">
        <v>926</v>
      </c>
      <c r="C337" s="1" t="s">
        <v>1586</v>
      </c>
      <c r="D337" s="1" t="s">
        <v>14</v>
      </c>
      <c r="E337" s="1" t="s">
        <v>1588</v>
      </c>
      <c r="F337" s="1">
        <v>1999</v>
      </c>
      <c r="G337" s="1" t="s">
        <v>19</v>
      </c>
      <c r="H337" s="1">
        <v>2021</v>
      </c>
      <c r="I337" s="1" t="s">
        <v>1599</v>
      </c>
      <c r="J337" s="6">
        <v>12709</v>
      </c>
      <c r="K337" s="6">
        <v>9578</v>
      </c>
      <c r="L337" s="21">
        <v>0.75363915335588949</v>
      </c>
      <c r="M337" s="1">
        <v>0</v>
      </c>
      <c r="N337" s="1" t="s">
        <v>1589</v>
      </c>
      <c r="O337" s="1">
        <v>21</v>
      </c>
      <c r="P337" s="1">
        <v>0.55200000000000005</v>
      </c>
      <c r="Q337" s="22">
        <v>43800</v>
      </c>
      <c r="R337" s="8">
        <v>122.17760642064678</v>
      </c>
      <c r="S337" s="9" t="s">
        <v>2656</v>
      </c>
      <c r="T337" s="8">
        <v>97.501455661342362</v>
      </c>
      <c r="U337" s="9" t="s">
        <v>2657</v>
      </c>
      <c r="V337" s="8">
        <v>117.33556377370367</v>
      </c>
      <c r="W337" s="8" t="s">
        <v>2656</v>
      </c>
      <c r="X337" s="8"/>
    </row>
    <row r="338" spans="1:24" x14ac:dyDescent="0.3">
      <c r="A338" s="1" t="s">
        <v>512</v>
      </c>
      <c r="B338" s="1" t="s">
        <v>1958</v>
      </c>
      <c r="C338" s="1" t="s">
        <v>1586</v>
      </c>
      <c r="D338" s="1" t="s">
        <v>14</v>
      </c>
      <c r="E338" s="1" t="s">
        <v>1588</v>
      </c>
      <c r="F338" s="1">
        <v>2009</v>
      </c>
      <c r="J338" s="6">
        <v>5111</v>
      </c>
      <c r="K338" s="6">
        <v>3967</v>
      </c>
      <c r="L338" s="21">
        <v>0.77616904715319901</v>
      </c>
      <c r="M338" s="1">
        <v>0</v>
      </c>
      <c r="N338" s="1" t="s">
        <v>28</v>
      </c>
      <c r="O338" s="1" t="s">
        <v>18</v>
      </c>
      <c r="P338" s="1" t="s">
        <v>18</v>
      </c>
      <c r="Q338" s="22" t="s">
        <v>18</v>
      </c>
      <c r="R338" s="8">
        <v>109.79854627274506</v>
      </c>
      <c r="S338" s="9" t="s">
        <v>2657</v>
      </c>
      <c r="T338" s="8">
        <v>102.13342594404226</v>
      </c>
      <c r="U338" s="9" t="s">
        <v>2657</v>
      </c>
      <c r="V338" s="8">
        <v>115.78262570925455</v>
      </c>
      <c r="W338" s="8" t="s">
        <v>2656</v>
      </c>
      <c r="X338" s="8"/>
    </row>
    <row r="339" spans="1:24" x14ac:dyDescent="0.3">
      <c r="A339" s="1" t="s">
        <v>1652</v>
      </c>
      <c r="B339" s="1" t="s">
        <v>970</v>
      </c>
      <c r="C339" s="1" t="s">
        <v>1586</v>
      </c>
      <c r="D339" s="1" t="s">
        <v>14</v>
      </c>
      <c r="E339" s="1" t="s">
        <v>1588</v>
      </c>
      <c r="F339" s="1">
        <v>1995</v>
      </c>
      <c r="J339" s="6">
        <v>10943</v>
      </c>
      <c r="K339" s="6">
        <v>7432</v>
      </c>
      <c r="L339" s="21">
        <v>0.67915562460020107</v>
      </c>
      <c r="M339" s="1">
        <v>0</v>
      </c>
      <c r="N339" s="1" t="s">
        <v>1589</v>
      </c>
      <c r="O339" s="1">
        <v>26</v>
      </c>
      <c r="Q339" s="22"/>
      <c r="R339" s="8">
        <v>129.97086265192362</v>
      </c>
      <c r="S339" s="9" t="s">
        <v>2656</v>
      </c>
      <c r="T339" s="8">
        <v>120.15827835145755</v>
      </c>
      <c r="U339" s="9" t="s">
        <v>2656</v>
      </c>
      <c r="V339" s="8">
        <v>114.1044274878918</v>
      </c>
      <c r="W339" s="8" t="s">
        <v>2656</v>
      </c>
      <c r="X339" s="8"/>
    </row>
    <row r="340" spans="1:24" x14ac:dyDescent="0.3">
      <c r="A340" s="1" t="s">
        <v>2134</v>
      </c>
      <c r="B340" s="1" t="s">
        <v>79</v>
      </c>
      <c r="C340" s="1" t="s">
        <v>1586</v>
      </c>
      <c r="D340" s="1" t="s">
        <v>14</v>
      </c>
      <c r="E340" s="1" t="s">
        <v>1588</v>
      </c>
      <c r="F340" s="1">
        <v>2009</v>
      </c>
      <c r="G340" s="1" t="s">
        <v>21</v>
      </c>
      <c r="H340" s="1">
        <v>2021</v>
      </c>
      <c r="I340" s="1" t="s">
        <v>1597</v>
      </c>
      <c r="J340" s="6">
        <v>11520</v>
      </c>
      <c r="K340" s="6">
        <v>10260</v>
      </c>
      <c r="L340" s="21">
        <v>0.890625</v>
      </c>
      <c r="M340" s="1">
        <v>0</v>
      </c>
      <c r="N340" s="1" t="s">
        <v>28</v>
      </c>
      <c r="O340" s="1" t="s">
        <v>18</v>
      </c>
      <c r="P340" s="1" t="s">
        <v>18</v>
      </c>
      <c r="Q340" s="22" t="s">
        <v>18</v>
      </c>
      <c r="R340" s="8">
        <v>147.07425781250001</v>
      </c>
      <c r="S340" s="9" t="s">
        <v>2655</v>
      </c>
      <c r="T340" s="8">
        <v>136.88418663194446</v>
      </c>
      <c r="U340" s="9" t="s">
        <v>2656</v>
      </c>
      <c r="V340" s="8">
        <v>111.7706640625</v>
      </c>
      <c r="W340" s="8" t="s">
        <v>2656</v>
      </c>
      <c r="X340" s="8"/>
    </row>
    <row r="341" spans="1:24" x14ac:dyDescent="0.3">
      <c r="A341" s="1" t="s">
        <v>153</v>
      </c>
      <c r="B341" s="1" t="s">
        <v>154</v>
      </c>
      <c r="C341" s="1" t="s">
        <v>1586</v>
      </c>
      <c r="D341" s="1" t="s">
        <v>14</v>
      </c>
      <c r="E341" s="1" t="s">
        <v>1588</v>
      </c>
      <c r="F341" s="1">
        <v>1984</v>
      </c>
      <c r="J341" s="6">
        <v>11950</v>
      </c>
      <c r="K341" s="6">
        <v>18945</v>
      </c>
      <c r="L341" s="21">
        <v>1.5853556485355649</v>
      </c>
      <c r="M341" s="1">
        <v>0</v>
      </c>
      <c r="N341" s="1" t="s">
        <v>1589</v>
      </c>
      <c r="O341" s="1">
        <v>38</v>
      </c>
      <c r="P341" s="1" t="s">
        <v>18</v>
      </c>
      <c r="Q341" s="22" t="s">
        <v>18</v>
      </c>
      <c r="R341" s="8">
        <v>117.47417824267784</v>
      </c>
      <c r="S341" s="9" t="s">
        <v>2656</v>
      </c>
      <c r="T341" s="8">
        <v>105.40931548117155</v>
      </c>
      <c r="U341" s="9" t="s">
        <v>2657</v>
      </c>
      <c r="V341" s="8">
        <v>111.02458158995816</v>
      </c>
      <c r="W341" s="8" t="s">
        <v>2656</v>
      </c>
      <c r="X341" s="8"/>
    </row>
    <row r="342" spans="1:24" x14ac:dyDescent="0.3">
      <c r="A342" s="1" t="s">
        <v>2313</v>
      </c>
      <c r="B342" s="1" t="s">
        <v>1568</v>
      </c>
      <c r="C342" s="1" t="s">
        <v>1586</v>
      </c>
      <c r="D342" s="1" t="s">
        <v>14</v>
      </c>
      <c r="E342" s="1" t="s">
        <v>1588</v>
      </c>
      <c r="F342" s="1">
        <v>1999</v>
      </c>
      <c r="J342" s="6">
        <v>10121</v>
      </c>
      <c r="K342" s="6">
        <v>6471</v>
      </c>
      <c r="L342" s="21">
        <v>0.63936369923920566</v>
      </c>
      <c r="M342" s="1">
        <v>0</v>
      </c>
      <c r="N342" s="1" t="s">
        <v>1590</v>
      </c>
      <c r="O342" s="1" t="s">
        <v>18</v>
      </c>
      <c r="P342" s="1">
        <v>0.9</v>
      </c>
      <c r="Q342" s="22">
        <v>44995</v>
      </c>
      <c r="R342" s="8">
        <v>114.68669103843494</v>
      </c>
      <c r="S342" s="9" t="s">
        <v>2656</v>
      </c>
      <c r="T342" s="8">
        <v>111.1259262918684</v>
      </c>
      <c r="U342" s="9" t="s">
        <v>2657</v>
      </c>
      <c r="V342" s="8">
        <v>109.77467641537397</v>
      </c>
      <c r="W342" s="8" t="s">
        <v>2656</v>
      </c>
      <c r="X342" s="8"/>
    </row>
    <row r="343" spans="1:24" x14ac:dyDescent="0.3">
      <c r="A343" s="1" t="s">
        <v>690</v>
      </c>
      <c r="B343" s="1" t="s">
        <v>691</v>
      </c>
      <c r="C343" s="1" t="s">
        <v>1586</v>
      </c>
      <c r="D343" s="1" t="s">
        <v>14</v>
      </c>
      <c r="E343" s="1" t="s">
        <v>1588</v>
      </c>
      <c r="F343" s="1">
        <v>2014</v>
      </c>
      <c r="J343" s="6">
        <v>7853.6</v>
      </c>
      <c r="K343" s="6">
        <v>852</v>
      </c>
      <c r="L343" s="21">
        <v>0.10848528063563206</v>
      </c>
      <c r="M343" s="1">
        <v>0</v>
      </c>
      <c r="N343" s="1" t="s">
        <v>28</v>
      </c>
      <c r="O343" s="1" t="s">
        <v>18</v>
      </c>
      <c r="P343" s="1" t="s">
        <v>18</v>
      </c>
      <c r="Q343" s="22" t="s">
        <v>18</v>
      </c>
      <c r="R343" s="8">
        <v>117.98298359987774</v>
      </c>
      <c r="S343" s="9" t="s">
        <v>2656</v>
      </c>
      <c r="T343" s="8">
        <v>125.66494983192419</v>
      </c>
      <c r="U343" s="9" t="s">
        <v>2656</v>
      </c>
      <c r="V343" s="8">
        <v>109.33907507385148</v>
      </c>
      <c r="W343" s="8" t="s">
        <v>2656</v>
      </c>
      <c r="X343" s="8"/>
    </row>
    <row r="344" spans="1:24" x14ac:dyDescent="0.3">
      <c r="A344" s="1" t="s">
        <v>165</v>
      </c>
      <c r="B344" s="1" t="s">
        <v>166</v>
      </c>
      <c r="C344" s="1" t="s">
        <v>1586</v>
      </c>
      <c r="D344" s="1" t="s">
        <v>14</v>
      </c>
      <c r="E344" s="1" t="s">
        <v>1588</v>
      </c>
      <c r="F344" s="1">
        <v>1985</v>
      </c>
      <c r="J344" s="6">
        <v>6268</v>
      </c>
      <c r="K344" s="6">
        <v>4765</v>
      </c>
      <c r="L344" s="21">
        <v>0.7602105934907466</v>
      </c>
      <c r="M344" s="1">
        <v>0</v>
      </c>
      <c r="N344" s="1" t="s">
        <v>1787</v>
      </c>
      <c r="O344" s="1" t="s">
        <v>18</v>
      </c>
      <c r="P344" s="1" t="s">
        <v>18</v>
      </c>
      <c r="Q344" s="22" t="s">
        <v>18</v>
      </c>
      <c r="R344" s="8">
        <v>103.46575781748564</v>
      </c>
      <c r="S344" s="9" t="s">
        <v>2657</v>
      </c>
      <c r="T344" s="8">
        <v>104.02469208679005</v>
      </c>
      <c r="U344" s="9" t="s">
        <v>2657</v>
      </c>
      <c r="V344" s="8">
        <v>109.17107370772177</v>
      </c>
      <c r="W344" s="8" t="s">
        <v>2656</v>
      </c>
      <c r="X344" s="8"/>
    </row>
    <row r="345" spans="1:24" x14ac:dyDescent="0.3">
      <c r="A345" s="1" t="s">
        <v>1267</v>
      </c>
      <c r="B345" s="1" t="s">
        <v>2005</v>
      </c>
      <c r="C345" s="1" t="s">
        <v>1586</v>
      </c>
      <c r="D345" s="1" t="s">
        <v>14</v>
      </c>
      <c r="E345" s="1" t="s">
        <v>1588</v>
      </c>
      <c r="F345" s="1">
        <v>1998</v>
      </c>
      <c r="J345" s="6">
        <v>7386</v>
      </c>
      <c r="K345" s="6">
        <v>6950</v>
      </c>
      <c r="L345" s="21">
        <v>0.94096940157053888</v>
      </c>
      <c r="M345" s="1">
        <v>0</v>
      </c>
      <c r="N345" s="1" t="s">
        <v>1590</v>
      </c>
      <c r="O345" s="1" t="s">
        <v>18</v>
      </c>
      <c r="P345" s="1" t="s">
        <v>18</v>
      </c>
      <c r="Q345" s="22" t="s">
        <v>18</v>
      </c>
      <c r="R345" s="8">
        <v>58.329647982669918</v>
      </c>
      <c r="S345" s="9" t="s">
        <v>2657</v>
      </c>
      <c r="T345" s="8">
        <v>86.57671405361495</v>
      </c>
      <c r="U345" s="9" t="s">
        <v>2657</v>
      </c>
      <c r="V345" s="8">
        <v>108.76219740048741</v>
      </c>
      <c r="W345" s="8" t="s">
        <v>2657</v>
      </c>
      <c r="X345" s="8"/>
    </row>
    <row r="346" spans="1:24" x14ac:dyDescent="0.3">
      <c r="A346" s="1" t="s">
        <v>827</v>
      </c>
      <c r="B346" s="1" t="s">
        <v>1855</v>
      </c>
      <c r="C346" s="1" t="s">
        <v>1586</v>
      </c>
      <c r="D346" s="1" t="s">
        <v>14</v>
      </c>
      <c r="E346" s="1" t="s">
        <v>1588</v>
      </c>
      <c r="F346" s="1">
        <v>1986</v>
      </c>
      <c r="J346" s="6">
        <v>12948</v>
      </c>
      <c r="K346" s="6">
        <v>10762</v>
      </c>
      <c r="L346" s="21">
        <v>0.83117083719493356</v>
      </c>
      <c r="M346" s="1">
        <v>0</v>
      </c>
      <c r="N346" s="1" t="s">
        <v>1589</v>
      </c>
      <c r="O346" s="1">
        <v>4</v>
      </c>
      <c r="P346" s="1">
        <v>0.54900000000000004</v>
      </c>
      <c r="Q346" s="22">
        <v>44032</v>
      </c>
      <c r="R346" s="8">
        <v>140.57826691380907</v>
      </c>
      <c r="S346" s="9" t="s">
        <v>2656</v>
      </c>
      <c r="T346" s="8">
        <v>134.37455514365152</v>
      </c>
      <c r="U346" s="9" t="s">
        <v>2656</v>
      </c>
      <c r="V346" s="8">
        <v>108.00736329935125</v>
      </c>
      <c r="W346" s="8" t="s">
        <v>2657</v>
      </c>
      <c r="X346" s="8"/>
    </row>
    <row r="347" spans="1:24" x14ac:dyDescent="0.3">
      <c r="A347" s="1" t="s">
        <v>223</v>
      </c>
      <c r="B347" s="1" t="s">
        <v>224</v>
      </c>
      <c r="C347" s="1" t="s">
        <v>1586</v>
      </c>
      <c r="D347" s="1" t="s">
        <v>14</v>
      </c>
      <c r="E347" s="1" t="s">
        <v>1588</v>
      </c>
      <c r="F347" s="1">
        <v>2003</v>
      </c>
      <c r="G347" s="1" t="s">
        <v>19</v>
      </c>
      <c r="H347" s="1">
        <v>2023</v>
      </c>
      <c r="I347" s="1" t="s">
        <v>1783</v>
      </c>
      <c r="J347" s="6">
        <v>10720</v>
      </c>
      <c r="K347" s="6">
        <v>8988</v>
      </c>
      <c r="L347" s="21">
        <v>0.83843283582089556</v>
      </c>
      <c r="M347" s="1">
        <v>0</v>
      </c>
      <c r="N347" s="1" t="s">
        <v>1787</v>
      </c>
      <c r="O347" s="1" t="s">
        <v>18</v>
      </c>
      <c r="P347" s="1">
        <v>1.63</v>
      </c>
      <c r="Q347" s="22">
        <v>44691</v>
      </c>
      <c r="R347" s="8">
        <v>133.90452425373135</v>
      </c>
      <c r="S347" s="9" t="s">
        <v>2656</v>
      </c>
      <c r="T347" s="8">
        <v>106.49783115671642</v>
      </c>
      <c r="U347" s="9" t="s">
        <v>2657</v>
      </c>
      <c r="V347" s="8">
        <v>106.56548507462686</v>
      </c>
      <c r="W347" s="8" t="s">
        <v>2657</v>
      </c>
      <c r="X347" s="8"/>
    </row>
    <row r="348" spans="1:24" x14ac:dyDescent="0.3">
      <c r="A348" s="1" t="s">
        <v>2412</v>
      </c>
      <c r="B348" s="1" t="s">
        <v>1129</v>
      </c>
      <c r="C348" s="1" t="s">
        <v>1586</v>
      </c>
      <c r="D348" s="1" t="s">
        <v>14</v>
      </c>
      <c r="E348" s="1" t="s">
        <v>1588</v>
      </c>
      <c r="F348" s="1">
        <v>2016</v>
      </c>
      <c r="J348" s="6">
        <v>9453</v>
      </c>
      <c r="K348" s="6">
        <v>629</v>
      </c>
      <c r="L348" s="21">
        <v>6.653972283931027E-2</v>
      </c>
      <c r="M348" s="1">
        <v>0</v>
      </c>
      <c r="N348" s="1" t="s">
        <v>28</v>
      </c>
      <c r="O348" s="1" t="s">
        <v>18</v>
      </c>
      <c r="P348" s="1" t="s">
        <v>18</v>
      </c>
      <c r="Q348" s="22" t="s">
        <v>18</v>
      </c>
      <c r="R348" s="8">
        <v>105.16824711731725</v>
      </c>
      <c r="S348" s="9" t="s">
        <v>2657</v>
      </c>
      <c r="T348" s="8">
        <v>116.39131281074792</v>
      </c>
      <c r="U348" s="9" t="s">
        <v>2656</v>
      </c>
      <c r="V348" s="8">
        <v>106.45288797207236</v>
      </c>
      <c r="W348" s="8" t="s">
        <v>2657</v>
      </c>
      <c r="X348" s="8"/>
    </row>
    <row r="349" spans="1:24" x14ac:dyDescent="0.3">
      <c r="A349" s="1" t="s">
        <v>1525</v>
      </c>
      <c r="B349" s="1" t="s">
        <v>2543</v>
      </c>
      <c r="C349" s="1" t="s">
        <v>1586</v>
      </c>
      <c r="D349" s="1" t="s">
        <v>14</v>
      </c>
      <c r="E349" s="1" t="s">
        <v>1588</v>
      </c>
      <c r="F349" s="1">
        <v>1999</v>
      </c>
      <c r="J349" s="6">
        <v>9000</v>
      </c>
      <c r="K349" s="6">
        <v>8200</v>
      </c>
      <c r="L349" s="21">
        <v>0.91111111111111109</v>
      </c>
      <c r="M349" s="1">
        <v>0</v>
      </c>
      <c r="N349" s="1" t="s">
        <v>1821</v>
      </c>
      <c r="O349" s="1" t="s">
        <v>18</v>
      </c>
      <c r="P349" s="1" t="s">
        <v>18</v>
      </c>
      <c r="Q349" s="22" t="s">
        <v>18</v>
      </c>
      <c r="R349" s="8">
        <v>132.92385888888887</v>
      </c>
      <c r="S349" s="9"/>
      <c r="T349" s="8">
        <v>95.731499999999997</v>
      </c>
      <c r="U349" s="9"/>
      <c r="V349" s="8">
        <v>105.88695</v>
      </c>
      <c r="W349" s="8"/>
      <c r="X349" s="8"/>
    </row>
    <row r="350" spans="1:24" x14ac:dyDescent="0.3">
      <c r="A350" s="1" t="s">
        <v>2387</v>
      </c>
      <c r="B350" s="1" t="s">
        <v>2388</v>
      </c>
      <c r="C350" s="1" t="s">
        <v>1586</v>
      </c>
      <c r="D350" s="1" t="s">
        <v>14</v>
      </c>
      <c r="E350" s="1" t="s">
        <v>1588</v>
      </c>
      <c r="F350" s="1">
        <v>2009</v>
      </c>
      <c r="G350" s="1" t="s">
        <v>21</v>
      </c>
      <c r="H350" s="1">
        <v>2007</v>
      </c>
      <c r="I350" s="1" t="s">
        <v>1606</v>
      </c>
      <c r="J350" s="6">
        <v>14624</v>
      </c>
      <c r="K350" s="6">
        <v>12774</v>
      </c>
      <c r="L350" s="21">
        <v>0.87349562363238509</v>
      </c>
      <c r="M350" s="1">
        <v>0</v>
      </c>
      <c r="N350" s="1" t="s">
        <v>1787</v>
      </c>
      <c r="P350" s="1" t="s">
        <v>18</v>
      </c>
      <c r="Q350" s="22" t="s">
        <v>18</v>
      </c>
      <c r="R350" s="8">
        <v>114.86032070568929</v>
      </c>
      <c r="S350" s="9" t="s">
        <v>2656</v>
      </c>
      <c r="T350" s="8">
        <v>98.402026121444194</v>
      </c>
      <c r="U350" s="9" t="s">
        <v>2657</v>
      </c>
      <c r="V350" s="8">
        <v>104.43766411378556</v>
      </c>
      <c r="W350" s="8" t="s">
        <v>2657</v>
      </c>
      <c r="X350" s="8"/>
    </row>
    <row r="351" spans="1:24" x14ac:dyDescent="0.3">
      <c r="A351" s="1" t="s">
        <v>1871</v>
      </c>
      <c r="B351" s="1" t="s">
        <v>813</v>
      </c>
      <c r="C351" s="1" t="s">
        <v>1586</v>
      </c>
      <c r="D351" s="1" t="s">
        <v>14</v>
      </c>
      <c r="E351" s="1" t="s">
        <v>1588</v>
      </c>
      <c r="F351" s="1">
        <v>1998</v>
      </c>
      <c r="G351" s="1" t="s">
        <v>19</v>
      </c>
      <c r="H351" s="1">
        <v>2022</v>
      </c>
      <c r="I351" s="1" t="s">
        <v>1818</v>
      </c>
      <c r="J351" s="6">
        <v>9882.18</v>
      </c>
      <c r="K351" s="6">
        <v>5739</v>
      </c>
      <c r="L351" s="21">
        <v>0.5807423058474952</v>
      </c>
      <c r="M351" s="1">
        <v>0</v>
      </c>
      <c r="N351" s="1" t="s">
        <v>1589</v>
      </c>
      <c r="O351" s="1">
        <v>4</v>
      </c>
      <c r="P351" s="1">
        <v>0.89</v>
      </c>
      <c r="Q351" s="22">
        <v>44984</v>
      </c>
      <c r="R351" s="8">
        <v>100.55605139756612</v>
      </c>
      <c r="S351" s="9" t="s">
        <v>2657</v>
      </c>
      <c r="T351" s="8">
        <v>101.71753600926111</v>
      </c>
      <c r="U351" s="9" t="s">
        <v>2657</v>
      </c>
      <c r="V351" s="8">
        <v>103.91138392540917</v>
      </c>
      <c r="W351" s="8" t="s">
        <v>2657</v>
      </c>
      <c r="X351" s="8"/>
    </row>
    <row r="352" spans="1:24" x14ac:dyDescent="0.3">
      <c r="A352" s="1" t="s">
        <v>76</v>
      </c>
      <c r="B352" s="1" t="s">
        <v>77</v>
      </c>
      <c r="C352" s="1" t="s">
        <v>1586</v>
      </c>
      <c r="D352" s="1" t="s">
        <v>14</v>
      </c>
      <c r="E352" s="1" t="s">
        <v>1588</v>
      </c>
      <c r="F352" s="1">
        <v>1996</v>
      </c>
      <c r="J352" s="6">
        <v>7387</v>
      </c>
      <c r="K352" s="6">
        <v>3667</v>
      </c>
      <c r="L352" s="21">
        <v>0.49641261675917153</v>
      </c>
      <c r="M352" s="1">
        <v>0</v>
      </c>
      <c r="N352" s="1" t="s">
        <v>28</v>
      </c>
      <c r="O352" s="1" t="s">
        <v>18</v>
      </c>
      <c r="P352" s="1" t="s">
        <v>18</v>
      </c>
      <c r="Q352" s="22" t="s">
        <v>18</v>
      </c>
      <c r="R352" s="8">
        <v>106.09061594693381</v>
      </c>
      <c r="S352" s="9" t="s">
        <v>2657</v>
      </c>
      <c r="T352" s="8">
        <v>113.07850683633413</v>
      </c>
      <c r="U352" s="9" t="s">
        <v>2656</v>
      </c>
      <c r="V352" s="8">
        <v>103.484005685664</v>
      </c>
      <c r="W352" s="8" t="s">
        <v>2657</v>
      </c>
      <c r="X352" s="8"/>
    </row>
    <row r="353" spans="1:24" x14ac:dyDescent="0.3">
      <c r="A353" s="1" t="s">
        <v>213</v>
      </c>
      <c r="B353" s="1" t="s">
        <v>214</v>
      </c>
      <c r="C353" s="1" t="s">
        <v>1586</v>
      </c>
      <c r="D353" s="1" t="s">
        <v>14</v>
      </c>
      <c r="E353" s="1" t="s">
        <v>1588</v>
      </c>
      <c r="F353" s="1">
        <v>1983</v>
      </c>
      <c r="J353" s="6">
        <v>5976</v>
      </c>
      <c r="K353" s="6">
        <v>4621</v>
      </c>
      <c r="L353" s="21">
        <v>0.77325970548862111</v>
      </c>
      <c r="M353" s="1">
        <v>0</v>
      </c>
      <c r="N353" s="1" t="s">
        <v>1787</v>
      </c>
      <c r="O353" s="1" t="s">
        <v>18</v>
      </c>
      <c r="P353" s="1" t="s">
        <v>18</v>
      </c>
      <c r="Q353" s="22" t="s">
        <v>18</v>
      </c>
      <c r="R353" s="8">
        <v>101.73197289156627</v>
      </c>
      <c r="S353" s="9" t="s">
        <v>2657</v>
      </c>
      <c r="T353" s="8">
        <v>107.37929384203481</v>
      </c>
      <c r="U353" s="9" t="s">
        <v>2657</v>
      </c>
      <c r="V353" s="8">
        <v>103.13032128514057</v>
      </c>
      <c r="W353" s="8" t="s">
        <v>2657</v>
      </c>
      <c r="X353" s="8"/>
    </row>
    <row r="354" spans="1:24" x14ac:dyDescent="0.3">
      <c r="A354" s="1" t="s">
        <v>708</v>
      </c>
      <c r="B354" s="1" t="s">
        <v>2008</v>
      </c>
      <c r="C354" s="1" t="s">
        <v>1586</v>
      </c>
      <c r="D354" s="1" t="s">
        <v>14</v>
      </c>
      <c r="E354" s="1" t="s">
        <v>1588</v>
      </c>
      <c r="F354" s="1">
        <v>2009</v>
      </c>
      <c r="G354" s="1" t="s">
        <v>25</v>
      </c>
      <c r="H354" s="1">
        <v>2023</v>
      </c>
      <c r="I354" s="1" t="s">
        <v>1783</v>
      </c>
      <c r="J354" s="6">
        <v>6898</v>
      </c>
      <c r="K354" s="6">
        <v>1275</v>
      </c>
      <c r="L354" s="21">
        <v>0.18483618440127572</v>
      </c>
      <c r="M354" s="1">
        <v>0</v>
      </c>
      <c r="N354" s="1" t="s">
        <v>28</v>
      </c>
      <c r="O354" s="1" t="s">
        <v>18</v>
      </c>
      <c r="P354" s="1" t="s">
        <v>18</v>
      </c>
      <c r="Q354" s="22" t="s">
        <v>18</v>
      </c>
      <c r="R354" s="8">
        <v>109.78212960278341</v>
      </c>
      <c r="S354" s="9" t="s">
        <v>2657</v>
      </c>
      <c r="T354" s="8">
        <v>109.06811829515802</v>
      </c>
      <c r="U354" s="9" t="s">
        <v>2657</v>
      </c>
      <c r="V354" s="8">
        <v>103.06209915917657</v>
      </c>
      <c r="W354" s="8" t="s">
        <v>2657</v>
      </c>
      <c r="X354" s="8"/>
    </row>
    <row r="355" spans="1:24" x14ac:dyDescent="0.3">
      <c r="A355" s="1" t="s">
        <v>1126</v>
      </c>
      <c r="B355" s="1" t="s">
        <v>1127</v>
      </c>
      <c r="C355" s="1" t="s">
        <v>1586</v>
      </c>
      <c r="D355" s="1" t="s">
        <v>14</v>
      </c>
      <c r="E355" s="1" t="s">
        <v>1588</v>
      </c>
      <c r="F355" s="1">
        <v>1974</v>
      </c>
      <c r="J355" s="6">
        <v>8675</v>
      </c>
      <c r="K355" s="6">
        <v>6960</v>
      </c>
      <c r="L355" s="21">
        <v>0.80230547550432274</v>
      </c>
      <c r="M355" s="1">
        <v>0</v>
      </c>
      <c r="N355" s="1" t="s">
        <v>1589</v>
      </c>
      <c r="O355" s="1">
        <v>20</v>
      </c>
      <c r="P355" s="1" t="s">
        <v>18</v>
      </c>
      <c r="Q355" s="22" t="s">
        <v>18</v>
      </c>
      <c r="R355" s="8">
        <v>119.98643919308358</v>
      </c>
      <c r="S355" s="9" t="s">
        <v>2656</v>
      </c>
      <c r="T355" s="8">
        <v>119.11958155619595</v>
      </c>
      <c r="U355" s="9" t="s">
        <v>2656</v>
      </c>
      <c r="V355" s="8">
        <v>99.40051873198847</v>
      </c>
      <c r="W355" s="8" t="s">
        <v>2657</v>
      </c>
      <c r="X355" s="8"/>
    </row>
    <row r="356" spans="1:24" x14ac:dyDescent="0.3">
      <c r="A356" s="1" t="s">
        <v>1845</v>
      </c>
      <c r="B356" s="1" t="s">
        <v>1846</v>
      </c>
      <c r="C356" s="1" t="s">
        <v>1586</v>
      </c>
      <c r="D356" s="1" t="s">
        <v>14</v>
      </c>
      <c r="E356" s="1" t="s">
        <v>1588</v>
      </c>
      <c r="F356" s="1">
        <v>2020</v>
      </c>
      <c r="J356" s="6">
        <v>10685</v>
      </c>
      <c r="K356" s="6">
        <v>7000</v>
      </c>
      <c r="L356" s="21">
        <v>0.65512400561534867</v>
      </c>
      <c r="M356" s="1">
        <v>0</v>
      </c>
      <c r="N356" s="1" t="s">
        <v>28</v>
      </c>
      <c r="O356" s="1" t="s">
        <v>18</v>
      </c>
      <c r="P356" s="1" t="s">
        <v>18</v>
      </c>
      <c r="Q356" s="22" t="s">
        <v>18</v>
      </c>
      <c r="R356" s="8">
        <v>94.705872718764624</v>
      </c>
      <c r="S356" s="9" t="s">
        <v>2657</v>
      </c>
      <c r="T356" s="8">
        <v>93.170467945718286</v>
      </c>
      <c r="U356" s="9" t="s">
        <v>2657</v>
      </c>
      <c r="V356" s="8">
        <v>98.491965372016836</v>
      </c>
      <c r="W356" s="8" t="s">
        <v>2657</v>
      </c>
      <c r="X356" s="8"/>
    </row>
    <row r="357" spans="1:24" x14ac:dyDescent="0.3">
      <c r="A357" s="1" t="s">
        <v>1508</v>
      </c>
      <c r="B357" s="1" t="s">
        <v>1509</v>
      </c>
      <c r="C357" s="1" t="s">
        <v>1586</v>
      </c>
      <c r="D357" s="1" t="s">
        <v>14</v>
      </c>
      <c r="E357" s="1" t="s">
        <v>1588</v>
      </c>
      <c r="F357" s="1">
        <v>2015</v>
      </c>
      <c r="J357" s="6">
        <v>12253</v>
      </c>
      <c r="K357" s="6">
        <v>11184</v>
      </c>
      <c r="L357" s="21">
        <v>0.91275605974047169</v>
      </c>
      <c r="M357" s="1">
        <v>0</v>
      </c>
      <c r="N357" s="1" t="s">
        <v>1589</v>
      </c>
      <c r="O357" s="1">
        <v>7.5</v>
      </c>
      <c r="P357" s="1">
        <v>0.68559999999999999</v>
      </c>
      <c r="Q357" s="22">
        <v>43569</v>
      </c>
      <c r="R357" s="8">
        <v>94.672356157675665</v>
      </c>
      <c r="S357" s="9" t="s">
        <v>2657</v>
      </c>
      <c r="T357" s="8">
        <v>92.973072716885667</v>
      </c>
      <c r="U357" s="9" t="s">
        <v>2657</v>
      </c>
      <c r="V357" s="8">
        <v>97.614995511303363</v>
      </c>
      <c r="W357" s="8" t="s">
        <v>2657</v>
      </c>
      <c r="X357" s="8"/>
    </row>
    <row r="358" spans="1:24" x14ac:dyDescent="0.3">
      <c r="A358" s="1" t="s">
        <v>2039</v>
      </c>
      <c r="B358" s="1" t="s">
        <v>2048</v>
      </c>
      <c r="C358" s="1" t="s">
        <v>1586</v>
      </c>
      <c r="D358" s="1" t="s">
        <v>14</v>
      </c>
      <c r="E358" s="1" t="s">
        <v>1588</v>
      </c>
      <c r="F358" s="1">
        <v>2011</v>
      </c>
      <c r="J358" s="6">
        <v>1063</v>
      </c>
      <c r="K358" s="6">
        <v>887</v>
      </c>
      <c r="L358" s="21">
        <v>0.83443085606773282</v>
      </c>
      <c r="M358" s="1">
        <v>0</v>
      </c>
      <c r="N358" s="1" t="s">
        <v>28</v>
      </c>
      <c r="O358" s="1" t="s">
        <v>18</v>
      </c>
      <c r="P358" s="1" t="s">
        <v>18</v>
      </c>
      <c r="Q358" s="22" t="s">
        <v>18</v>
      </c>
      <c r="R358" s="8">
        <v>119.96989651928504</v>
      </c>
      <c r="S358" s="9" t="s">
        <v>2656</v>
      </c>
      <c r="T358" s="8">
        <v>91.565380997177797</v>
      </c>
      <c r="U358" s="9" t="s">
        <v>2657</v>
      </c>
      <c r="V358" s="8">
        <v>95.458137347130759</v>
      </c>
      <c r="W358" s="8" t="s">
        <v>2657</v>
      </c>
      <c r="X358" s="8"/>
    </row>
    <row r="359" spans="1:24" x14ac:dyDescent="0.3">
      <c r="A359" s="1" t="s">
        <v>941</v>
      </c>
      <c r="B359" s="1" t="s">
        <v>2344</v>
      </c>
      <c r="C359" s="1" t="s">
        <v>1586</v>
      </c>
      <c r="D359" s="1" t="s">
        <v>14</v>
      </c>
      <c r="E359" s="1" t="s">
        <v>1588</v>
      </c>
      <c r="F359" s="1">
        <v>2018</v>
      </c>
      <c r="J359" s="6">
        <v>14291</v>
      </c>
      <c r="K359" s="6">
        <v>10245</v>
      </c>
      <c r="L359" s="21">
        <v>0.71688475264152263</v>
      </c>
      <c r="M359" s="1">
        <v>0</v>
      </c>
      <c r="N359" s="1" t="s">
        <v>28</v>
      </c>
      <c r="O359" s="1" t="s">
        <v>18</v>
      </c>
      <c r="P359" s="1" t="s">
        <v>18</v>
      </c>
      <c r="Q359" s="22" t="s">
        <v>18</v>
      </c>
      <c r="R359" s="8">
        <v>85.557023301378479</v>
      </c>
      <c r="S359" s="9" t="s">
        <v>2657</v>
      </c>
      <c r="T359" s="8">
        <v>94.024853404240432</v>
      </c>
      <c r="U359" s="9" t="s">
        <v>2657</v>
      </c>
      <c r="V359" s="8">
        <v>93.435769365334835</v>
      </c>
      <c r="W359" s="8" t="s">
        <v>2657</v>
      </c>
      <c r="X359" s="8"/>
    </row>
    <row r="360" spans="1:24" x14ac:dyDescent="0.3">
      <c r="A360" s="1" t="s">
        <v>1250</v>
      </c>
      <c r="B360" s="1" t="s">
        <v>1251</v>
      </c>
      <c r="C360" s="1" t="s">
        <v>1586</v>
      </c>
      <c r="D360" s="1" t="s">
        <v>14</v>
      </c>
      <c r="E360" s="1" t="s">
        <v>1588</v>
      </c>
      <c r="F360" s="1">
        <v>1999</v>
      </c>
      <c r="J360" s="6">
        <v>11470</v>
      </c>
      <c r="K360" s="6">
        <v>4500</v>
      </c>
      <c r="L360" s="21">
        <v>0.39232781168265041</v>
      </c>
      <c r="M360" s="1">
        <v>0</v>
      </c>
      <c r="N360" s="1" t="s">
        <v>1590</v>
      </c>
      <c r="O360" s="1" t="s">
        <v>18</v>
      </c>
      <c r="P360" s="1" t="s">
        <v>18</v>
      </c>
      <c r="Q360" s="22" t="s">
        <v>18</v>
      </c>
      <c r="R360" s="8">
        <v>135.84196948561464</v>
      </c>
      <c r="S360" s="9" t="s">
        <v>2656</v>
      </c>
      <c r="T360" s="8">
        <v>154.89880122057542</v>
      </c>
      <c r="U360" s="9" t="s">
        <v>2655</v>
      </c>
      <c r="V360" s="8">
        <v>92.429634699215342</v>
      </c>
      <c r="W360" s="8" t="s">
        <v>2657</v>
      </c>
      <c r="X360" s="8"/>
    </row>
    <row r="361" spans="1:24" x14ac:dyDescent="0.3">
      <c r="A361" s="1" t="s">
        <v>2084</v>
      </c>
      <c r="B361" s="1" t="s">
        <v>1415</v>
      </c>
      <c r="C361" s="1" t="s">
        <v>1586</v>
      </c>
      <c r="D361" s="1" t="s">
        <v>14</v>
      </c>
      <c r="E361" s="1" t="s">
        <v>1588</v>
      </c>
      <c r="F361" s="1">
        <v>2019</v>
      </c>
      <c r="G361" s="1" t="s">
        <v>25</v>
      </c>
      <c r="H361" s="1">
        <v>2019</v>
      </c>
      <c r="I361" s="1" t="s">
        <v>1601</v>
      </c>
      <c r="J361" s="6">
        <v>13855</v>
      </c>
      <c r="K361" s="6">
        <v>1200</v>
      </c>
      <c r="L361" s="21">
        <v>8.6611331649224105E-2</v>
      </c>
      <c r="M361" s="1">
        <v>0</v>
      </c>
      <c r="N361" s="1" t="s">
        <v>28</v>
      </c>
      <c r="O361" s="1" t="s">
        <v>18</v>
      </c>
      <c r="P361" s="1" t="s">
        <v>18</v>
      </c>
      <c r="Q361" s="22" t="s">
        <v>18</v>
      </c>
      <c r="R361" s="8">
        <v>62.693162757127389</v>
      </c>
      <c r="S361" s="9" t="s">
        <v>2657</v>
      </c>
      <c r="T361" s="8">
        <v>100.03952002887044</v>
      </c>
      <c r="U361" s="9" t="s">
        <v>2657</v>
      </c>
      <c r="V361" s="8">
        <v>91.780203536629372</v>
      </c>
      <c r="W361" s="8" t="s">
        <v>2657</v>
      </c>
      <c r="X361" s="8"/>
    </row>
    <row r="362" spans="1:24" x14ac:dyDescent="0.3">
      <c r="A362" s="1" t="s">
        <v>707</v>
      </c>
      <c r="B362" s="1" t="s">
        <v>2009</v>
      </c>
      <c r="C362" s="1" t="s">
        <v>1586</v>
      </c>
      <c r="D362" s="1" t="s">
        <v>14</v>
      </c>
      <c r="E362" s="1" t="s">
        <v>1588</v>
      </c>
      <c r="F362" s="1">
        <v>1983</v>
      </c>
      <c r="G362" s="1" t="s">
        <v>25</v>
      </c>
      <c r="H362" s="1">
        <v>2012</v>
      </c>
      <c r="I362" s="1" t="s">
        <v>1603</v>
      </c>
      <c r="J362" s="6">
        <v>5055</v>
      </c>
      <c r="K362" s="6">
        <v>4044</v>
      </c>
      <c r="L362" s="21">
        <v>0.8</v>
      </c>
      <c r="M362" s="1">
        <v>0</v>
      </c>
      <c r="N362" s="1" t="s">
        <v>28</v>
      </c>
      <c r="O362" s="1" t="s">
        <v>18</v>
      </c>
      <c r="P362" s="1" t="s">
        <v>18</v>
      </c>
      <c r="Q362" s="22" t="s">
        <v>18</v>
      </c>
      <c r="R362" s="8">
        <v>84.562081107814052</v>
      </c>
      <c r="S362" s="9" t="s">
        <v>2657</v>
      </c>
      <c r="T362" s="8">
        <v>86.971501483679532</v>
      </c>
      <c r="U362" s="9" t="s">
        <v>2657</v>
      </c>
      <c r="V362" s="8">
        <v>91.01416221562809</v>
      </c>
      <c r="W362" s="8" t="s">
        <v>2657</v>
      </c>
      <c r="X362" s="8"/>
    </row>
    <row r="363" spans="1:24" x14ac:dyDescent="0.3">
      <c r="A363" s="1" t="s">
        <v>1646</v>
      </c>
      <c r="B363" s="1" t="s">
        <v>579</v>
      </c>
      <c r="C363" s="1" t="s">
        <v>1586</v>
      </c>
      <c r="D363" s="1" t="s">
        <v>14</v>
      </c>
      <c r="E363" s="1" t="s">
        <v>1588</v>
      </c>
      <c r="F363" s="1">
        <v>2010</v>
      </c>
      <c r="G363" s="1" t="s">
        <v>47</v>
      </c>
      <c r="H363" s="1">
        <v>2009</v>
      </c>
      <c r="I363" s="1" t="s">
        <v>1608</v>
      </c>
      <c r="J363" s="6">
        <v>5901</v>
      </c>
      <c r="K363" s="6">
        <v>297</v>
      </c>
      <c r="L363" s="21">
        <v>5.0330452465683781E-2</v>
      </c>
      <c r="M363" s="1">
        <v>0</v>
      </c>
      <c r="N363" s="1" t="s">
        <v>28</v>
      </c>
      <c r="O363" s="1" t="s">
        <v>18</v>
      </c>
      <c r="P363" s="1" t="s">
        <v>18</v>
      </c>
      <c r="Q363" s="22" t="s">
        <v>18</v>
      </c>
      <c r="R363" s="8">
        <v>82.203665480427034</v>
      </c>
      <c r="S363" s="9" t="s">
        <v>2657</v>
      </c>
      <c r="T363" s="8">
        <v>82.730893068971355</v>
      </c>
      <c r="U363" s="9" t="s">
        <v>2657</v>
      </c>
      <c r="V363" s="8">
        <v>84.467149635654977</v>
      </c>
      <c r="W363" s="8" t="s">
        <v>2657</v>
      </c>
      <c r="X363" s="8"/>
    </row>
    <row r="364" spans="1:24" x14ac:dyDescent="0.3">
      <c r="A364" s="1" t="s">
        <v>1950</v>
      </c>
      <c r="B364" s="1" t="s">
        <v>1098</v>
      </c>
      <c r="C364" s="1" t="s">
        <v>1586</v>
      </c>
      <c r="D364" s="1" t="s">
        <v>14</v>
      </c>
      <c r="E364" s="1" t="s">
        <v>1588</v>
      </c>
      <c r="F364" s="1">
        <v>2014</v>
      </c>
      <c r="J364" s="6">
        <v>7043</v>
      </c>
      <c r="K364" s="6">
        <v>5200</v>
      </c>
      <c r="L364" s="21">
        <v>0.73832173789578304</v>
      </c>
      <c r="M364" s="1">
        <v>0</v>
      </c>
      <c r="N364" s="1" t="s">
        <v>28</v>
      </c>
      <c r="O364" s="1" t="s">
        <v>18</v>
      </c>
      <c r="P364" s="1" t="s">
        <v>18</v>
      </c>
      <c r="Q364" s="22" t="s">
        <v>18</v>
      </c>
      <c r="R364" s="8">
        <v>82.839123952860987</v>
      </c>
      <c r="S364" s="9" t="s">
        <v>2657</v>
      </c>
      <c r="T364" s="8">
        <v>81.819771404231162</v>
      </c>
      <c r="U364" s="9" t="s">
        <v>2657</v>
      </c>
      <c r="V364" s="8">
        <v>83.397422973164851</v>
      </c>
      <c r="W364" s="8" t="s">
        <v>2657</v>
      </c>
      <c r="X364" s="8"/>
    </row>
    <row r="365" spans="1:24" x14ac:dyDescent="0.3">
      <c r="A365" s="1" t="s">
        <v>2567</v>
      </c>
      <c r="B365" s="1" t="s">
        <v>1428</v>
      </c>
      <c r="C365" s="1" t="s">
        <v>1586</v>
      </c>
      <c r="D365" s="1" t="s">
        <v>14</v>
      </c>
      <c r="E365" s="1" t="s">
        <v>1588</v>
      </c>
      <c r="F365" s="1">
        <v>1930</v>
      </c>
      <c r="J365" s="6">
        <v>8900</v>
      </c>
      <c r="K365" s="6">
        <v>4000</v>
      </c>
      <c r="L365" s="21">
        <v>0.449438202247191</v>
      </c>
      <c r="M365" s="1">
        <v>0</v>
      </c>
      <c r="N365" s="1" t="s">
        <v>28</v>
      </c>
      <c r="O365" s="1" t="s">
        <v>18</v>
      </c>
      <c r="P365" s="1" t="s">
        <v>18</v>
      </c>
      <c r="Q365" s="22" t="s">
        <v>18</v>
      </c>
      <c r="R365" s="8">
        <v>75.121058426966286</v>
      </c>
      <c r="S365" s="9" t="s">
        <v>2657</v>
      </c>
      <c r="T365" s="8">
        <v>86.210120224719105</v>
      </c>
      <c r="U365" s="9" t="s">
        <v>2657</v>
      </c>
      <c r="V365" s="8">
        <v>82.960017977528096</v>
      </c>
      <c r="W365" s="8" t="s">
        <v>2657</v>
      </c>
      <c r="X365" s="8"/>
    </row>
    <row r="366" spans="1:24" x14ac:dyDescent="0.3">
      <c r="A366" s="1" t="s">
        <v>1655</v>
      </c>
      <c r="B366" s="1" t="s">
        <v>1367</v>
      </c>
      <c r="C366" s="1" t="s">
        <v>1586</v>
      </c>
      <c r="D366" s="1" t="s">
        <v>14</v>
      </c>
      <c r="E366" s="1" t="s">
        <v>1588</v>
      </c>
      <c r="F366" s="1">
        <v>2006</v>
      </c>
      <c r="J366" s="6">
        <v>11390</v>
      </c>
      <c r="K366" s="6">
        <v>5900</v>
      </c>
      <c r="L366" s="21">
        <v>0.51799824407374895</v>
      </c>
      <c r="M366" s="1">
        <v>0</v>
      </c>
      <c r="N366" s="1" t="s">
        <v>28</v>
      </c>
      <c r="O366" s="1" t="s">
        <v>18</v>
      </c>
      <c r="P366" s="1" t="s">
        <v>18</v>
      </c>
      <c r="Q366" s="22" t="s">
        <v>18</v>
      </c>
      <c r="R366" s="8">
        <v>92.240517998244073</v>
      </c>
      <c r="S366" s="9" t="s">
        <v>2657</v>
      </c>
      <c r="T366" s="8">
        <v>83.747124670763824</v>
      </c>
      <c r="U366" s="9" t="s">
        <v>2657</v>
      </c>
      <c r="V366" s="8">
        <v>78.924363476733973</v>
      </c>
      <c r="W366" s="8" t="s">
        <v>2657</v>
      </c>
      <c r="X366" s="8"/>
    </row>
    <row r="367" spans="1:24" x14ac:dyDescent="0.3">
      <c r="A367" s="1" t="s">
        <v>2541</v>
      </c>
      <c r="B367" s="1" t="s">
        <v>1542</v>
      </c>
      <c r="C367" s="1" t="s">
        <v>1586</v>
      </c>
      <c r="D367" s="1" t="s">
        <v>14</v>
      </c>
      <c r="E367" s="1" t="s">
        <v>1588</v>
      </c>
      <c r="F367" s="1">
        <v>2012</v>
      </c>
      <c r="J367" s="6">
        <v>2508.1999999999998</v>
      </c>
      <c r="K367" s="6">
        <v>2513</v>
      </c>
      <c r="L367" s="21">
        <v>1.0019137229885975</v>
      </c>
      <c r="M367" s="1">
        <v>0</v>
      </c>
      <c r="N367" s="1" t="s">
        <v>28</v>
      </c>
      <c r="O367" s="1" t="s">
        <v>18</v>
      </c>
      <c r="P367" s="1" t="s">
        <v>18</v>
      </c>
      <c r="Q367" s="22" t="s">
        <v>18</v>
      </c>
      <c r="R367" s="8">
        <v>66.238601387449179</v>
      </c>
      <c r="S367" s="9" t="s">
        <v>2657</v>
      </c>
      <c r="T367" s="8">
        <v>76.838724982058864</v>
      </c>
      <c r="U367" s="9" t="s">
        <v>2657</v>
      </c>
      <c r="V367" s="8">
        <v>76.702352284506816</v>
      </c>
      <c r="W367" s="8" t="s">
        <v>2657</v>
      </c>
      <c r="X367" s="8"/>
    </row>
    <row r="368" spans="1:24" x14ac:dyDescent="0.3">
      <c r="A368" s="1" t="s">
        <v>1027</v>
      </c>
      <c r="B368" s="1" t="s">
        <v>1028</v>
      </c>
      <c r="C368" s="1" t="s">
        <v>1586</v>
      </c>
      <c r="D368" s="1" t="s">
        <v>14</v>
      </c>
      <c r="E368" s="1" t="s">
        <v>1588</v>
      </c>
      <c r="F368" s="1">
        <v>2000</v>
      </c>
      <c r="G368" s="1" t="s">
        <v>25</v>
      </c>
      <c r="H368" s="1">
        <v>2020</v>
      </c>
      <c r="I368" s="1" t="s">
        <v>1599</v>
      </c>
      <c r="J368" s="6">
        <v>6327</v>
      </c>
      <c r="K368" s="6">
        <v>5400</v>
      </c>
      <c r="L368" s="21">
        <v>0.8534850640113798</v>
      </c>
      <c r="M368" s="1">
        <v>33</v>
      </c>
      <c r="N368" s="1" t="s">
        <v>28</v>
      </c>
      <c r="O368" s="1" t="s">
        <v>18</v>
      </c>
      <c r="P368" s="1" t="s">
        <v>18</v>
      </c>
      <c r="Q368" s="22" t="s">
        <v>18</v>
      </c>
      <c r="R368" s="8">
        <v>87.274351193298557</v>
      </c>
      <c r="S368" s="9" t="s">
        <v>2657</v>
      </c>
      <c r="T368" s="8">
        <v>79.954074600916698</v>
      </c>
      <c r="U368" s="9" t="s">
        <v>2657</v>
      </c>
      <c r="V368" s="8">
        <v>75.691778093883357</v>
      </c>
      <c r="W368" s="8" t="s">
        <v>2657</v>
      </c>
      <c r="X368" s="8"/>
    </row>
    <row r="369" spans="1:24" x14ac:dyDescent="0.3">
      <c r="A369" s="1" t="s">
        <v>1936</v>
      </c>
      <c r="B369" s="1" t="s">
        <v>1277</v>
      </c>
      <c r="C369" s="1" t="s">
        <v>1586</v>
      </c>
      <c r="D369" s="1" t="s">
        <v>14</v>
      </c>
      <c r="E369" s="1" t="s">
        <v>1588</v>
      </c>
      <c r="F369" s="1">
        <v>2017</v>
      </c>
      <c r="G369" s="1" t="s">
        <v>19</v>
      </c>
      <c r="H369" s="1">
        <v>2022</v>
      </c>
      <c r="I369" s="1" t="s">
        <v>1598</v>
      </c>
      <c r="J369" s="6">
        <v>5382</v>
      </c>
      <c r="K369" s="6">
        <v>3438</v>
      </c>
      <c r="L369" s="21">
        <v>0.6387959866220736</v>
      </c>
      <c r="M369" s="1">
        <v>0</v>
      </c>
      <c r="N369" s="1" t="s">
        <v>1589</v>
      </c>
      <c r="O369" s="1">
        <v>11</v>
      </c>
      <c r="P369" s="1" t="s">
        <v>18</v>
      </c>
      <c r="Q369" s="22" t="s">
        <v>18</v>
      </c>
      <c r="R369" s="8">
        <v>62.034559643255292</v>
      </c>
      <c r="S369" s="9" t="s">
        <v>2657</v>
      </c>
      <c r="T369" s="8">
        <v>69.81605351170569</v>
      </c>
      <c r="U369" s="9" t="s">
        <v>2657</v>
      </c>
      <c r="V369" s="8">
        <v>73.938127090301009</v>
      </c>
      <c r="W369" s="8" t="s">
        <v>2657</v>
      </c>
      <c r="X369" s="8"/>
    </row>
    <row r="370" spans="1:24" x14ac:dyDescent="0.3">
      <c r="A370" s="1" t="s">
        <v>1045</v>
      </c>
      <c r="B370" s="1" t="s">
        <v>2608</v>
      </c>
      <c r="C370" s="1" t="s">
        <v>1586</v>
      </c>
      <c r="D370" s="1" t="s">
        <v>14</v>
      </c>
      <c r="E370" s="1" t="s">
        <v>1588</v>
      </c>
      <c r="F370" s="1">
        <v>2017</v>
      </c>
      <c r="J370" s="6">
        <v>5594</v>
      </c>
      <c r="K370" s="6">
        <v>5594</v>
      </c>
      <c r="L370" s="21">
        <v>1</v>
      </c>
      <c r="M370" s="1">
        <v>0</v>
      </c>
      <c r="N370" s="1" t="s">
        <v>1589</v>
      </c>
      <c r="O370" s="1">
        <v>1</v>
      </c>
      <c r="Q370" s="22"/>
      <c r="R370" s="8">
        <v>64.54537003932785</v>
      </c>
      <c r="S370" s="9" t="s">
        <v>2657</v>
      </c>
      <c r="T370" s="8">
        <v>67.557509831962818</v>
      </c>
      <c r="U370" s="9" t="s">
        <v>2657</v>
      </c>
      <c r="V370" s="8">
        <v>70.283212370396853</v>
      </c>
      <c r="W370" s="8" t="s">
        <v>2657</v>
      </c>
      <c r="X370" s="8"/>
    </row>
    <row r="371" spans="1:24" x14ac:dyDescent="0.3">
      <c r="A371" s="1" t="s">
        <v>1517</v>
      </c>
      <c r="B371" s="1" t="s">
        <v>2582</v>
      </c>
      <c r="C371" s="1" t="s">
        <v>1586</v>
      </c>
      <c r="D371" s="1" t="s">
        <v>14</v>
      </c>
      <c r="E371" s="1" t="s">
        <v>1588</v>
      </c>
      <c r="F371" s="1">
        <v>1979</v>
      </c>
      <c r="J371" s="6">
        <v>6421</v>
      </c>
      <c r="K371" s="6">
        <v>5821</v>
      </c>
      <c r="L371" s="21">
        <v>0.90655661111976327</v>
      </c>
      <c r="M371" s="1">
        <v>0</v>
      </c>
      <c r="N371" s="1" t="s">
        <v>1787</v>
      </c>
      <c r="Q371" s="22"/>
      <c r="R371" s="8">
        <v>52.954921351814356</v>
      </c>
      <c r="S371" s="9" t="s">
        <v>2657</v>
      </c>
      <c r="T371" s="8">
        <v>55.098012770596476</v>
      </c>
      <c r="U371" s="9" t="s">
        <v>2657</v>
      </c>
      <c r="V371" s="8">
        <v>69.362904532004364</v>
      </c>
      <c r="W371" s="8" t="s">
        <v>2657</v>
      </c>
      <c r="X371" s="8"/>
    </row>
    <row r="372" spans="1:24" x14ac:dyDescent="0.3">
      <c r="A372" s="1" t="s">
        <v>1524</v>
      </c>
      <c r="B372" s="1" t="s">
        <v>2419</v>
      </c>
      <c r="C372" s="1" t="s">
        <v>1586</v>
      </c>
      <c r="D372" s="1" t="s">
        <v>14</v>
      </c>
      <c r="E372" s="1" t="s">
        <v>1588</v>
      </c>
      <c r="F372" s="1">
        <v>1976</v>
      </c>
      <c r="J372" s="6">
        <v>5099</v>
      </c>
      <c r="K372" s="6">
        <v>3570</v>
      </c>
      <c r="L372" s="21">
        <v>0.70013728181996471</v>
      </c>
      <c r="M372" s="1">
        <v>0</v>
      </c>
      <c r="N372" s="1" t="s">
        <v>28</v>
      </c>
      <c r="O372" s="1" t="s">
        <v>18</v>
      </c>
      <c r="P372" s="1" t="s">
        <v>18</v>
      </c>
      <c r="Q372" s="22" t="s">
        <v>18</v>
      </c>
      <c r="R372" s="8">
        <v>56.068978231025689</v>
      </c>
      <c r="S372" s="9" t="s">
        <v>2657</v>
      </c>
      <c r="T372" s="8">
        <v>62.16589919592078</v>
      </c>
      <c r="U372" s="9" t="s">
        <v>2657</v>
      </c>
      <c r="V372" s="8">
        <v>64.110462835850171</v>
      </c>
      <c r="W372" s="8" t="s">
        <v>2657</v>
      </c>
      <c r="X372" s="8"/>
    </row>
    <row r="373" spans="1:24" x14ac:dyDescent="0.3">
      <c r="A373" s="1" t="s">
        <v>695</v>
      </c>
      <c r="B373" s="1" t="s">
        <v>696</v>
      </c>
      <c r="C373" s="1" t="s">
        <v>1586</v>
      </c>
      <c r="D373" s="1" t="s">
        <v>14</v>
      </c>
      <c r="E373" s="1" t="s">
        <v>1588</v>
      </c>
      <c r="F373" s="1">
        <v>2017</v>
      </c>
      <c r="J373" s="6">
        <v>6493</v>
      </c>
      <c r="K373" s="6">
        <v>4142</v>
      </c>
      <c r="L373" s="21">
        <v>0.63791775758509162</v>
      </c>
      <c r="M373" s="1">
        <v>0</v>
      </c>
      <c r="N373" s="1" t="s">
        <v>28</v>
      </c>
      <c r="O373" s="1" t="s">
        <v>18</v>
      </c>
      <c r="P373" s="1" t="s">
        <v>18</v>
      </c>
      <c r="Q373" s="22" t="s">
        <v>18</v>
      </c>
      <c r="R373" s="8">
        <v>53.705720006160476</v>
      </c>
      <c r="S373" s="9" t="s">
        <v>2657</v>
      </c>
      <c r="T373" s="8">
        <v>66.243935006930542</v>
      </c>
      <c r="U373" s="9" t="s">
        <v>2657</v>
      </c>
      <c r="V373" s="8">
        <v>63.733143385184043</v>
      </c>
      <c r="W373" s="8" t="s">
        <v>2657</v>
      </c>
      <c r="X373" s="8"/>
    </row>
    <row r="374" spans="1:24" x14ac:dyDescent="0.3">
      <c r="A374" s="1" t="s">
        <v>754</v>
      </c>
      <c r="B374" s="1" t="s">
        <v>755</v>
      </c>
      <c r="C374" s="1" t="s">
        <v>1586</v>
      </c>
      <c r="D374" s="1" t="s">
        <v>14</v>
      </c>
      <c r="E374" s="1" t="s">
        <v>1588</v>
      </c>
      <c r="F374" s="1">
        <v>1989</v>
      </c>
      <c r="J374" s="6">
        <v>4552.8500000000004</v>
      </c>
      <c r="K374" s="6">
        <v>4118</v>
      </c>
      <c r="L374" s="21">
        <v>0.90448839737746678</v>
      </c>
      <c r="M374" s="1">
        <v>0</v>
      </c>
      <c r="N374" s="1" t="s">
        <v>1821</v>
      </c>
      <c r="O374" s="1" t="s">
        <v>18</v>
      </c>
      <c r="P374" s="1" t="s">
        <v>18</v>
      </c>
      <c r="Q374" s="22" t="s">
        <v>18</v>
      </c>
      <c r="R374" s="8">
        <v>53.72459009192044</v>
      </c>
      <c r="S374" s="9"/>
      <c r="T374" s="8">
        <v>86.529316801563851</v>
      </c>
      <c r="U374" s="9"/>
      <c r="V374" s="8">
        <v>54.206705689842622</v>
      </c>
      <c r="W374" s="8"/>
      <c r="X374" s="8"/>
    </row>
    <row r="375" spans="1:24" x14ac:dyDescent="0.3">
      <c r="A375" s="1" t="s">
        <v>2332</v>
      </c>
      <c r="B375" s="1" t="s">
        <v>2333</v>
      </c>
      <c r="C375" s="1" t="s">
        <v>1586</v>
      </c>
      <c r="D375" s="1" t="s">
        <v>14</v>
      </c>
      <c r="E375" s="1" t="s">
        <v>1588</v>
      </c>
      <c r="F375" s="1">
        <v>2020</v>
      </c>
      <c r="G375" s="1" t="s">
        <v>25</v>
      </c>
      <c r="H375" s="1">
        <v>2022</v>
      </c>
      <c r="I375" s="1" t="s">
        <v>1818</v>
      </c>
      <c r="J375" s="6">
        <v>7958</v>
      </c>
      <c r="K375" s="6">
        <v>7724</v>
      </c>
      <c r="L375" s="21">
        <v>0.97059562704197033</v>
      </c>
      <c r="M375" s="1">
        <v>0</v>
      </c>
      <c r="N375" s="1" t="s">
        <v>1787</v>
      </c>
      <c r="P375" s="1" t="s">
        <v>18</v>
      </c>
      <c r="Q375" s="22" t="s">
        <v>18</v>
      </c>
      <c r="R375" s="8">
        <v>25.077632570997736</v>
      </c>
      <c r="S375" s="9" t="s">
        <v>2657</v>
      </c>
      <c r="T375" s="8">
        <v>45.811158582558434</v>
      </c>
      <c r="U375" s="9" t="s">
        <v>2657</v>
      </c>
      <c r="V375" s="8">
        <v>51.954888162854992</v>
      </c>
      <c r="W375" s="8" t="s">
        <v>2657</v>
      </c>
      <c r="X375" s="8"/>
    </row>
    <row r="376" spans="1:24" x14ac:dyDescent="0.3">
      <c r="A376" s="1" t="s">
        <v>2573</v>
      </c>
      <c r="B376" s="1" t="s">
        <v>1487</v>
      </c>
      <c r="C376" s="1" t="s">
        <v>1586</v>
      </c>
      <c r="D376" s="1" t="s">
        <v>14</v>
      </c>
      <c r="E376" s="1" t="s">
        <v>1588</v>
      </c>
      <c r="F376" s="1">
        <v>2023</v>
      </c>
      <c r="G376" s="1" t="s">
        <v>19</v>
      </c>
      <c r="H376" s="1">
        <v>2022</v>
      </c>
      <c r="I376" s="1" t="s">
        <v>1924</v>
      </c>
      <c r="J376" s="6">
        <v>5568.53</v>
      </c>
      <c r="K376" s="6">
        <v>4900</v>
      </c>
      <c r="L376" s="21">
        <v>0.87994497650187753</v>
      </c>
      <c r="M376" s="1">
        <v>0</v>
      </c>
      <c r="N376" s="1" t="s">
        <v>28</v>
      </c>
      <c r="O376" s="1" t="s">
        <v>18</v>
      </c>
      <c r="P376" s="1" t="s">
        <v>18</v>
      </c>
      <c r="Q376" s="22" t="s">
        <v>18</v>
      </c>
      <c r="R376" s="8" t="s">
        <v>18</v>
      </c>
      <c r="S376" s="9"/>
      <c r="T376" s="8" t="s">
        <v>18</v>
      </c>
      <c r="U376" s="9"/>
      <c r="V376" s="8">
        <v>48.793561316900508</v>
      </c>
      <c r="W376" s="8" t="s">
        <v>2657</v>
      </c>
      <c r="X376" s="8"/>
    </row>
    <row r="377" spans="1:24" x14ac:dyDescent="0.3">
      <c r="A377" s="1" t="s">
        <v>2039</v>
      </c>
      <c r="B377" s="1" t="s">
        <v>2042</v>
      </c>
      <c r="C377" s="1" t="s">
        <v>1586</v>
      </c>
      <c r="D377" s="1" t="s">
        <v>14</v>
      </c>
      <c r="E377" s="1" t="s">
        <v>1588</v>
      </c>
      <c r="F377" s="1">
        <v>2011</v>
      </c>
      <c r="J377" s="6">
        <v>2853</v>
      </c>
      <c r="K377" s="6">
        <v>2125</v>
      </c>
      <c r="L377" s="21">
        <v>0.74483000350508233</v>
      </c>
      <c r="M377" s="1">
        <v>0</v>
      </c>
      <c r="N377" s="1" t="s">
        <v>28</v>
      </c>
      <c r="O377" s="1" t="s">
        <v>18</v>
      </c>
      <c r="P377" s="1" t="s">
        <v>18</v>
      </c>
      <c r="Q377" s="22" t="s">
        <v>18</v>
      </c>
      <c r="R377" s="8">
        <v>41.083785488958995</v>
      </c>
      <c r="S377" s="9" t="s">
        <v>2657</v>
      </c>
      <c r="T377" s="8">
        <v>30.980785138450752</v>
      </c>
      <c r="U377" s="9" t="s">
        <v>2657</v>
      </c>
      <c r="V377" s="8">
        <v>47.333683841570277</v>
      </c>
      <c r="W377" s="8" t="s">
        <v>2657</v>
      </c>
      <c r="X377" s="8"/>
    </row>
    <row r="378" spans="1:24" x14ac:dyDescent="0.3">
      <c r="A378" s="1" t="s">
        <v>2050</v>
      </c>
      <c r="B378" s="1" t="s">
        <v>867</v>
      </c>
      <c r="C378" s="1" t="s">
        <v>1586</v>
      </c>
      <c r="D378" s="1" t="s">
        <v>14</v>
      </c>
      <c r="E378" s="1" t="s">
        <v>1588</v>
      </c>
      <c r="F378" s="1">
        <v>2001</v>
      </c>
      <c r="J378" s="6">
        <v>6092</v>
      </c>
      <c r="K378" s="6">
        <v>3802</v>
      </c>
      <c r="L378" s="21">
        <v>0.62409717662508213</v>
      </c>
      <c r="M378" s="1">
        <v>0</v>
      </c>
      <c r="N378" s="1" t="s">
        <v>28</v>
      </c>
      <c r="O378" s="1" t="s">
        <v>18</v>
      </c>
      <c r="P378" s="1">
        <v>0.99</v>
      </c>
      <c r="Q378" s="22">
        <v>43770</v>
      </c>
      <c r="R378" s="8">
        <v>51.216135915955356</v>
      </c>
      <c r="S378" s="9" t="s">
        <v>2657</v>
      </c>
      <c r="T378" s="8">
        <v>45.793933026920556</v>
      </c>
      <c r="U378" s="9" t="s">
        <v>2657</v>
      </c>
      <c r="V378" s="8">
        <v>44.482042022324357</v>
      </c>
      <c r="W378" s="8" t="s">
        <v>2657</v>
      </c>
      <c r="X378" s="8"/>
    </row>
    <row r="379" spans="1:24" x14ac:dyDescent="0.3">
      <c r="A379" s="1" t="s">
        <v>1429</v>
      </c>
      <c r="B379" s="1" t="s">
        <v>1430</v>
      </c>
      <c r="C379" s="1" t="s">
        <v>1586</v>
      </c>
      <c r="D379" s="1" t="s">
        <v>14</v>
      </c>
      <c r="E379" s="1" t="s">
        <v>1588</v>
      </c>
      <c r="F379" s="1">
        <v>2009</v>
      </c>
      <c r="J379" s="6">
        <v>6691</v>
      </c>
      <c r="K379" s="6">
        <v>3316</v>
      </c>
      <c r="L379" s="21">
        <v>0.49559109251233002</v>
      </c>
      <c r="M379" s="1">
        <v>0</v>
      </c>
      <c r="N379" s="1" t="s">
        <v>28</v>
      </c>
      <c r="O379" s="1" t="s">
        <v>18</v>
      </c>
      <c r="P379" s="1" t="s">
        <v>18</v>
      </c>
      <c r="Q379" s="22" t="s">
        <v>18</v>
      </c>
      <c r="R379" s="8">
        <v>45.211046181437752</v>
      </c>
      <c r="S379" s="9" t="s">
        <v>2657</v>
      </c>
      <c r="T379" s="8">
        <v>47.812983111642502</v>
      </c>
      <c r="U379" s="9" t="s">
        <v>2657</v>
      </c>
      <c r="V379" s="8">
        <v>43.761345090419965</v>
      </c>
      <c r="W379" s="8" t="s">
        <v>2657</v>
      </c>
      <c r="X379" s="8"/>
    </row>
    <row r="380" spans="1:24" x14ac:dyDescent="0.3">
      <c r="A380" s="1" t="s">
        <v>484</v>
      </c>
      <c r="B380" s="1" t="s">
        <v>485</v>
      </c>
      <c r="C380" s="1" t="s">
        <v>1586</v>
      </c>
      <c r="D380" s="1" t="s">
        <v>14</v>
      </c>
      <c r="E380" s="1" t="s">
        <v>1588</v>
      </c>
      <c r="F380" s="1">
        <v>2014</v>
      </c>
      <c r="J380" s="6">
        <v>13000</v>
      </c>
      <c r="K380" s="6">
        <v>6000</v>
      </c>
      <c r="L380" s="21">
        <v>0.46153846153846156</v>
      </c>
      <c r="M380" s="1">
        <v>0</v>
      </c>
      <c r="N380" s="1" t="s">
        <v>1590</v>
      </c>
      <c r="O380" s="1" t="s">
        <v>18</v>
      </c>
      <c r="P380" s="1" t="s">
        <v>18</v>
      </c>
      <c r="Q380" s="22" t="s">
        <v>18</v>
      </c>
      <c r="R380" s="8">
        <v>46.217094615384617</v>
      </c>
      <c r="S380" s="9" t="s">
        <v>2657</v>
      </c>
      <c r="T380" s="8">
        <v>39.48430384615385</v>
      </c>
      <c r="U380" s="9" t="s">
        <v>2657</v>
      </c>
      <c r="V380" s="8">
        <v>42.64066230769231</v>
      </c>
      <c r="W380" s="8" t="s">
        <v>2657</v>
      </c>
      <c r="X380" s="8"/>
    </row>
    <row r="381" spans="1:24" x14ac:dyDescent="0.3">
      <c r="A381" s="1" t="s">
        <v>1824</v>
      </c>
      <c r="B381" s="1" t="s">
        <v>669</v>
      </c>
      <c r="C381" s="1" t="s">
        <v>1586</v>
      </c>
      <c r="D381" s="1" t="s">
        <v>14</v>
      </c>
      <c r="E381" s="1" t="s">
        <v>1588</v>
      </c>
      <c r="F381" s="1">
        <v>1984</v>
      </c>
      <c r="J381" s="6">
        <v>7597</v>
      </c>
      <c r="K381" s="6">
        <v>2170</v>
      </c>
      <c r="L381" s="21">
        <v>0.2856390680531789</v>
      </c>
      <c r="M381" s="1">
        <v>0</v>
      </c>
      <c r="N381" s="1" t="s">
        <v>28</v>
      </c>
      <c r="O381" s="1" t="s">
        <v>18</v>
      </c>
      <c r="P381" s="1" t="s">
        <v>18</v>
      </c>
      <c r="Q381" s="22" t="s">
        <v>18</v>
      </c>
      <c r="R381" s="8">
        <v>2.0021139923654072</v>
      </c>
      <c r="S381" s="9" t="s">
        <v>2657</v>
      </c>
      <c r="T381" s="8">
        <v>29.856390680531788</v>
      </c>
      <c r="U381" s="9" t="s">
        <v>2657</v>
      </c>
      <c r="V381" s="8">
        <v>41.776490720021059</v>
      </c>
      <c r="W381" s="8" t="s">
        <v>2657</v>
      </c>
      <c r="X381" s="8"/>
    </row>
    <row r="382" spans="1:24" x14ac:dyDescent="0.3">
      <c r="A382" s="1" t="s">
        <v>761</v>
      </c>
      <c r="B382" s="1" t="s">
        <v>762</v>
      </c>
      <c r="C382" s="1" t="s">
        <v>1586</v>
      </c>
      <c r="D382" s="1" t="s">
        <v>14</v>
      </c>
      <c r="E382" s="1" t="s">
        <v>1588</v>
      </c>
      <c r="F382" s="1">
        <v>1992</v>
      </c>
      <c r="J382" s="6">
        <v>14406</v>
      </c>
      <c r="K382" s="6">
        <v>0</v>
      </c>
      <c r="L382" s="21">
        <v>0</v>
      </c>
      <c r="M382" s="1">
        <v>0</v>
      </c>
      <c r="N382" s="1" t="s">
        <v>28</v>
      </c>
      <c r="O382" s="1" t="s">
        <v>18</v>
      </c>
      <c r="P382" s="1" t="s">
        <v>18</v>
      </c>
      <c r="Q382" s="22" t="s">
        <v>18</v>
      </c>
      <c r="R382" s="8">
        <v>50.116790226294604</v>
      </c>
      <c r="S382" s="9" t="s">
        <v>2657</v>
      </c>
      <c r="T382" s="8">
        <v>41.236849229487717</v>
      </c>
      <c r="U382" s="9" t="s">
        <v>2657</v>
      </c>
      <c r="V382" s="8">
        <v>41.413343051506317</v>
      </c>
      <c r="W382" s="8" t="s">
        <v>2657</v>
      </c>
      <c r="X382" s="8"/>
    </row>
    <row r="383" spans="1:24" x14ac:dyDescent="0.3">
      <c r="A383" s="1" t="s">
        <v>2014</v>
      </c>
      <c r="B383" s="1" t="s">
        <v>2015</v>
      </c>
      <c r="C383" s="1" t="s">
        <v>1586</v>
      </c>
      <c r="D383" s="1" t="s">
        <v>14</v>
      </c>
      <c r="E383" s="1" t="s">
        <v>1588</v>
      </c>
      <c r="F383" s="1">
        <v>2016</v>
      </c>
      <c r="J383" s="6">
        <v>5530</v>
      </c>
      <c r="K383" s="6">
        <v>689</v>
      </c>
      <c r="L383" s="21">
        <v>0.12459312839059675</v>
      </c>
      <c r="M383" s="1">
        <v>0</v>
      </c>
      <c r="N383" s="1" t="s">
        <v>28</v>
      </c>
      <c r="O383" s="1" t="s">
        <v>18</v>
      </c>
      <c r="P383" s="1" t="s">
        <v>18</v>
      </c>
      <c r="Q383" s="22" t="s">
        <v>18</v>
      </c>
      <c r="R383" s="8">
        <v>38.824394213381552</v>
      </c>
      <c r="S383" s="9" t="s">
        <v>2657</v>
      </c>
      <c r="T383" s="8">
        <v>43.074390596745026</v>
      </c>
      <c r="U383" s="9" t="s">
        <v>2657</v>
      </c>
      <c r="V383" s="8">
        <v>40.094115732368898</v>
      </c>
      <c r="W383" s="8" t="s">
        <v>2657</v>
      </c>
      <c r="X383" s="8"/>
    </row>
    <row r="384" spans="1:24" x14ac:dyDescent="0.3">
      <c r="A384" s="1" t="s">
        <v>2049</v>
      </c>
      <c r="B384" s="1" t="s">
        <v>870</v>
      </c>
      <c r="C384" s="1" t="s">
        <v>1586</v>
      </c>
      <c r="D384" s="1" t="s">
        <v>14</v>
      </c>
      <c r="E384" s="1" t="s">
        <v>1588</v>
      </c>
      <c r="F384" s="1">
        <v>2001</v>
      </c>
      <c r="J384" s="6">
        <v>7304</v>
      </c>
      <c r="K384" s="6">
        <v>2658</v>
      </c>
      <c r="L384" s="21">
        <v>0.36391018619934284</v>
      </c>
      <c r="M384" s="1">
        <v>0</v>
      </c>
      <c r="N384" s="1" t="s">
        <v>28</v>
      </c>
      <c r="O384" s="1" t="s">
        <v>18</v>
      </c>
      <c r="P384" s="1">
        <v>1.1100000000000001</v>
      </c>
      <c r="Q384" s="22">
        <v>43770</v>
      </c>
      <c r="R384" s="8">
        <v>55.195208105147863</v>
      </c>
      <c r="S384" s="9" t="s">
        <v>2657</v>
      </c>
      <c r="T384" s="8">
        <v>48.824746714129247</v>
      </c>
      <c r="U384" s="9" t="s">
        <v>2657</v>
      </c>
      <c r="V384" s="8">
        <v>39.158064074479739</v>
      </c>
      <c r="W384" s="8" t="s">
        <v>2657</v>
      </c>
      <c r="X384" s="8"/>
    </row>
    <row r="385" spans="1:24" x14ac:dyDescent="0.3">
      <c r="A385" s="1" t="s">
        <v>2172</v>
      </c>
      <c r="B385" s="1" t="s">
        <v>2173</v>
      </c>
      <c r="C385" s="1" t="s">
        <v>1586</v>
      </c>
      <c r="D385" s="1" t="s">
        <v>14</v>
      </c>
      <c r="E385" s="1" t="s">
        <v>1588</v>
      </c>
      <c r="F385" s="1">
        <v>2022</v>
      </c>
      <c r="J385" s="6">
        <v>14673</v>
      </c>
      <c r="K385" s="6">
        <v>11262</v>
      </c>
      <c r="L385" s="21">
        <v>0.76753220200368022</v>
      </c>
      <c r="M385" s="1">
        <v>0</v>
      </c>
      <c r="N385" s="1" t="s">
        <v>1589</v>
      </c>
      <c r="O385" s="1">
        <v>1</v>
      </c>
      <c r="P385" s="1" t="s">
        <v>18</v>
      </c>
      <c r="Q385" s="22" t="s">
        <v>18</v>
      </c>
      <c r="R385" s="8" t="s">
        <v>18</v>
      </c>
      <c r="S385" s="9"/>
      <c r="T385" s="8" t="s">
        <v>18</v>
      </c>
      <c r="U385" s="9"/>
      <c r="V385" s="8">
        <v>35.264772030259664</v>
      </c>
      <c r="W385" s="8" t="s">
        <v>2657</v>
      </c>
      <c r="X385" s="8"/>
    </row>
    <row r="386" spans="1:24" x14ac:dyDescent="0.3">
      <c r="A386" s="1" t="s">
        <v>2039</v>
      </c>
      <c r="B386" s="1" t="s">
        <v>2044</v>
      </c>
      <c r="C386" s="1" t="s">
        <v>1586</v>
      </c>
      <c r="D386" s="1" t="s">
        <v>14</v>
      </c>
      <c r="E386" s="1" t="s">
        <v>1588</v>
      </c>
      <c r="F386" s="1">
        <v>2011</v>
      </c>
      <c r="J386" s="6">
        <v>2673</v>
      </c>
      <c r="K386" s="6">
        <v>1980</v>
      </c>
      <c r="L386" s="21">
        <v>0.7407407407407407</v>
      </c>
      <c r="M386" s="1">
        <v>0</v>
      </c>
      <c r="N386" s="1" t="s">
        <v>28</v>
      </c>
      <c r="O386" s="1" t="s">
        <v>18</v>
      </c>
      <c r="P386" s="1" t="s">
        <v>18</v>
      </c>
      <c r="Q386" s="22" t="s">
        <v>18</v>
      </c>
      <c r="R386" s="8">
        <v>27.177702955480733</v>
      </c>
      <c r="S386" s="9" t="s">
        <v>2657</v>
      </c>
      <c r="T386" s="8">
        <v>29.617283950617285</v>
      </c>
      <c r="U386" s="9" t="s">
        <v>2657</v>
      </c>
      <c r="V386" s="8">
        <v>33.548447437336328</v>
      </c>
      <c r="W386" s="8" t="s">
        <v>2657</v>
      </c>
      <c r="X386" s="8"/>
    </row>
    <row r="387" spans="1:24" x14ac:dyDescent="0.3">
      <c r="A387" s="1" t="s">
        <v>2196</v>
      </c>
      <c r="B387" s="1" t="s">
        <v>2197</v>
      </c>
      <c r="C387" s="1" t="s">
        <v>1586</v>
      </c>
      <c r="D387" s="1" t="s">
        <v>14</v>
      </c>
      <c r="E387" s="1" t="s">
        <v>1588</v>
      </c>
      <c r="F387" s="1">
        <v>1976</v>
      </c>
      <c r="G387" s="1" t="s">
        <v>47</v>
      </c>
      <c r="H387" s="1">
        <v>2022</v>
      </c>
      <c r="I387" s="1" t="s">
        <v>1599</v>
      </c>
      <c r="J387" s="6">
        <v>14486</v>
      </c>
      <c r="K387" s="6">
        <v>10888</v>
      </c>
      <c r="L387" s="21">
        <v>0.75162225597128263</v>
      </c>
      <c r="M387" s="1">
        <v>0</v>
      </c>
      <c r="N387" s="1" t="s">
        <v>1589</v>
      </c>
      <c r="O387" s="1">
        <v>6</v>
      </c>
      <c r="P387" s="1">
        <v>0.67</v>
      </c>
      <c r="Q387" s="22">
        <v>44896</v>
      </c>
      <c r="R387" s="8">
        <v>4.9812922822035066</v>
      </c>
      <c r="S387" s="9" t="s">
        <v>2657</v>
      </c>
      <c r="T387" s="8">
        <v>9.3262460306502835</v>
      </c>
      <c r="U387" s="9" t="s">
        <v>2657</v>
      </c>
      <c r="V387" s="8">
        <v>10.780753831285379</v>
      </c>
      <c r="W387" s="8" t="s">
        <v>2657</v>
      </c>
      <c r="X387" s="8"/>
    </row>
    <row r="388" spans="1:24" x14ac:dyDescent="0.3">
      <c r="A388" s="1" t="s">
        <v>2424</v>
      </c>
      <c r="B388" s="1" t="s">
        <v>2425</v>
      </c>
      <c r="C388" s="1" t="s">
        <v>1586</v>
      </c>
      <c r="D388" s="1" t="s">
        <v>14</v>
      </c>
      <c r="E388" s="1" t="s">
        <v>1588</v>
      </c>
      <c r="F388" s="1">
        <v>2013</v>
      </c>
      <c r="G388" s="1" t="s">
        <v>19</v>
      </c>
      <c r="H388" s="1">
        <v>2022</v>
      </c>
      <c r="I388" s="1" t="s">
        <v>1599</v>
      </c>
      <c r="J388" s="6">
        <v>9606</v>
      </c>
      <c r="K388" s="6">
        <v>6077</v>
      </c>
      <c r="L388" s="21">
        <v>0.6326254424318134</v>
      </c>
      <c r="M388" s="1">
        <v>0</v>
      </c>
      <c r="N388" s="1" t="s">
        <v>1589</v>
      </c>
      <c r="O388" s="1">
        <v>11</v>
      </c>
      <c r="P388" s="1" t="s">
        <v>18</v>
      </c>
      <c r="Q388" s="22" t="s">
        <v>18</v>
      </c>
      <c r="R388" s="8">
        <v>0</v>
      </c>
      <c r="S388" s="9"/>
      <c r="T388" s="8">
        <v>0</v>
      </c>
      <c r="U388" s="9"/>
      <c r="V388" s="8">
        <v>0</v>
      </c>
      <c r="W388" s="8"/>
      <c r="X388" s="8"/>
    </row>
    <row r="389" spans="1:24" x14ac:dyDescent="0.3">
      <c r="A389" s="1" t="s">
        <v>1115</v>
      </c>
      <c r="B389" s="1" t="s">
        <v>1116</v>
      </c>
      <c r="C389" s="1" t="s">
        <v>1586</v>
      </c>
      <c r="D389" s="1" t="s">
        <v>14</v>
      </c>
      <c r="F389" s="1">
        <v>2017</v>
      </c>
      <c r="G389" s="1" t="s">
        <v>19</v>
      </c>
      <c r="H389" s="1">
        <v>2022</v>
      </c>
      <c r="I389" s="1" t="s">
        <v>1601</v>
      </c>
      <c r="J389" s="6">
        <v>128557</v>
      </c>
      <c r="K389" s="6">
        <v>110438</v>
      </c>
      <c r="L389" s="21">
        <v>0.85905862769044083</v>
      </c>
      <c r="M389" s="1">
        <v>0</v>
      </c>
      <c r="N389" s="1" t="s">
        <v>1589</v>
      </c>
      <c r="O389" s="1">
        <v>13</v>
      </c>
      <c r="P389" s="1">
        <v>0.61</v>
      </c>
      <c r="Q389" s="22">
        <v>44889</v>
      </c>
      <c r="R389" s="8"/>
      <c r="S389" s="9" t="s">
        <v>18</v>
      </c>
      <c r="T389" s="8"/>
      <c r="U389" s="9"/>
      <c r="V389" s="8"/>
      <c r="W389" s="8"/>
      <c r="X389" s="8"/>
    </row>
    <row r="390" spans="1:24" x14ac:dyDescent="0.3">
      <c r="A390" s="1" t="s">
        <v>456</v>
      </c>
      <c r="B390" s="1" t="s">
        <v>458</v>
      </c>
      <c r="C390" s="1" t="s">
        <v>1586</v>
      </c>
      <c r="D390" s="1" t="s">
        <v>14</v>
      </c>
      <c r="F390" s="1">
        <v>2000</v>
      </c>
      <c r="G390" s="1" t="s">
        <v>21</v>
      </c>
      <c r="H390" s="1">
        <v>2022</v>
      </c>
      <c r="I390" s="1" t="s">
        <v>1601</v>
      </c>
      <c r="J390" s="6">
        <v>33837</v>
      </c>
      <c r="K390" s="6">
        <v>32589</v>
      </c>
      <c r="L390" s="21">
        <v>0.96311729763276888</v>
      </c>
      <c r="M390" s="1">
        <v>0</v>
      </c>
      <c r="N390" s="1" t="s">
        <v>1589</v>
      </c>
      <c r="O390" s="1">
        <v>4</v>
      </c>
      <c r="P390" s="1">
        <v>0.65</v>
      </c>
      <c r="Q390" s="22">
        <v>44510</v>
      </c>
      <c r="R390" s="8"/>
      <c r="S390" s="9" t="s">
        <v>18</v>
      </c>
      <c r="T390" s="8"/>
      <c r="U390" s="9"/>
      <c r="V390" s="8"/>
      <c r="W390" s="8"/>
      <c r="X390" s="8"/>
    </row>
    <row r="391" spans="1:24" x14ac:dyDescent="0.3">
      <c r="A391" s="1" t="s">
        <v>456</v>
      </c>
      <c r="B391" s="1" t="s">
        <v>459</v>
      </c>
      <c r="C391" s="1" t="s">
        <v>1586</v>
      </c>
      <c r="D391" s="1" t="s">
        <v>14</v>
      </c>
      <c r="F391" s="1">
        <v>2000</v>
      </c>
      <c r="G391" s="1" t="s">
        <v>21</v>
      </c>
      <c r="H391" s="1">
        <v>2022</v>
      </c>
      <c r="I391" s="1" t="s">
        <v>1601</v>
      </c>
      <c r="J391" s="6">
        <v>13951</v>
      </c>
      <c r="K391" s="6">
        <v>11465</v>
      </c>
      <c r="L391" s="21">
        <v>0.82180488853845601</v>
      </c>
      <c r="M391" s="1">
        <v>0</v>
      </c>
      <c r="N391" s="1" t="s">
        <v>1589</v>
      </c>
      <c r="O391" s="1">
        <v>4</v>
      </c>
      <c r="P391" s="1">
        <v>0.65</v>
      </c>
      <c r="Q391" s="22">
        <v>44510</v>
      </c>
      <c r="R391" s="8"/>
      <c r="S391" s="9" t="s">
        <v>18</v>
      </c>
      <c r="T391" s="8"/>
      <c r="U391" s="9"/>
      <c r="V391" s="8"/>
      <c r="W391" s="8"/>
      <c r="X391" s="8"/>
    </row>
    <row r="392" spans="1:24" x14ac:dyDescent="0.3">
      <c r="A392" s="1" t="s">
        <v>1850</v>
      </c>
      <c r="B392" s="1" t="s">
        <v>338</v>
      </c>
      <c r="C392" s="1" t="s">
        <v>1586</v>
      </c>
      <c r="D392" s="1" t="s">
        <v>14</v>
      </c>
      <c r="F392" s="1">
        <v>2013</v>
      </c>
      <c r="G392" s="1" t="s">
        <v>19</v>
      </c>
      <c r="H392" s="1">
        <v>2021</v>
      </c>
      <c r="I392" s="1" t="s">
        <v>1601</v>
      </c>
      <c r="J392" s="6">
        <v>7251</v>
      </c>
      <c r="K392" s="6">
        <v>7251</v>
      </c>
      <c r="L392" s="21">
        <v>1</v>
      </c>
      <c r="M392" s="1">
        <v>0</v>
      </c>
      <c r="N392" s="1" t="s">
        <v>1589</v>
      </c>
      <c r="O392" s="1">
        <v>10</v>
      </c>
      <c r="P392" s="1">
        <v>0.65</v>
      </c>
      <c r="Q392" s="22">
        <v>44249</v>
      </c>
      <c r="R392" s="8"/>
      <c r="S392" s="9" t="s">
        <v>18</v>
      </c>
      <c r="T392" s="8"/>
      <c r="U392" s="9"/>
      <c r="V392" s="8"/>
      <c r="W392" s="8" t="s">
        <v>18</v>
      </c>
      <c r="X392" s="8"/>
    </row>
    <row r="393" spans="1:24" x14ac:dyDescent="0.3">
      <c r="A393" s="1" t="s">
        <v>371</v>
      </c>
      <c r="B393" s="1" t="s">
        <v>372</v>
      </c>
      <c r="C393" s="1" t="s">
        <v>1586</v>
      </c>
      <c r="D393" s="1" t="s">
        <v>14</v>
      </c>
      <c r="F393" s="1">
        <v>1996</v>
      </c>
      <c r="G393" s="1" t="s">
        <v>19</v>
      </c>
      <c r="H393" s="1">
        <v>2021</v>
      </c>
      <c r="I393" s="1" t="s">
        <v>1601</v>
      </c>
      <c r="J393" s="6">
        <v>18784</v>
      </c>
      <c r="K393" s="6">
        <v>18784</v>
      </c>
      <c r="L393" s="21">
        <v>1</v>
      </c>
      <c r="M393" s="1">
        <v>0</v>
      </c>
      <c r="N393" s="1" t="s">
        <v>1589</v>
      </c>
      <c r="O393" s="1">
        <v>6</v>
      </c>
      <c r="P393" s="1">
        <v>0.57899999999999996</v>
      </c>
      <c r="Q393" s="22">
        <v>44511</v>
      </c>
      <c r="R393" s="8"/>
      <c r="S393" s="9" t="s">
        <v>18</v>
      </c>
      <c r="T393" s="8"/>
      <c r="U393" s="9" t="s">
        <v>18</v>
      </c>
      <c r="V393" s="8"/>
      <c r="W393" s="8" t="s">
        <v>18</v>
      </c>
      <c r="X393" s="8"/>
    </row>
    <row r="394" spans="1:24" x14ac:dyDescent="0.3">
      <c r="A394" s="1" t="s">
        <v>188</v>
      </c>
      <c r="B394" s="1" t="s">
        <v>1872</v>
      </c>
      <c r="C394" s="1" t="s">
        <v>1586</v>
      </c>
      <c r="D394" s="1" t="s">
        <v>14</v>
      </c>
      <c r="F394" s="1">
        <v>2010</v>
      </c>
      <c r="J394" s="6">
        <v>4605</v>
      </c>
      <c r="K394" s="6">
        <v>4134</v>
      </c>
      <c r="L394" s="21">
        <v>0.89771986970684037</v>
      </c>
      <c r="M394" s="1">
        <v>0</v>
      </c>
      <c r="N394" s="1" t="s">
        <v>28</v>
      </c>
      <c r="O394" s="1" t="s">
        <v>18</v>
      </c>
      <c r="P394" s="1" t="s">
        <v>18</v>
      </c>
      <c r="Q394" s="22" t="s">
        <v>18</v>
      </c>
      <c r="R394" s="8"/>
      <c r="S394" s="9" t="s">
        <v>18</v>
      </c>
      <c r="T394" s="8"/>
      <c r="U394" s="9" t="s">
        <v>18</v>
      </c>
      <c r="V394" s="8"/>
      <c r="W394" s="8" t="s">
        <v>18</v>
      </c>
      <c r="X394" s="8"/>
    </row>
    <row r="395" spans="1:24" x14ac:dyDescent="0.3">
      <c r="A395" s="1" t="s">
        <v>1291</v>
      </c>
      <c r="B395" s="1" t="s">
        <v>1292</v>
      </c>
      <c r="C395" s="1" t="s">
        <v>1586</v>
      </c>
      <c r="D395" s="1" t="s">
        <v>14</v>
      </c>
      <c r="F395" s="1">
        <v>2011</v>
      </c>
      <c r="G395" s="1" t="s">
        <v>25</v>
      </c>
      <c r="H395" s="1">
        <v>2011</v>
      </c>
      <c r="I395" s="1" t="s">
        <v>1603</v>
      </c>
      <c r="J395" s="6">
        <v>9518</v>
      </c>
      <c r="K395" s="6">
        <v>7660</v>
      </c>
      <c r="L395" s="21">
        <v>0.80479092246270223</v>
      </c>
      <c r="M395" s="1">
        <v>0</v>
      </c>
      <c r="N395" s="1" t="s">
        <v>1821</v>
      </c>
      <c r="O395" s="1" t="s">
        <v>18</v>
      </c>
      <c r="P395" s="1" t="s">
        <v>18</v>
      </c>
      <c r="Q395" s="22" t="s">
        <v>18</v>
      </c>
      <c r="R395" s="8"/>
      <c r="S395" s="9"/>
      <c r="T395" s="8"/>
      <c r="U395" s="9"/>
      <c r="V395" s="8"/>
      <c r="W395" s="8"/>
      <c r="X395" s="8"/>
    </row>
    <row r="396" spans="1:24" x14ac:dyDescent="0.3">
      <c r="A396" s="1" t="s">
        <v>1962</v>
      </c>
      <c r="B396" s="1" t="s">
        <v>1963</v>
      </c>
      <c r="C396" s="1" t="s">
        <v>1586</v>
      </c>
      <c r="D396" s="1" t="s">
        <v>14</v>
      </c>
      <c r="F396" s="1">
        <v>2001</v>
      </c>
      <c r="J396" s="6">
        <v>4228</v>
      </c>
      <c r="K396" s="6">
        <v>3580</v>
      </c>
      <c r="L396" s="21">
        <v>0.84673604541154213</v>
      </c>
      <c r="M396" s="1">
        <v>0</v>
      </c>
      <c r="N396" s="1" t="s">
        <v>1787</v>
      </c>
      <c r="O396" s="1" t="s">
        <v>18</v>
      </c>
      <c r="P396" s="1" t="s">
        <v>18</v>
      </c>
      <c r="Q396" s="22" t="s">
        <v>18</v>
      </c>
      <c r="R396" s="8"/>
      <c r="S396" s="9" t="s">
        <v>18</v>
      </c>
      <c r="T396" s="8"/>
      <c r="U396" s="9" t="s">
        <v>18</v>
      </c>
      <c r="V396" s="8"/>
      <c r="W396" s="8" t="s">
        <v>18</v>
      </c>
      <c r="X396" s="8"/>
    </row>
    <row r="397" spans="1:24" x14ac:dyDescent="0.3">
      <c r="A397" s="1" t="s">
        <v>63</v>
      </c>
      <c r="B397" s="1" t="s">
        <v>1968</v>
      </c>
      <c r="C397" s="1" t="s">
        <v>1586</v>
      </c>
      <c r="D397" s="1" t="s">
        <v>14</v>
      </c>
      <c r="F397" s="1">
        <v>2002</v>
      </c>
      <c r="G397" s="1" t="s">
        <v>25</v>
      </c>
      <c r="H397" s="1">
        <v>2022</v>
      </c>
      <c r="I397" s="1" t="s">
        <v>1597</v>
      </c>
      <c r="J397" s="6">
        <v>19190</v>
      </c>
      <c r="K397" s="6">
        <v>14313</v>
      </c>
      <c r="L397" s="21">
        <v>0.74585721730067744</v>
      </c>
      <c r="M397" s="1">
        <v>0</v>
      </c>
      <c r="N397" s="1" t="s">
        <v>1589</v>
      </c>
      <c r="O397" s="1">
        <v>9</v>
      </c>
      <c r="P397" s="1">
        <v>0.80900000000000005</v>
      </c>
      <c r="Q397" s="22">
        <v>44835</v>
      </c>
      <c r="R397" s="8"/>
      <c r="S397" s="9" t="s">
        <v>18</v>
      </c>
      <c r="T397" s="8"/>
      <c r="U397" s="9" t="s">
        <v>18</v>
      </c>
      <c r="V397" s="8"/>
      <c r="W397" s="8" t="s">
        <v>18</v>
      </c>
      <c r="X397" s="8"/>
    </row>
    <row r="398" spans="1:24" x14ac:dyDescent="0.3">
      <c r="A398" s="1" t="s">
        <v>666</v>
      </c>
      <c r="B398" s="1" t="s">
        <v>667</v>
      </c>
      <c r="C398" s="1" t="s">
        <v>1586</v>
      </c>
      <c r="D398" s="1" t="s">
        <v>14</v>
      </c>
      <c r="F398" s="1">
        <v>2002</v>
      </c>
      <c r="G398" s="1" t="s">
        <v>19</v>
      </c>
      <c r="H398" s="1">
        <v>2019</v>
      </c>
      <c r="I398" s="1" t="s">
        <v>1601</v>
      </c>
      <c r="J398" s="6">
        <v>16986</v>
      </c>
      <c r="K398" s="6">
        <v>14936</v>
      </c>
      <c r="L398" s="21">
        <v>0.879312374896974</v>
      </c>
      <c r="M398" s="1">
        <v>0</v>
      </c>
      <c r="N398" s="1" t="s">
        <v>1589</v>
      </c>
      <c r="O398" s="1">
        <v>2</v>
      </c>
      <c r="P398" s="1" t="s">
        <v>18</v>
      </c>
      <c r="Q398" s="22" t="s">
        <v>18</v>
      </c>
      <c r="R398" s="8"/>
      <c r="S398" s="9" t="s">
        <v>18</v>
      </c>
      <c r="T398" s="8"/>
      <c r="U398" s="9" t="s">
        <v>18</v>
      </c>
      <c r="V398" s="8"/>
      <c r="W398" s="8" t="s">
        <v>18</v>
      </c>
      <c r="X398" s="8"/>
    </row>
    <row r="399" spans="1:24" x14ac:dyDescent="0.3">
      <c r="A399" s="1" t="s">
        <v>500</v>
      </c>
      <c r="B399" s="1" t="s">
        <v>501</v>
      </c>
      <c r="C399" s="1" t="s">
        <v>1586</v>
      </c>
      <c r="D399" s="1" t="s">
        <v>14</v>
      </c>
      <c r="F399" s="1">
        <v>2008</v>
      </c>
      <c r="G399" s="1" t="s">
        <v>21</v>
      </c>
      <c r="H399" s="1">
        <v>2022</v>
      </c>
      <c r="I399" s="1" t="s">
        <v>1601</v>
      </c>
      <c r="J399" s="6">
        <v>21087</v>
      </c>
      <c r="K399" s="6">
        <v>17180</v>
      </c>
      <c r="L399" s="21">
        <v>0.81471996964954707</v>
      </c>
      <c r="M399" s="1">
        <v>0</v>
      </c>
      <c r="N399" s="1" t="s">
        <v>1821</v>
      </c>
      <c r="O399" s="1" t="s">
        <v>18</v>
      </c>
      <c r="P399" s="1">
        <v>0.05</v>
      </c>
      <c r="Q399" s="22">
        <v>40391</v>
      </c>
      <c r="R399" s="8"/>
      <c r="S399" s="9"/>
      <c r="T399" s="8"/>
      <c r="U399" s="9"/>
      <c r="V399" s="8"/>
      <c r="W399" s="8"/>
      <c r="X399" s="8"/>
    </row>
    <row r="400" spans="1:24" x14ac:dyDescent="0.3">
      <c r="A400" s="1" t="s">
        <v>504</v>
      </c>
      <c r="B400" s="1" t="s">
        <v>505</v>
      </c>
      <c r="C400" s="1" t="s">
        <v>1586</v>
      </c>
      <c r="D400" s="1" t="s">
        <v>14</v>
      </c>
      <c r="F400" s="1">
        <v>2008</v>
      </c>
      <c r="G400" s="1" t="s">
        <v>21</v>
      </c>
      <c r="H400" s="1">
        <v>2022</v>
      </c>
      <c r="I400" s="1" t="s">
        <v>1601</v>
      </c>
      <c r="J400" s="6">
        <v>15141</v>
      </c>
      <c r="K400" s="6">
        <v>13134</v>
      </c>
      <c r="L400" s="21">
        <v>0.86744600752922529</v>
      </c>
      <c r="M400" s="1">
        <v>0</v>
      </c>
      <c r="N400" s="1" t="s">
        <v>1821</v>
      </c>
      <c r="O400" s="1" t="s">
        <v>18</v>
      </c>
      <c r="P400" s="1">
        <v>0.05</v>
      </c>
      <c r="Q400" s="22">
        <v>40391</v>
      </c>
      <c r="R400" s="8"/>
      <c r="S400" s="9"/>
      <c r="T400" s="8"/>
      <c r="U400" s="9"/>
      <c r="V400" s="8"/>
      <c r="W400" s="8"/>
      <c r="X400" s="8"/>
    </row>
    <row r="401" spans="1:24" x14ac:dyDescent="0.3">
      <c r="A401" s="1" t="s">
        <v>508</v>
      </c>
      <c r="B401" s="1" t="s">
        <v>509</v>
      </c>
      <c r="C401" s="1" t="s">
        <v>1586</v>
      </c>
      <c r="D401" s="1" t="s">
        <v>14</v>
      </c>
      <c r="F401" s="1">
        <v>2008</v>
      </c>
      <c r="G401" s="1" t="s">
        <v>21</v>
      </c>
      <c r="H401" s="1">
        <v>2022</v>
      </c>
      <c r="I401" s="1" t="s">
        <v>1601</v>
      </c>
      <c r="J401" s="6">
        <v>17652</v>
      </c>
      <c r="K401" s="6">
        <v>11887</v>
      </c>
      <c r="L401" s="21">
        <v>0.67340811239519605</v>
      </c>
      <c r="M401" s="1">
        <v>0</v>
      </c>
      <c r="N401" s="1" t="s">
        <v>1821</v>
      </c>
      <c r="O401" s="1" t="s">
        <v>18</v>
      </c>
      <c r="P401" s="1">
        <v>0.05</v>
      </c>
      <c r="Q401" s="22">
        <v>40391</v>
      </c>
      <c r="R401" s="8"/>
      <c r="S401" s="9"/>
      <c r="T401" s="8"/>
      <c r="U401" s="9"/>
      <c r="V401" s="8"/>
      <c r="W401" s="8"/>
      <c r="X401" s="8"/>
    </row>
    <row r="402" spans="1:24" x14ac:dyDescent="0.3">
      <c r="A402" s="1" t="s">
        <v>506</v>
      </c>
      <c r="B402" s="1" t="s">
        <v>507</v>
      </c>
      <c r="C402" s="1" t="s">
        <v>1586</v>
      </c>
      <c r="D402" s="1" t="s">
        <v>14</v>
      </c>
      <c r="F402" s="1">
        <v>2008</v>
      </c>
      <c r="G402" s="1" t="s">
        <v>21</v>
      </c>
      <c r="H402" s="1">
        <v>2022</v>
      </c>
      <c r="I402" s="1" t="s">
        <v>1818</v>
      </c>
      <c r="J402" s="6">
        <v>27611</v>
      </c>
      <c r="K402" s="6">
        <v>26341</v>
      </c>
      <c r="L402" s="21">
        <v>0.95400383904965413</v>
      </c>
      <c r="M402" s="1">
        <v>0</v>
      </c>
      <c r="N402" s="1" t="s">
        <v>1821</v>
      </c>
      <c r="O402" s="1" t="s">
        <v>18</v>
      </c>
      <c r="P402" s="1">
        <v>0.05</v>
      </c>
      <c r="Q402" s="22">
        <v>40391</v>
      </c>
      <c r="R402" s="8"/>
      <c r="S402" s="9"/>
      <c r="T402" s="8"/>
      <c r="U402" s="9"/>
      <c r="V402" s="8"/>
      <c r="W402" s="8"/>
      <c r="X402" s="8"/>
    </row>
    <row r="403" spans="1:24" x14ac:dyDescent="0.3">
      <c r="A403" s="1" t="s">
        <v>502</v>
      </c>
      <c r="B403" s="1" t="s">
        <v>503</v>
      </c>
      <c r="C403" s="1" t="s">
        <v>1586</v>
      </c>
      <c r="D403" s="1" t="s">
        <v>14</v>
      </c>
      <c r="F403" s="1">
        <v>2008</v>
      </c>
      <c r="G403" s="1" t="s">
        <v>21</v>
      </c>
      <c r="H403" s="1">
        <v>2022</v>
      </c>
      <c r="I403" s="1" t="s">
        <v>1601</v>
      </c>
      <c r="J403" s="6">
        <v>19872</v>
      </c>
      <c r="K403" s="6">
        <v>19872</v>
      </c>
      <c r="L403" s="21">
        <v>1</v>
      </c>
      <c r="M403" s="1">
        <v>0</v>
      </c>
      <c r="N403" s="1" t="s">
        <v>1821</v>
      </c>
      <c r="O403" s="1" t="s">
        <v>18</v>
      </c>
      <c r="P403" s="1">
        <v>0.05</v>
      </c>
      <c r="Q403" s="22">
        <v>40391</v>
      </c>
      <c r="R403" s="8"/>
      <c r="S403" s="9"/>
      <c r="T403" s="8"/>
      <c r="U403" s="9"/>
      <c r="V403" s="8"/>
      <c r="W403" s="8"/>
      <c r="X403" s="8"/>
    </row>
    <row r="404" spans="1:24" x14ac:dyDescent="0.3">
      <c r="A404" s="1" t="s">
        <v>510</v>
      </c>
      <c r="B404" s="1" t="s">
        <v>511</v>
      </c>
      <c r="C404" s="1" t="s">
        <v>1586</v>
      </c>
      <c r="D404" s="1" t="s">
        <v>14</v>
      </c>
      <c r="F404" s="1">
        <v>2008</v>
      </c>
      <c r="G404" s="1" t="s">
        <v>21</v>
      </c>
      <c r="H404" s="1">
        <v>2022</v>
      </c>
      <c r="I404" s="1" t="s">
        <v>1601</v>
      </c>
      <c r="J404" s="6">
        <v>33486</v>
      </c>
      <c r="K404" s="6">
        <v>29813</v>
      </c>
      <c r="L404" s="21">
        <v>0.89031236934838442</v>
      </c>
      <c r="M404" s="1">
        <v>0</v>
      </c>
      <c r="N404" s="1" t="s">
        <v>1821</v>
      </c>
      <c r="O404" s="1" t="s">
        <v>18</v>
      </c>
      <c r="P404" s="1">
        <v>0.05</v>
      </c>
      <c r="Q404" s="22">
        <v>40391</v>
      </c>
      <c r="R404" s="8"/>
      <c r="S404" s="9"/>
      <c r="T404" s="8"/>
      <c r="U404" s="9"/>
      <c r="V404" s="8"/>
      <c r="W404" s="8"/>
      <c r="X404" s="8"/>
    </row>
    <row r="405" spans="1:24" x14ac:dyDescent="0.3">
      <c r="A405" s="1" t="s">
        <v>2018</v>
      </c>
      <c r="B405" s="1" t="s">
        <v>777</v>
      </c>
      <c r="C405" s="1" t="s">
        <v>1586</v>
      </c>
      <c r="D405" s="1" t="s">
        <v>14</v>
      </c>
      <c r="F405" s="1">
        <v>2011</v>
      </c>
      <c r="G405" s="1" t="s">
        <v>19</v>
      </c>
      <c r="H405" s="1">
        <v>2020</v>
      </c>
      <c r="I405" s="1" t="s">
        <v>1601</v>
      </c>
      <c r="J405" s="6">
        <v>61999</v>
      </c>
      <c r="K405" s="6">
        <v>53783</v>
      </c>
      <c r="L405" s="21">
        <v>0.86748173357634806</v>
      </c>
      <c r="M405" s="1">
        <v>0</v>
      </c>
      <c r="N405" s="1" t="s">
        <v>1821</v>
      </c>
      <c r="O405" s="1" t="s">
        <v>18</v>
      </c>
      <c r="P405" s="1" t="s">
        <v>18</v>
      </c>
      <c r="Q405" s="22" t="s">
        <v>18</v>
      </c>
      <c r="R405" s="8"/>
      <c r="S405" s="9"/>
      <c r="T405" s="8"/>
      <c r="U405" s="9"/>
      <c r="V405" s="8"/>
      <c r="W405" s="8"/>
      <c r="X405" s="8"/>
    </row>
    <row r="406" spans="1:24" x14ac:dyDescent="0.3">
      <c r="A406" s="1" t="s">
        <v>2028</v>
      </c>
      <c r="B406" s="1" t="s">
        <v>393</v>
      </c>
      <c r="C406" s="1" t="s">
        <v>1586</v>
      </c>
      <c r="D406" s="1" t="s">
        <v>14</v>
      </c>
      <c r="F406" s="1">
        <v>2012</v>
      </c>
      <c r="G406" s="1" t="s">
        <v>19</v>
      </c>
      <c r="H406" s="1">
        <v>2019</v>
      </c>
      <c r="I406" s="1" t="s">
        <v>1601</v>
      </c>
      <c r="J406" s="6">
        <v>151777</v>
      </c>
      <c r="K406" s="6">
        <v>147045</v>
      </c>
      <c r="L406" s="21">
        <v>0.96882268064331223</v>
      </c>
      <c r="M406" s="1">
        <v>0</v>
      </c>
      <c r="N406" s="1" t="s">
        <v>1821</v>
      </c>
      <c r="O406" s="1" t="s">
        <v>18</v>
      </c>
      <c r="P406" s="1" t="s">
        <v>18</v>
      </c>
      <c r="Q406" s="22" t="s">
        <v>18</v>
      </c>
      <c r="R406" s="8"/>
      <c r="S406" s="9"/>
      <c r="T406" s="8"/>
      <c r="U406" s="9"/>
      <c r="V406" s="8"/>
      <c r="W406" s="8"/>
      <c r="X406" s="8"/>
    </row>
    <row r="407" spans="1:24" x14ac:dyDescent="0.3">
      <c r="A407" s="1" t="s">
        <v>2031</v>
      </c>
      <c r="B407" s="1" t="s">
        <v>206</v>
      </c>
      <c r="C407" s="1" t="s">
        <v>1586</v>
      </c>
      <c r="D407" s="1" t="s">
        <v>14</v>
      </c>
      <c r="F407" s="1">
        <v>2009</v>
      </c>
      <c r="G407" s="1" t="s">
        <v>19</v>
      </c>
      <c r="H407" s="1">
        <v>2020</v>
      </c>
      <c r="I407" s="1" t="s">
        <v>1601</v>
      </c>
      <c r="J407" s="6">
        <v>113150</v>
      </c>
      <c r="K407" s="6">
        <v>108000</v>
      </c>
      <c r="L407" s="21">
        <v>0.95448519664162612</v>
      </c>
      <c r="M407" s="1">
        <v>0</v>
      </c>
      <c r="N407" s="1" t="s">
        <v>1821</v>
      </c>
      <c r="O407" s="1" t="s">
        <v>18</v>
      </c>
      <c r="P407" s="1" t="s">
        <v>18</v>
      </c>
      <c r="Q407" s="22" t="s">
        <v>18</v>
      </c>
      <c r="R407" s="8"/>
      <c r="S407" s="9"/>
      <c r="T407" s="8"/>
      <c r="U407" s="9"/>
      <c r="V407" s="8"/>
      <c r="W407" s="8"/>
      <c r="X407" s="8"/>
    </row>
    <row r="408" spans="1:24" x14ac:dyDescent="0.3">
      <c r="A408" s="1" t="s">
        <v>239</v>
      </c>
      <c r="B408" s="1" t="s">
        <v>240</v>
      </c>
      <c r="C408" s="1" t="s">
        <v>1586</v>
      </c>
      <c r="D408" s="1" t="s">
        <v>14</v>
      </c>
      <c r="F408" s="1">
        <v>1911</v>
      </c>
      <c r="J408" s="6">
        <v>599</v>
      </c>
      <c r="K408" s="6">
        <v>504</v>
      </c>
      <c r="L408" s="21">
        <v>0.84140233722871449</v>
      </c>
      <c r="M408" s="1">
        <v>0</v>
      </c>
      <c r="N408" s="1" t="s">
        <v>28</v>
      </c>
      <c r="O408" s="1" t="s">
        <v>18</v>
      </c>
      <c r="P408" s="1" t="s">
        <v>18</v>
      </c>
      <c r="Q408" s="22" t="s">
        <v>18</v>
      </c>
      <c r="R408" s="8"/>
      <c r="S408" s="9" t="s">
        <v>18</v>
      </c>
      <c r="T408" s="8"/>
      <c r="U408" s="9" t="s">
        <v>18</v>
      </c>
      <c r="V408" s="8"/>
      <c r="W408" s="8" t="s">
        <v>18</v>
      </c>
      <c r="X408" s="8"/>
    </row>
    <row r="409" spans="1:24" x14ac:dyDescent="0.3">
      <c r="A409" s="1" t="s">
        <v>2115</v>
      </c>
      <c r="B409" s="1" t="s">
        <v>241</v>
      </c>
      <c r="C409" s="1" t="s">
        <v>1586</v>
      </c>
      <c r="D409" s="1" t="s">
        <v>14</v>
      </c>
      <c r="F409" s="1">
        <v>2010</v>
      </c>
      <c r="J409" s="6">
        <v>2105</v>
      </c>
      <c r="K409" s="6">
        <v>2043</v>
      </c>
      <c r="L409" s="21">
        <v>0.97054631828978621</v>
      </c>
      <c r="M409" s="1">
        <v>0</v>
      </c>
      <c r="N409" s="1" t="s">
        <v>28</v>
      </c>
      <c r="O409" s="1" t="s">
        <v>18</v>
      </c>
      <c r="P409" s="1" t="s">
        <v>18</v>
      </c>
      <c r="Q409" s="22" t="s">
        <v>18</v>
      </c>
      <c r="R409" s="8"/>
      <c r="S409" s="9" t="s">
        <v>18</v>
      </c>
      <c r="T409" s="8"/>
      <c r="U409" s="9" t="s">
        <v>18</v>
      </c>
      <c r="V409" s="8"/>
      <c r="W409" s="8" t="s">
        <v>18</v>
      </c>
      <c r="X409" s="8"/>
    </row>
    <row r="410" spans="1:24" x14ac:dyDescent="0.3">
      <c r="A410" s="1" t="s">
        <v>2116</v>
      </c>
      <c r="B410" s="1" t="s">
        <v>235</v>
      </c>
      <c r="C410" s="1" t="s">
        <v>1586</v>
      </c>
      <c r="D410" s="1" t="s">
        <v>14</v>
      </c>
      <c r="F410" s="1">
        <v>1957</v>
      </c>
      <c r="J410" s="6">
        <v>2126</v>
      </c>
      <c r="K410" s="6">
        <v>1930</v>
      </c>
      <c r="L410" s="21">
        <v>0.90780809031044218</v>
      </c>
      <c r="M410" s="1">
        <v>0</v>
      </c>
      <c r="N410" s="1" t="s">
        <v>28</v>
      </c>
      <c r="O410" s="1" t="s">
        <v>18</v>
      </c>
      <c r="P410" s="1" t="s">
        <v>18</v>
      </c>
      <c r="Q410" s="22" t="s">
        <v>18</v>
      </c>
      <c r="R410" s="8"/>
      <c r="S410" s="9" t="s">
        <v>18</v>
      </c>
      <c r="T410" s="8"/>
      <c r="U410" s="9" t="s">
        <v>18</v>
      </c>
      <c r="V410" s="8"/>
      <c r="W410" s="8" t="s">
        <v>18</v>
      </c>
      <c r="X410" s="8"/>
    </row>
    <row r="411" spans="1:24" x14ac:dyDescent="0.3">
      <c r="A411" s="1" t="s">
        <v>2117</v>
      </c>
      <c r="B411" s="1" t="s">
        <v>236</v>
      </c>
      <c r="C411" s="1" t="s">
        <v>1586</v>
      </c>
      <c r="D411" s="1" t="s">
        <v>14</v>
      </c>
      <c r="F411" s="1">
        <v>1931</v>
      </c>
      <c r="J411" s="6">
        <v>1030</v>
      </c>
      <c r="K411" s="6">
        <v>1024</v>
      </c>
      <c r="L411" s="21">
        <v>0.99417475728155336</v>
      </c>
      <c r="M411" s="1">
        <v>0</v>
      </c>
      <c r="N411" s="1" t="s">
        <v>28</v>
      </c>
      <c r="O411" s="1" t="s">
        <v>18</v>
      </c>
      <c r="P411" s="1" t="s">
        <v>18</v>
      </c>
      <c r="Q411" s="22" t="s">
        <v>18</v>
      </c>
      <c r="R411" s="8"/>
      <c r="S411" s="9" t="s">
        <v>18</v>
      </c>
      <c r="T411" s="8"/>
      <c r="U411" s="9" t="s">
        <v>18</v>
      </c>
      <c r="V411" s="8"/>
      <c r="W411" s="8" t="s">
        <v>18</v>
      </c>
      <c r="X411" s="8"/>
    </row>
    <row r="412" spans="1:24" x14ac:dyDescent="0.3">
      <c r="A412" s="1" t="s">
        <v>746</v>
      </c>
      <c r="B412" s="1" t="s">
        <v>747</v>
      </c>
      <c r="C412" s="1" t="s">
        <v>1586</v>
      </c>
      <c r="D412" s="1" t="s">
        <v>14</v>
      </c>
      <c r="F412" s="1">
        <v>1995</v>
      </c>
      <c r="G412" s="1" t="s">
        <v>21</v>
      </c>
      <c r="H412" s="1">
        <v>2022</v>
      </c>
      <c r="I412" s="1" t="s">
        <v>1599</v>
      </c>
      <c r="J412" s="6">
        <v>58854</v>
      </c>
      <c r="K412" s="6">
        <v>48484</v>
      </c>
      <c r="L412" s="21">
        <v>0.82380127094165223</v>
      </c>
      <c r="M412" s="1">
        <v>0</v>
      </c>
      <c r="N412" s="1" t="s">
        <v>1589</v>
      </c>
      <c r="O412" s="1">
        <v>9</v>
      </c>
      <c r="P412" s="1">
        <v>0.61</v>
      </c>
      <c r="Q412" s="22">
        <v>45024</v>
      </c>
      <c r="R412" s="8"/>
      <c r="S412" s="9" t="s">
        <v>18</v>
      </c>
      <c r="T412" s="8"/>
      <c r="U412" s="9" t="s">
        <v>18</v>
      </c>
      <c r="V412" s="8"/>
      <c r="W412" s="8" t="s">
        <v>18</v>
      </c>
      <c r="X412" s="8"/>
    </row>
    <row r="413" spans="1:24" x14ac:dyDescent="0.3">
      <c r="A413" s="1" t="s">
        <v>750</v>
      </c>
      <c r="B413" s="1" t="s">
        <v>751</v>
      </c>
      <c r="C413" s="1" t="s">
        <v>1586</v>
      </c>
      <c r="D413" s="1" t="s">
        <v>14</v>
      </c>
      <c r="F413" s="1">
        <v>1995</v>
      </c>
      <c r="G413" s="1" t="s">
        <v>21</v>
      </c>
      <c r="H413" s="1">
        <v>2022</v>
      </c>
      <c r="I413" s="1" t="s">
        <v>1599</v>
      </c>
      <c r="J413" s="6">
        <v>58854</v>
      </c>
      <c r="K413" s="6">
        <v>48484</v>
      </c>
      <c r="L413" s="21">
        <v>0.82380127094165223</v>
      </c>
      <c r="M413" s="1">
        <v>0</v>
      </c>
      <c r="N413" s="1" t="s">
        <v>1589</v>
      </c>
      <c r="O413" s="1">
        <v>9</v>
      </c>
      <c r="P413" s="1">
        <v>0.61</v>
      </c>
      <c r="Q413" s="22">
        <v>45024</v>
      </c>
      <c r="R413" s="8"/>
      <c r="S413" s="9" t="s">
        <v>18</v>
      </c>
      <c r="T413" s="8"/>
      <c r="U413" s="9" t="s">
        <v>18</v>
      </c>
      <c r="V413" s="8"/>
      <c r="W413" s="8" t="s">
        <v>18</v>
      </c>
      <c r="X413" s="8"/>
    </row>
    <row r="414" spans="1:24" x14ac:dyDescent="0.3">
      <c r="A414" s="1" t="s">
        <v>748</v>
      </c>
      <c r="B414" s="1" t="s">
        <v>749</v>
      </c>
      <c r="C414" s="1" t="s">
        <v>1586</v>
      </c>
      <c r="D414" s="1" t="s">
        <v>14</v>
      </c>
      <c r="F414" s="1">
        <v>1997</v>
      </c>
      <c r="G414" s="1" t="s">
        <v>21</v>
      </c>
      <c r="H414" s="1">
        <v>2022</v>
      </c>
      <c r="I414" s="1" t="s">
        <v>1599</v>
      </c>
      <c r="J414" s="6">
        <v>58854</v>
      </c>
      <c r="K414" s="6">
        <v>48484</v>
      </c>
      <c r="L414" s="21">
        <v>0.82380127094165223</v>
      </c>
      <c r="M414" s="1">
        <v>0</v>
      </c>
      <c r="N414" s="1" t="s">
        <v>1589</v>
      </c>
      <c r="O414" s="1">
        <v>9</v>
      </c>
      <c r="P414" s="1">
        <v>0.61</v>
      </c>
      <c r="Q414" s="22">
        <v>44659</v>
      </c>
      <c r="R414" s="8"/>
      <c r="S414" s="9" t="s">
        <v>18</v>
      </c>
      <c r="T414" s="8"/>
      <c r="U414" s="9" t="s">
        <v>18</v>
      </c>
      <c r="V414" s="8"/>
      <c r="W414" s="8" t="s">
        <v>18</v>
      </c>
      <c r="X414" s="8"/>
    </row>
    <row r="415" spans="1:24" x14ac:dyDescent="0.3">
      <c r="A415" s="1" t="s">
        <v>744</v>
      </c>
      <c r="B415" s="1" t="s">
        <v>745</v>
      </c>
      <c r="C415" s="1" t="s">
        <v>1586</v>
      </c>
      <c r="D415" s="1" t="s">
        <v>14</v>
      </c>
      <c r="F415" s="1">
        <v>1997</v>
      </c>
      <c r="G415" s="1" t="s">
        <v>21</v>
      </c>
      <c r="H415" s="1">
        <v>2022</v>
      </c>
      <c r="I415" s="1" t="s">
        <v>1599</v>
      </c>
      <c r="J415" s="6">
        <v>58854</v>
      </c>
      <c r="K415" s="6">
        <v>48484</v>
      </c>
      <c r="L415" s="21">
        <v>0.82380127094165223</v>
      </c>
      <c r="M415" s="1">
        <v>0</v>
      </c>
      <c r="N415" s="1" t="s">
        <v>1589</v>
      </c>
      <c r="O415" s="1">
        <v>9</v>
      </c>
      <c r="P415" s="1">
        <v>0.61</v>
      </c>
      <c r="Q415" s="22">
        <v>44659</v>
      </c>
      <c r="R415" s="8"/>
      <c r="S415" s="9" t="s">
        <v>18</v>
      </c>
      <c r="T415" s="8"/>
      <c r="U415" s="9" t="s">
        <v>18</v>
      </c>
      <c r="V415" s="8"/>
      <c r="W415" s="8" t="s">
        <v>18</v>
      </c>
      <c r="X415" s="8"/>
    </row>
    <row r="416" spans="1:24" x14ac:dyDescent="0.3">
      <c r="A416" s="1" t="s">
        <v>742</v>
      </c>
      <c r="B416" s="1" t="s">
        <v>743</v>
      </c>
      <c r="C416" s="1" t="s">
        <v>1586</v>
      </c>
      <c r="D416" s="1" t="s">
        <v>14</v>
      </c>
      <c r="F416" s="1">
        <v>1994</v>
      </c>
      <c r="G416" s="1" t="s">
        <v>21</v>
      </c>
      <c r="H416" s="1">
        <v>2022</v>
      </c>
      <c r="I416" s="1" t="s">
        <v>1599</v>
      </c>
      <c r="J416" s="6">
        <v>48792</v>
      </c>
      <c r="K416" s="6">
        <v>37672</v>
      </c>
      <c r="L416" s="21">
        <v>0.77209378586653554</v>
      </c>
      <c r="M416" s="1">
        <v>0</v>
      </c>
      <c r="N416" s="1" t="s">
        <v>1589</v>
      </c>
      <c r="O416" s="1">
        <v>9</v>
      </c>
      <c r="P416" s="1">
        <v>0.61</v>
      </c>
      <c r="Q416" s="22">
        <v>44659</v>
      </c>
      <c r="R416" s="8"/>
      <c r="S416" s="9" t="s">
        <v>18</v>
      </c>
      <c r="T416" s="8"/>
      <c r="U416" s="9" t="s">
        <v>18</v>
      </c>
      <c r="V416" s="8"/>
      <c r="W416" s="8" t="s">
        <v>18</v>
      </c>
      <c r="X416" s="8"/>
    </row>
    <row r="417" spans="1:24" x14ac:dyDescent="0.3">
      <c r="A417" s="1" t="s">
        <v>2211</v>
      </c>
      <c r="B417" s="1" t="s">
        <v>1186</v>
      </c>
      <c r="C417" s="1" t="s">
        <v>1586</v>
      </c>
      <c r="D417" s="1" t="s">
        <v>14</v>
      </c>
      <c r="F417" s="1">
        <v>2003</v>
      </c>
      <c r="J417" s="6">
        <v>16180</v>
      </c>
      <c r="K417" s="6">
        <v>13980</v>
      </c>
      <c r="L417" s="21">
        <v>0.8640296662546354</v>
      </c>
      <c r="M417" s="1">
        <v>0</v>
      </c>
      <c r="N417" s="1" t="s">
        <v>1589</v>
      </c>
      <c r="O417" s="1">
        <v>1</v>
      </c>
      <c r="P417" s="1" t="s">
        <v>18</v>
      </c>
      <c r="Q417" s="22" t="s">
        <v>18</v>
      </c>
      <c r="R417" s="8"/>
      <c r="S417" s="9" t="s">
        <v>18</v>
      </c>
      <c r="T417" s="8"/>
      <c r="U417" s="9" t="s">
        <v>18</v>
      </c>
      <c r="V417" s="8"/>
      <c r="W417" s="8" t="s">
        <v>18</v>
      </c>
      <c r="X417" s="8"/>
    </row>
    <row r="418" spans="1:24" x14ac:dyDescent="0.3">
      <c r="A418" s="1" t="s">
        <v>448</v>
      </c>
      <c r="B418" s="1" t="s">
        <v>2231</v>
      </c>
      <c r="C418" s="1" t="s">
        <v>1586</v>
      </c>
      <c r="D418" s="1" t="s">
        <v>14</v>
      </c>
      <c r="F418" s="1">
        <v>1986</v>
      </c>
      <c r="J418" s="6">
        <v>4316.07</v>
      </c>
      <c r="K418" s="6">
        <v>44615</v>
      </c>
      <c r="L418" s="21">
        <v>10.336950049466298</v>
      </c>
      <c r="M418" s="1">
        <v>0</v>
      </c>
      <c r="N418" s="1" t="s">
        <v>1589</v>
      </c>
      <c r="O418" s="1">
        <v>16</v>
      </c>
      <c r="P418" s="1">
        <v>-3.32</v>
      </c>
      <c r="Q418" s="22">
        <v>40574</v>
      </c>
      <c r="R418" s="8"/>
      <c r="S418" s="9" t="s">
        <v>18</v>
      </c>
      <c r="T418" s="8"/>
      <c r="U418" s="9" t="s">
        <v>18</v>
      </c>
      <c r="V418" s="8"/>
      <c r="W418" s="8" t="s">
        <v>18</v>
      </c>
      <c r="X418" s="8"/>
    </row>
    <row r="419" spans="1:24" x14ac:dyDescent="0.3">
      <c r="A419" s="1" t="s">
        <v>1349</v>
      </c>
      <c r="B419" s="1" t="s">
        <v>2240</v>
      </c>
      <c r="C419" s="1" t="s">
        <v>1586</v>
      </c>
      <c r="D419" s="1" t="s">
        <v>14</v>
      </c>
      <c r="F419" s="1">
        <v>1998</v>
      </c>
      <c r="G419" s="1" t="s">
        <v>25</v>
      </c>
      <c r="H419" s="1">
        <v>2022</v>
      </c>
      <c r="I419" s="1" t="s">
        <v>1601</v>
      </c>
      <c r="J419" s="6">
        <v>73019</v>
      </c>
      <c r="K419" s="6">
        <v>62802</v>
      </c>
      <c r="L419" s="21">
        <v>0.86007751407167998</v>
      </c>
      <c r="M419" s="1">
        <v>0</v>
      </c>
      <c r="N419" s="1" t="s">
        <v>1821</v>
      </c>
      <c r="O419" s="1" t="s">
        <v>18</v>
      </c>
      <c r="P419" s="1">
        <v>0.67</v>
      </c>
      <c r="Q419" s="22">
        <v>41353</v>
      </c>
      <c r="R419" s="8"/>
      <c r="S419" s="9"/>
      <c r="T419" s="8"/>
      <c r="U419" s="9"/>
      <c r="V419" s="8"/>
      <c r="W419" s="8"/>
      <c r="X419" s="8"/>
    </row>
    <row r="420" spans="1:24" x14ac:dyDescent="0.3">
      <c r="A420" s="1" t="s">
        <v>2257</v>
      </c>
      <c r="B420" s="1" t="s">
        <v>2258</v>
      </c>
      <c r="C420" s="1" t="s">
        <v>1586</v>
      </c>
      <c r="D420" s="1" t="s">
        <v>14</v>
      </c>
      <c r="F420" s="1">
        <v>1994</v>
      </c>
      <c r="G420" s="1" t="s">
        <v>21</v>
      </c>
      <c r="H420" s="1">
        <v>2022</v>
      </c>
      <c r="I420" s="1" t="s">
        <v>1818</v>
      </c>
      <c r="J420" s="6">
        <v>8394</v>
      </c>
      <c r="K420" s="6">
        <v>10962</v>
      </c>
      <c r="L420" s="21">
        <v>1.3059328091493925</v>
      </c>
      <c r="M420" s="1">
        <v>0</v>
      </c>
      <c r="N420" s="1" t="s">
        <v>1589</v>
      </c>
      <c r="O420" s="1">
        <v>9</v>
      </c>
      <c r="P420" s="1">
        <v>0.6</v>
      </c>
      <c r="Q420" s="22">
        <v>42767</v>
      </c>
      <c r="R420" s="8"/>
      <c r="S420" s="9" t="s">
        <v>18</v>
      </c>
      <c r="T420" s="8"/>
      <c r="U420" s="9" t="s">
        <v>18</v>
      </c>
      <c r="V420" s="8"/>
      <c r="W420" s="8"/>
      <c r="X420" s="8"/>
    </row>
    <row r="421" spans="1:24" x14ac:dyDescent="0.3">
      <c r="A421" s="1" t="s">
        <v>2259</v>
      </c>
      <c r="B421" s="1" t="s">
        <v>2260</v>
      </c>
      <c r="C421" s="1" t="s">
        <v>1586</v>
      </c>
      <c r="D421" s="1" t="s">
        <v>14</v>
      </c>
      <c r="F421" s="1">
        <v>1988</v>
      </c>
      <c r="G421" s="1" t="s">
        <v>47</v>
      </c>
      <c r="H421" s="1">
        <v>2022</v>
      </c>
      <c r="I421" s="1" t="s">
        <v>1818</v>
      </c>
      <c r="J421" s="6">
        <v>15192</v>
      </c>
      <c r="K421" s="6">
        <v>14693</v>
      </c>
      <c r="L421" s="21">
        <v>0.96715376513954709</v>
      </c>
      <c r="M421" s="1">
        <v>0</v>
      </c>
      <c r="N421" s="1" t="s">
        <v>1589</v>
      </c>
      <c r="O421" s="1">
        <v>8</v>
      </c>
      <c r="P421" s="1">
        <v>0.59</v>
      </c>
      <c r="Q421" s="22">
        <v>43525</v>
      </c>
      <c r="R421" s="8"/>
      <c r="S421" s="9" t="s">
        <v>18</v>
      </c>
      <c r="T421" s="8"/>
      <c r="U421" s="9" t="s">
        <v>18</v>
      </c>
      <c r="V421" s="8"/>
      <c r="W421" s="8"/>
      <c r="X421" s="8"/>
    </row>
    <row r="422" spans="1:24" x14ac:dyDescent="0.3">
      <c r="A422" s="1" t="s">
        <v>337</v>
      </c>
      <c r="B422" s="1" t="s">
        <v>2617</v>
      </c>
      <c r="C422" s="1" t="s">
        <v>1586</v>
      </c>
      <c r="D422" s="1" t="s">
        <v>14</v>
      </c>
      <c r="F422" s="1">
        <v>2009</v>
      </c>
      <c r="G422" s="1" t="s">
        <v>21</v>
      </c>
      <c r="H422" s="1">
        <v>2022</v>
      </c>
      <c r="I422" s="1" t="s">
        <v>1818</v>
      </c>
      <c r="J422" s="6">
        <v>12110</v>
      </c>
      <c r="K422" s="6">
        <v>10380</v>
      </c>
      <c r="L422" s="21">
        <v>0.8571428571428571</v>
      </c>
      <c r="M422" s="1">
        <v>0</v>
      </c>
      <c r="N422" s="1" t="s">
        <v>1589</v>
      </c>
      <c r="O422" s="1">
        <v>8</v>
      </c>
      <c r="P422" s="1">
        <v>0.63</v>
      </c>
      <c r="Q422" s="22">
        <v>44835</v>
      </c>
      <c r="R422" s="8"/>
      <c r="S422" s="9" t="s">
        <v>18</v>
      </c>
      <c r="T422" s="8"/>
      <c r="U422" s="9" t="s">
        <v>18</v>
      </c>
      <c r="V422" s="8"/>
      <c r="W422" s="8"/>
      <c r="X422" s="8"/>
    </row>
    <row r="423" spans="1:24" x14ac:dyDescent="0.3">
      <c r="A423" s="1" t="s">
        <v>1385</v>
      </c>
      <c r="B423" s="1" t="s">
        <v>2267</v>
      </c>
      <c r="C423" s="1" t="s">
        <v>1586</v>
      </c>
      <c r="D423" s="1" t="s">
        <v>14</v>
      </c>
      <c r="F423" s="1">
        <v>2006</v>
      </c>
      <c r="J423" s="6">
        <v>22604</v>
      </c>
      <c r="K423" s="6">
        <v>20000</v>
      </c>
      <c r="L423" s="21">
        <v>0.88479915059281544</v>
      </c>
      <c r="M423" s="1">
        <v>0</v>
      </c>
      <c r="N423" s="1" t="s">
        <v>1821</v>
      </c>
      <c r="O423" s="1" t="s">
        <v>18</v>
      </c>
      <c r="P423" s="1" t="s">
        <v>18</v>
      </c>
      <c r="Q423" s="22" t="s">
        <v>18</v>
      </c>
      <c r="R423" s="8"/>
      <c r="S423" s="9"/>
      <c r="T423" s="8"/>
      <c r="U423" s="9"/>
      <c r="V423" s="8"/>
      <c r="W423" s="8"/>
      <c r="X423" s="8"/>
    </row>
    <row r="424" spans="1:24" x14ac:dyDescent="0.3">
      <c r="A424" s="1" t="s">
        <v>2211</v>
      </c>
      <c r="B424" s="1" t="s">
        <v>333</v>
      </c>
      <c r="C424" s="1" t="s">
        <v>1586</v>
      </c>
      <c r="D424" s="1" t="s">
        <v>14</v>
      </c>
      <c r="F424" s="1">
        <v>2013</v>
      </c>
      <c r="G424" s="1" t="s">
        <v>21</v>
      </c>
      <c r="H424" s="1">
        <v>2013</v>
      </c>
      <c r="I424" s="1" t="s">
        <v>1600</v>
      </c>
      <c r="J424" s="6">
        <v>23379</v>
      </c>
      <c r="K424" s="6">
        <v>14451</v>
      </c>
      <c r="L424" s="21">
        <v>0.61811882458616707</v>
      </c>
      <c r="M424" s="1">
        <v>0</v>
      </c>
      <c r="N424" s="1" t="s">
        <v>1589</v>
      </c>
      <c r="O424" s="1">
        <v>10</v>
      </c>
      <c r="P424" s="1">
        <v>0.65</v>
      </c>
      <c r="Q424" s="22">
        <v>44124</v>
      </c>
      <c r="R424" s="8"/>
      <c r="S424" s="9" t="s">
        <v>18</v>
      </c>
      <c r="T424" s="8"/>
      <c r="U424" s="9" t="s">
        <v>18</v>
      </c>
      <c r="V424" s="8"/>
      <c r="W424" s="8"/>
      <c r="X424" s="8"/>
    </row>
    <row r="425" spans="1:24" x14ac:dyDescent="0.3">
      <c r="A425" s="1" t="s">
        <v>2306</v>
      </c>
      <c r="B425" s="1" t="s">
        <v>950</v>
      </c>
      <c r="C425" s="1" t="s">
        <v>1586</v>
      </c>
      <c r="D425" s="1" t="s">
        <v>14</v>
      </c>
      <c r="F425" s="1">
        <v>2015</v>
      </c>
      <c r="G425" s="1" t="s">
        <v>19</v>
      </c>
      <c r="H425" s="1">
        <v>2021</v>
      </c>
      <c r="I425" s="1" t="s">
        <v>1603</v>
      </c>
      <c r="J425" s="6">
        <v>71830.399999999994</v>
      </c>
      <c r="K425" s="6">
        <v>67523</v>
      </c>
      <c r="L425" s="21">
        <v>0.94003374615761581</v>
      </c>
      <c r="M425" s="1">
        <v>0</v>
      </c>
      <c r="N425" s="1" t="s">
        <v>1589</v>
      </c>
      <c r="O425" s="1">
        <v>7</v>
      </c>
      <c r="P425" s="1">
        <v>0.85</v>
      </c>
      <c r="Q425" s="22">
        <v>45107</v>
      </c>
      <c r="R425" s="8"/>
      <c r="S425" s="9" t="s">
        <v>18</v>
      </c>
      <c r="T425" s="8"/>
      <c r="U425" s="9" t="s">
        <v>18</v>
      </c>
      <c r="V425" s="8"/>
      <c r="W425" s="8"/>
      <c r="X425" s="8"/>
    </row>
    <row r="426" spans="1:24" x14ac:dyDescent="0.3">
      <c r="A426" s="1" t="s">
        <v>1462</v>
      </c>
      <c r="B426" s="1" t="s">
        <v>1463</v>
      </c>
      <c r="C426" s="1" t="s">
        <v>1586</v>
      </c>
      <c r="D426" s="1" t="s">
        <v>14</v>
      </c>
      <c r="F426" s="1">
        <v>1970</v>
      </c>
      <c r="G426" s="1" t="s">
        <v>19</v>
      </c>
      <c r="H426" s="1">
        <v>2022</v>
      </c>
      <c r="I426" s="1" t="s">
        <v>1599</v>
      </c>
      <c r="J426" s="6">
        <v>28366</v>
      </c>
      <c r="K426" s="6">
        <v>4695</v>
      </c>
      <c r="L426" s="21">
        <v>0.16551505323274343</v>
      </c>
      <c r="M426" s="1">
        <v>0</v>
      </c>
      <c r="N426" s="1" t="s">
        <v>1589</v>
      </c>
      <c r="O426" s="1">
        <v>2</v>
      </c>
      <c r="P426" s="1">
        <v>0.57999999999999996</v>
      </c>
      <c r="Q426" s="22">
        <v>44182</v>
      </c>
      <c r="R426" s="8"/>
      <c r="S426" s="9" t="s">
        <v>18</v>
      </c>
      <c r="T426" s="8"/>
      <c r="U426" s="9" t="s">
        <v>18</v>
      </c>
      <c r="V426" s="8"/>
      <c r="W426" s="8"/>
      <c r="X426" s="8"/>
    </row>
    <row r="427" spans="1:24" x14ac:dyDescent="0.3">
      <c r="A427" s="1" t="s">
        <v>1460</v>
      </c>
      <c r="B427" s="1" t="s">
        <v>1461</v>
      </c>
      <c r="C427" s="1" t="s">
        <v>1586</v>
      </c>
      <c r="D427" s="1" t="s">
        <v>14</v>
      </c>
      <c r="F427" s="1">
        <v>1983</v>
      </c>
      <c r="G427" s="1" t="s">
        <v>19</v>
      </c>
      <c r="H427" s="1">
        <v>2022</v>
      </c>
      <c r="I427" s="1" t="s">
        <v>1599</v>
      </c>
      <c r="J427" s="6">
        <v>12176</v>
      </c>
      <c r="K427" s="6">
        <v>5383</v>
      </c>
      <c r="L427" s="21">
        <v>0.44209921156373194</v>
      </c>
      <c r="M427" s="1">
        <v>0</v>
      </c>
      <c r="N427" s="1" t="s">
        <v>28</v>
      </c>
      <c r="O427" s="1" t="s">
        <v>18</v>
      </c>
      <c r="P427" s="1">
        <v>0.57999999999999996</v>
      </c>
      <c r="Q427" s="22">
        <v>44182</v>
      </c>
      <c r="R427" s="8"/>
      <c r="S427" s="9" t="s">
        <v>18</v>
      </c>
      <c r="T427" s="8"/>
      <c r="U427" s="9" t="s">
        <v>18</v>
      </c>
      <c r="V427" s="8"/>
      <c r="W427" s="8"/>
      <c r="X427" s="8"/>
    </row>
    <row r="428" spans="1:24" x14ac:dyDescent="0.3">
      <c r="A428" s="1" t="s">
        <v>561</v>
      </c>
      <c r="B428" s="1" t="s">
        <v>1317</v>
      </c>
      <c r="C428" s="1" t="s">
        <v>1586</v>
      </c>
      <c r="D428" s="1" t="s">
        <v>14</v>
      </c>
      <c r="F428" s="1">
        <v>2008</v>
      </c>
      <c r="J428" s="6">
        <v>31412</v>
      </c>
      <c r="K428" s="6">
        <v>29843</v>
      </c>
      <c r="L428" s="21">
        <v>0.95005093594804535</v>
      </c>
      <c r="M428" s="1">
        <v>0</v>
      </c>
      <c r="N428" s="1" t="s">
        <v>1589</v>
      </c>
      <c r="O428" s="1">
        <v>13</v>
      </c>
      <c r="P428" s="1" t="s">
        <v>18</v>
      </c>
      <c r="Q428" s="22" t="s">
        <v>18</v>
      </c>
      <c r="R428" s="8"/>
      <c r="S428" s="9" t="s">
        <v>18</v>
      </c>
      <c r="T428" s="8"/>
      <c r="U428" s="9" t="s">
        <v>18</v>
      </c>
      <c r="V428" s="8"/>
      <c r="W428" s="8"/>
      <c r="X428" s="8"/>
    </row>
    <row r="429" spans="1:24" x14ac:dyDescent="0.3">
      <c r="A429" s="1" t="s">
        <v>561</v>
      </c>
      <c r="B429" s="1" t="s">
        <v>2431</v>
      </c>
      <c r="C429" s="1" t="s">
        <v>1586</v>
      </c>
      <c r="D429" s="1" t="s">
        <v>14</v>
      </c>
      <c r="F429" s="1">
        <v>2008</v>
      </c>
      <c r="J429" s="6">
        <v>4292</v>
      </c>
      <c r="K429" s="6">
        <v>3523</v>
      </c>
      <c r="L429" s="21">
        <v>0.82082945013979491</v>
      </c>
      <c r="M429" s="1">
        <v>0</v>
      </c>
      <c r="N429" s="1" t="s">
        <v>28</v>
      </c>
      <c r="O429" s="1" t="s">
        <v>18</v>
      </c>
      <c r="P429" s="1" t="s">
        <v>18</v>
      </c>
      <c r="Q429" s="22" t="s">
        <v>18</v>
      </c>
      <c r="R429" s="8"/>
      <c r="S429" s="9" t="s">
        <v>18</v>
      </c>
      <c r="T429" s="8"/>
      <c r="U429" s="9" t="s">
        <v>18</v>
      </c>
      <c r="V429" s="8"/>
      <c r="W429" s="8"/>
      <c r="X429" s="8"/>
    </row>
    <row r="430" spans="1:24" x14ac:dyDescent="0.3">
      <c r="A430" s="1" t="s">
        <v>1510</v>
      </c>
      <c r="B430" s="1" t="s">
        <v>2593</v>
      </c>
      <c r="C430" s="1" t="s">
        <v>1586</v>
      </c>
      <c r="D430" s="1" t="s">
        <v>14</v>
      </c>
      <c r="F430" s="1">
        <v>1986</v>
      </c>
      <c r="J430" s="6">
        <v>44934</v>
      </c>
      <c r="K430" s="6">
        <v>41000</v>
      </c>
      <c r="L430" s="21">
        <v>0.91244937018738592</v>
      </c>
      <c r="M430" s="1">
        <v>0</v>
      </c>
      <c r="N430" s="1" t="s">
        <v>1589</v>
      </c>
      <c r="O430" s="1">
        <v>15</v>
      </c>
      <c r="P430" s="1">
        <v>0.75</v>
      </c>
      <c r="Q430" s="22">
        <v>42713</v>
      </c>
      <c r="R430" s="8"/>
      <c r="S430" s="9"/>
      <c r="T430" s="8"/>
      <c r="U430" s="9"/>
      <c r="V430" s="8"/>
      <c r="W430" s="8"/>
      <c r="X430" s="8"/>
    </row>
    <row r="431" spans="1:24" x14ac:dyDescent="0.3">
      <c r="A431" s="1" t="s">
        <v>497</v>
      </c>
      <c r="B431" s="1" t="s">
        <v>2600</v>
      </c>
      <c r="C431" s="1" t="s">
        <v>1586</v>
      </c>
      <c r="D431" s="1" t="s">
        <v>14</v>
      </c>
      <c r="F431" s="1">
        <v>2008</v>
      </c>
      <c r="J431" s="6">
        <v>1</v>
      </c>
      <c r="K431" s="6">
        <v>1</v>
      </c>
      <c r="L431" s="21">
        <v>1</v>
      </c>
      <c r="M431" s="1">
        <v>0</v>
      </c>
      <c r="N431" s="1" t="s">
        <v>1821</v>
      </c>
      <c r="Q431" s="22"/>
      <c r="R431" s="8"/>
      <c r="S431" s="9"/>
      <c r="T431" s="8"/>
      <c r="U431" s="9"/>
      <c r="V431" s="8"/>
      <c r="W431" s="8"/>
      <c r="X431" s="8"/>
    </row>
    <row r="432" spans="1:24" x14ac:dyDescent="0.3">
      <c r="A432" s="1" t="s">
        <v>938</v>
      </c>
      <c r="B432" s="1" t="s">
        <v>939</v>
      </c>
      <c r="C432" s="1" t="s">
        <v>1586</v>
      </c>
      <c r="D432" s="1" t="s">
        <v>29</v>
      </c>
      <c r="F432" s="1">
        <v>2015</v>
      </c>
      <c r="J432" s="6">
        <v>12621</v>
      </c>
      <c r="K432" s="6">
        <v>12210</v>
      </c>
      <c r="L432" s="21">
        <v>0.96743522700261464</v>
      </c>
      <c r="M432" s="1">
        <v>157</v>
      </c>
      <c r="N432" s="1" t="s">
        <v>1821</v>
      </c>
      <c r="Q432" s="22"/>
      <c r="R432" s="8">
        <v>509.62366294271453</v>
      </c>
      <c r="S432" s="9"/>
      <c r="T432" s="8">
        <v>527.93962443546468</v>
      </c>
      <c r="U432" s="9"/>
      <c r="V432" s="8">
        <v>603.4870454005229</v>
      </c>
      <c r="W432" s="8"/>
      <c r="X432" s="8"/>
    </row>
    <row r="433" spans="1:24" x14ac:dyDescent="0.3">
      <c r="A433" s="1" t="s">
        <v>2026</v>
      </c>
      <c r="B433" s="1" t="s">
        <v>645</v>
      </c>
      <c r="C433" s="1" t="s">
        <v>1586</v>
      </c>
      <c r="D433" s="1" t="s">
        <v>29</v>
      </c>
      <c r="F433" s="1">
        <v>2009</v>
      </c>
      <c r="J433" s="6">
        <v>6400</v>
      </c>
      <c r="K433" s="6">
        <v>6310</v>
      </c>
      <c r="L433" s="21">
        <v>0.98593750000000002</v>
      </c>
      <c r="M433" s="1">
        <v>366</v>
      </c>
      <c r="N433" s="1" t="s">
        <v>28</v>
      </c>
      <c r="O433" s="1" t="s">
        <v>18</v>
      </c>
      <c r="P433" s="1" t="s">
        <v>18</v>
      </c>
      <c r="Q433" s="22" t="s">
        <v>18</v>
      </c>
      <c r="R433" s="8">
        <v>523.02237500000001</v>
      </c>
      <c r="S433" s="9" t="s">
        <v>2654</v>
      </c>
      <c r="T433" s="8">
        <v>575.52592968750002</v>
      </c>
      <c r="U433" s="9" t="s">
        <v>2654</v>
      </c>
      <c r="V433" s="8">
        <v>529.61853125000005</v>
      </c>
      <c r="W433" s="8" t="s">
        <v>2654</v>
      </c>
      <c r="X433" s="8"/>
    </row>
    <row r="434" spans="1:24" x14ac:dyDescent="0.3">
      <c r="A434" s="1" t="s">
        <v>534</v>
      </c>
      <c r="B434" s="1" t="s">
        <v>535</v>
      </c>
      <c r="C434" s="1" t="s">
        <v>1586</v>
      </c>
      <c r="D434" s="1" t="s">
        <v>29</v>
      </c>
      <c r="F434" s="1">
        <v>1990</v>
      </c>
      <c r="J434" s="6">
        <v>13752</v>
      </c>
      <c r="K434" s="6">
        <v>12790</v>
      </c>
      <c r="L434" s="21">
        <v>0.93004653868528209</v>
      </c>
      <c r="M434" s="1">
        <v>215</v>
      </c>
      <c r="N434" s="1" t="s">
        <v>1589</v>
      </c>
      <c r="O434" s="1">
        <v>11</v>
      </c>
      <c r="P434" s="1" t="s">
        <v>18</v>
      </c>
      <c r="Q434" s="22" t="s">
        <v>18</v>
      </c>
      <c r="R434" s="8">
        <v>363.3336060209424</v>
      </c>
      <c r="S434" s="9" t="s">
        <v>2654</v>
      </c>
      <c r="T434" s="8">
        <v>410.12418266433974</v>
      </c>
      <c r="U434" s="9" t="s">
        <v>2654</v>
      </c>
      <c r="V434" s="8">
        <v>445.96515052356023</v>
      </c>
      <c r="W434" s="8" t="s">
        <v>2654</v>
      </c>
      <c r="X434" s="8"/>
    </row>
    <row r="435" spans="1:24" x14ac:dyDescent="0.3">
      <c r="A435" s="1" t="s">
        <v>2120</v>
      </c>
      <c r="B435" s="1" t="s">
        <v>1152</v>
      </c>
      <c r="C435" s="1" t="s">
        <v>1586</v>
      </c>
      <c r="D435" s="1" t="s">
        <v>29</v>
      </c>
      <c r="F435" s="1">
        <v>2011</v>
      </c>
      <c r="J435" s="6">
        <v>10453</v>
      </c>
      <c r="K435" s="6">
        <v>6998</v>
      </c>
      <c r="L435" s="21">
        <v>0.66947287859944515</v>
      </c>
      <c r="M435" s="1">
        <v>191</v>
      </c>
      <c r="N435" s="1" t="s">
        <v>1821</v>
      </c>
      <c r="O435" s="1" t="s">
        <v>18</v>
      </c>
      <c r="P435" s="1" t="s">
        <v>18</v>
      </c>
      <c r="Q435" s="22" t="s">
        <v>18</v>
      </c>
      <c r="R435" s="8">
        <v>305.92673873529128</v>
      </c>
      <c r="S435" s="9"/>
      <c r="T435" s="8">
        <v>214.34177748014926</v>
      </c>
      <c r="U435" s="9"/>
      <c r="V435" s="8">
        <v>431.69406868841475</v>
      </c>
      <c r="W435" s="8"/>
      <c r="X435" s="8"/>
    </row>
    <row r="436" spans="1:24" x14ac:dyDescent="0.3">
      <c r="A436" s="1" t="s">
        <v>2292</v>
      </c>
      <c r="B436" s="1" t="s">
        <v>1056</v>
      </c>
      <c r="C436" s="1" t="s">
        <v>1586</v>
      </c>
      <c r="D436" s="1" t="s">
        <v>29</v>
      </c>
      <c r="F436" s="1">
        <v>2010</v>
      </c>
      <c r="G436" s="1" t="s">
        <v>25</v>
      </c>
      <c r="H436" s="1">
        <v>2021</v>
      </c>
      <c r="I436" s="1" t="s">
        <v>1601</v>
      </c>
      <c r="J436" s="6">
        <v>8103</v>
      </c>
      <c r="K436" s="6">
        <v>8103</v>
      </c>
      <c r="L436" s="21">
        <v>1</v>
      </c>
      <c r="M436" s="1">
        <v>360</v>
      </c>
      <c r="N436" s="1" t="s">
        <v>28</v>
      </c>
      <c r="O436" s="1" t="s">
        <v>18</v>
      </c>
      <c r="P436" s="1">
        <v>1</v>
      </c>
      <c r="Q436" s="22">
        <v>44573</v>
      </c>
      <c r="R436" s="8">
        <v>364.82681475996549</v>
      </c>
      <c r="S436" s="9" t="s">
        <v>2654</v>
      </c>
      <c r="T436" s="8">
        <v>298.75243490065407</v>
      </c>
      <c r="U436" s="9" t="s">
        <v>2654</v>
      </c>
      <c r="V436" s="8">
        <v>421.55671973343209</v>
      </c>
      <c r="W436" s="8" t="s">
        <v>2654</v>
      </c>
      <c r="X436" s="8"/>
    </row>
    <row r="437" spans="1:24" x14ac:dyDescent="0.3">
      <c r="A437" s="1" t="s">
        <v>2110</v>
      </c>
      <c r="B437" s="1" t="s">
        <v>278</v>
      </c>
      <c r="C437" s="1" t="s">
        <v>1586</v>
      </c>
      <c r="D437" s="1" t="s">
        <v>29</v>
      </c>
      <c r="F437" s="1">
        <v>2006</v>
      </c>
      <c r="G437" s="1" t="s">
        <v>21</v>
      </c>
      <c r="H437" s="1">
        <v>2006</v>
      </c>
      <c r="I437" s="1" t="s">
        <v>1606</v>
      </c>
      <c r="J437" s="6">
        <v>27089</v>
      </c>
      <c r="K437" s="6">
        <v>6940</v>
      </c>
      <c r="L437" s="21">
        <v>0.25619255048174538</v>
      </c>
      <c r="M437" s="1">
        <v>298</v>
      </c>
      <c r="N437" s="1" t="s">
        <v>1589</v>
      </c>
      <c r="O437" s="1">
        <v>16</v>
      </c>
      <c r="P437" s="1">
        <v>0.3</v>
      </c>
      <c r="Q437" s="22">
        <v>41488</v>
      </c>
      <c r="R437" s="8">
        <v>340.02834250064598</v>
      </c>
      <c r="S437" s="9" t="s">
        <v>2654</v>
      </c>
      <c r="T437" s="8">
        <v>358.50493595186242</v>
      </c>
      <c r="U437" s="9" t="s">
        <v>2654</v>
      </c>
      <c r="V437" s="8">
        <v>406.1484399571782</v>
      </c>
      <c r="W437" s="8" t="s">
        <v>2654</v>
      </c>
      <c r="X437" s="8"/>
    </row>
    <row r="438" spans="1:24" x14ac:dyDescent="0.3">
      <c r="A438" s="1" t="s">
        <v>2003</v>
      </c>
      <c r="B438" s="1" t="s">
        <v>641</v>
      </c>
      <c r="C438" s="1" t="s">
        <v>1586</v>
      </c>
      <c r="D438" s="1" t="s">
        <v>29</v>
      </c>
      <c r="F438" s="1">
        <v>2008</v>
      </c>
      <c r="J438" s="6">
        <v>5020</v>
      </c>
      <c r="K438" s="6">
        <v>5021</v>
      </c>
      <c r="L438" s="21">
        <v>1.0001992031872511</v>
      </c>
      <c r="M438" s="1">
        <v>235</v>
      </c>
      <c r="N438" s="1" t="s">
        <v>28</v>
      </c>
      <c r="O438" s="1" t="s">
        <v>18</v>
      </c>
      <c r="P438" s="1" t="s">
        <v>18</v>
      </c>
      <c r="Q438" s="22" t="s">
        <v>18</v>
      </c>
      <c r="R438" s="8">
        <v>334.49351593625499</v>
      </c>
      <c r="S438" s="9" t="s">
        <v>2654</v>
      </c>
      <c r="T438" s="8">
        <v>373.7397609561753</v>
      </c>
      <c r="U438" s="9" t="s">
        <v>2654</v>
      </c>
      <c r="V438" s="8">
        <v>386.95610557768924</v>
      </c>
      <c r="W438" s="8" t="s">
        <v>2654</v>
      </c>
      <c r="X438" s="8"/>
    </row>
    <row r="439" spans="1:24" x14ac:dyDescent="0.3">
      <c r="A439" s="1" t="s">
        <v>1977</v>
      </c>
      <c r="B439" s="1" t="s">
        <v>1978</v>
      </c>
      <c r="C439" s="1" t="s">
        <v>1586</v>
      </c>
      <c r="D439" s="1" t="s">
        <v>29</v>
      </c>
      <c r="F439" s="1">
        <v>2015</v>
      </c>
      <c r="J439" s="6">
        <v>10803</v>
      </c>
      <c r="K439" s="6">
        <v>8964</v>
      </c>
      <c r="L439" s="21">
        <v>0.82976950846986952</v>
      </c>
      <c r="M439" s="1">
        <v>328</v>
      </c>
      <c r="N439" s="1" t="s">
        <v>28</v>
      </c>
      <c r="O439" s="1" t="s">
        <v>18</v>
      </c>
      <c r="P439" s="1" t="s">
        <v>18</v>
      </c>
      <c r="Q439" s="22" t="s">
        <v>18</v>
      </c>
      <c r="R439" s="8">
        <v>323.81933907247986</v>
      </c>
      <c r="S439" s="9" t="s">
        <v>2654</v>
      </c>
      <c r="T439" s="8">
        <v>313.3960122188281</v>
      </c>
      <c r="U439" s="9" t="s">
        <v>2654</v>
      </c>
      <c r="V439" s="8">
        <v>385.23185041192261</v>
      </c>
      <c r="W439" s="8" t="s">
        <v>2654</v>
      </c>
      <c r="X439" s="8"/>
    </row>
    <row r="440" spans="1:24" x14ac:dyDescent="0.3">
      <c r="A440" s="1" t="s">
        <v>1038</v>
      </c>
      <c r="B440" s="1" t="s">
        <v>1039</v>
      </c>
      <c r="C440" s="1" t="s">
        <v>1586</v>
      </c>
      <c r="D440" s="1" t="s">
        <v>29</v>
      </c>
      <c r="F440" s="1">
        <v>2017</v>
      </c>
      <c r="J440" s="6">
        <v>14284</v>
      </c>
      <c r="K440" s="6">
        <v>12367</v>
      </c>
      <c r="L440" s="21">
        <v>0.86579389526743211</v>
      </c>
      <c r="M440" s="1">
        <v>225</v>
      </c>
      <c r="N440" s="1" t="s">
        <v>1589</v>
      </c>
      <c r="O440" s="1">
        <v>7</v>
      </c>
      <c r="P440" s="1">
        <v>0.68200000000000005</v>
      </c>
      <c r="Q440" s="22">
        <v>44835</v>
      </c>
      <c r="R440" s="8">
        <v>377.75658078969474</v>
      </c>
      <c r="S440" s="9" t="s">
        <v>2654</v>
      </c>
      <c r="T440" s="8">
        <v>363.16985788294596</v>
      </c>
      <c r="U440" s="9" t="s">
        <v>2654</v>
      </c>
      <c r="V440" s="8">
        <v>380.74760221226546</v>
      </c>
      <c r="W440" s="8" t="s">
        <v>2654</v>
      </c>
      <c r="X440" s="8"/>
    </row>
    <row r="441" spans="1:24" x14ac:dyDescent="0.3">
      <c r="A441" s="1" t="s">
        <v>1231</v>
      </c>
      <c r="B441" s="1" t="s">
        <v>1232</v>
      </c>
      <c r="C441" s="1" t="s">
        <v>1586</v>
      </c>
      <c r="D441" s="1" t="s">
        <v>29</v>
      </c>
      <c r="F441" s="1">
        <v>2012</v>
      </c>
      <c r="J441" s="6">
        <v>23800</v>
      </c>
      <c r="K441" s="6">
        <v>13296</v>
      </c>
      <c r="L441" s="21">
        <v>0.55865546218487394</v>
      </c>
      <c r="M441" s="1">
        <v>240</v>
      </c>
      <c r="N441" s="1" t="s">
        <v>1589</v>
      </c>
      <c r="O441" s="1">
        <v>10</v>
      </c>
      <c r="P441" s="1" t="s">
        <v>18</v>
      </c>
      <c r="Q441" s="22" t="s">
        <v>18</v>
      </c>
      <c r="R441" s="8">
        <v>335.26718487394959</v>
      </c>
      <c r="S441" s="9" t="s">
        <v>2654</v>
      </c>
      <c r="T441" s="8">
        <v>348.08420168067227</v>
      </c>
      <c r="U441" s="9" t="s">
        <v>2654</v>
      </c>
      <c r="V441" s="8">
        <v>369.72537815126049</v>
      </c>
      <c r="W441" s="8" t="s">
        <v>2654</v>
      </c>
      <c r="X441" s="8"/>
    </row>
    <row r="442" spans="1:24" x14ac:dyDescent="0.3">
      <c r="A442" s="1" t="s">
        <v>2320</v>
      </c>
      <c r="B442" s="1" t="s">
        <v>1296</v>
      </c>
      <c r="C442" s="1" t="s">
        <v>1586</v>
      </c>
      <c r="D442" s="1" t="s">
        <v>29</v>
      </c>
      <c r="F442" s="1">
        <v>2017</v>
      </c>
      <c r="J442" s="6">
        <v>15022</v>
      </c>
      <c r="K442" s="6">
        <v>12568</v>
      </c>
      <c r="L442" s="21">
        <v>0.83663959526028486</v>
      </c>
      <c r="M442" s="1">
        <v>537</v>
      </c>
      <c r="N442" s="1" t="s">
        <v>1590</v>
      </c>
      <c r="O442" s="1" t="s">
        <v>18</v>
      </c>
      <c r="P442" s="1">
        <v>1.55</v>
      </c>
      <c r="Q442" s="22">
        <v>44743</v>
      </c>
      <c r="R442" s="8">
        <v>323.80303887631476</v>
      </c>
      <c r="S442" s="9" t="s">
        <v>2654</v>
      </c>
      <c r="T442" s="8">
        <v>315.73921581680202</v>
      </c>
      <c r="U442" s="9" t="s">
        <v>2654</v>
      </c>
      <c r="V442" s="8">
        <v>364.58609905471974</v>
      </c>
      <c r="W442" s="8" t="s">
        <v>2654</v>
      </c>
      <c r="X442" s="8"/>
    </row>
    <row r="443" spans="1:24" x14ac:dyDescent="0.3">
      <c r="A443" s="1" t="s">
        <v>639</v>
      </c>
      <c r="B443" s="1" t="s">
        <v>640</v>
      </c>
      <c r="C443" s="1" t="s">
        <v>1586</v>
      </c>
      <c r="D443" s="1" t="s">
        <v>29</v>
      </c>
      <c r="F443" s="1">
        <v>2013</v>
      </c>
      <c r="G443" s="1" t="s">
        <v>21</v>
      </c>
      <c r="H443" s="1">
        <v>2015</v>
      </c>
      <c r="I443" s="1" t="s">
        <v>1600</v>
      </c>
      <c r="J443" s="6">
        <v>5261</v>
      </c>
      <c r="K443" s="6">
        <v>5000</v>
      </c>
      <c r="L443" s="21">
        <v>0.95038965976050183</v>
      </c>
      <c r="M443" s="1">
        <v>273</v>
      </c>
      <c r="N443" s="1" t="s">
        <v>1590</v>
      </c>
      <c r="O443" s="1" t="s">
        <v>18</v>
      </c>
      <c r="P443" s="1" t="s">
        <v>18</v>
      </c>
      <c r="Q443" s="22" t="s">
        <v>18</v>
      </c>
      <c r="R443" s="8">
        <v>289.22777038585821</v>
      </c>
      <c r="S443" s="9" t="s">
        <v>2654</v>
      </c>
      <c r="T443" s="8">
        <v>323.32874928720776</v>
      </c>
      <c r="U443" s="9" t="s">
        <v>2654</v>
      </c>
      <c r="V443" s="8">
        <v>348.91471203193311</v>
      </c>
      <c r="W443" s="8" t="s">
        <v>2654</v>
      </c>
      <c r="X443" s="8"/>
    </row>
    <row r="444" spans="1:24" x14ac:dyDescent="0.3">
      <c r="A444" s="1" t="s">
        <v>642</v>
      </c>
      <c r="B444" s="1" t="s">
        <v>643</v>
      </c>
      <c r="C444" s="1" t="s">
        <v>1586</v>
      </c>
      <c r="D444" s="1" t="s">
        <v>29</v>
      </c>
      <c r="F444" s="1">
        <v>2011</v>
      </c>
      <c r="G444" s="1" t="s">
        <v>21</v>
      </c>
      <c r="H444" s="1">
        <v>2012</v>
      </c>
      <c r="I444" s="1" t="s">
        <v>1603</v>
      </c>
      <c r="J444" s="6">
        <v>18986</v>
      </c>
      <c r="K444" s="6">
        <v>18000</v>
      </c>
      <c r="L444" s="21">
        <v>0.94806699673443595</v>
      </c>
      <c r="M444" s="1">
        <v>888</v>
      </c>
      <c r="N444" s="1" t="s">
        <v>1589</v>
      </c>
      <c r="O444" s="1">
        <v>11</v>
      </c>
      <c r="P444" s="1">
        <v>0.7</v>
      </c>
      <c r="Q444" s="22">
        <v>42348</v>
      </c>
      <c r="R444" s="8">
        <v>330.75861160855368</v>
      </c>
      <c r="S444" s="9" t="s">
        <v>2654</v>
      </c>
      <c r="T444" s="8">
        <v>311.46460549878856</v>
      </c>
      <c r="U444" s="9" t="s">
        <v>2654</v>
      </c>
      <c r="V444" s="8">
        <v>346.72111029179393</v>
      </c>
      <c r="W444" s="8" t="s">
        <v>2654</v>
      </c>
      <c r="X444" s="8"/>
    </row>
    <row r="445" spans="1:24" x14ac:dyDescent="0.3">
      <c r="A445" s="1" t="s">
        <v>2342</v>
      </c>
      <c r="B445" s="1" t="s">
        <v>2343</v>
      </c>
      <c r="C445" s="1" t="s">
        <v>1586</v>
      </c>
      <c r="D445" s="1" t="s">
        <v>29</v>
      </c>
      <c r="F445" s="1">
        <v>2012</v>
      </c>
      <c r="G445" s="1" t="s">
        <v>25</v>
      </c>
      <c r="H445" s="1">
        <v>2022</v>
      </c>
      <c r="I445" s="1" t="s">
        <v>1818</v>
      </c>
      <c r="J445" s="6">
        <v>14304</v>
      </c>
      <c r="K445" s="6">
        <v>13715</v>
      </c>
      <c r="L445" s="21">
        <v>0.95882270693512306</v>
      </c>
      <c r="M445" s="1">
        <v>382</v>
      </c>
      <c r="N445" s="1" t="s">
        <v>28</v>
      </c>
      <c r="O445" s="1" t="s">
        <v>18</v>
      </c>
      <c r="P445" s="1">
        <v>0.95</v>
      </c>
      <c r="Q445" s="22">
        <v>44946</v>
      </c>
      <c r="R445" s="8">
        <v>321.82263055172086</v>
      </c>
      <c r="S445" s="9" t="s">
        <v>2654</v>
      </c>
      <c r="T445" s="8">
        <v>318.06867948778978</v>
      </c>
      <c r="U445" s="9" t="s">
        <v>2654</v>
      </c>
      <c r="V445" s="8">
        <v>344.06095587185223</v>
      </c>
      <c r="W445" s="8" t="s">
        <v>2654</v>
      </c>
      <c r="X445" s="8"/>
    </row>
    <row r="446" spans="1:24" x14ac:dyDescent="0.3">
      <c r="A446" s="1" t="s">
        <v>1805</v>
      </c>
      <c r="B446" s="1" t="s">
        <v>1806</v>
      </c>
      <c r="C446" s="1" t="s">
        <v>1586</v>
      </c>
      <c r="D446" s="1" t="s">
        <v>29</v>
      </c>
      <c r="F446" s="1">
        <v>2008</v>
      </c>
      <c r="G446" s="1" t="s">
        <v>47</v>
      </c>
      <c r="H446" s="1">
        <v>2018</v>
      </c>
      <c r="I446" s="1" t="s">
        <v>1597</v>
      </c>
      <c r="J446" s="6">
        <v>6086</v>
      </c>
      <c r="K446" s="6">
        <v>5400</v>
      </c>
      <c r="L446" s="21">
        <v>0.88728228721656255</v>
      </c>
      <c r="M446" s="1">
        <v>140</v>
      </c>
      <c r="N446" s="1" t="s">
        <v>1787</v>
      </c>
      <c r="O446" s="1" t="s">
        <v>18</v>
      </c>
      <c r="P446" s="1" t="s">
        <v>18</v>
      </c>
      <c r="Q446" s="22" t="s">
        <v>18</v>
      </c>
      <c r="R446" s="8">
        <v>271.89157574761748</v>
      </c>
      <c r="S446" s="9" t="s">
        <v>2654</v>
      </c>
      <c r="T446" s="8">
        <v>323.28019224449554</v>
      </c>
      <c r="U446" s="9" t="s">
        <v>2654</v>
      </c>
      <c r="V446" s="8">
        <v>343.22393197502464</v>
      </c>
      <c r="W446" s="8" t="s">
        <v>2654</v>
      </c>
      <c r="X446" s="8"/>
    </row>
    <row r="447" spans="1:24" x14ac:dyDescent="0.3">
      <c r="A447" s="1" t="s">
        <v>444</v>
      </c>
      <c r="B447" s="1" t="s">
        <v>445</v>
      </c>
      <c r="C447" s="1" t="s">
        <v>1586</v>
      </c>
      <c r="D447" s="1" t="s">
        <v>29</v>
      </c>
      <c r="F447" s="1">
        <v>2013</v>
      </c>
      <c r="J447" s="6">
        <v>8784</v>
      </c>
      <c r="K447" s="6">
        <v>8702</v>
      </c>
      <c r="L447" s="21">
        <v>0.99066484517304187</v>
      </c>
      <c r="M447" s="1">
        <v>306</v>
      </c>
      <c r="N447" s="1" t="s">
        <v>28</v>
      </c>
      <c r="O447" s="1" t="s">
        <v>18</v>
      </c>
      <c r="P447" s="1" t="s">
        <v>18</v>
      </c>
      <c r="Q447" s="22" t="s">
        <v>18</v>
      </c>
      <c r="R447" s="8">
        <v>327.08294171220399</v>
      </c>
      <c r="S447" s="9" t="s">
        <v>2654</v>
      </c>
      <c r="T447" s="8">
        <v>312.64549180327867</v>
      </c>
      <c r="U447" s="9" t="s">
        <v>2654</v>
      </c>
      <c r="V447" s="8">
        <v>338.33960837887071</v>
      </c>
      <c r="W447" s="8" t="s">
        <v>2654</v>
      </c>
      <c r="X447" s="8"/>
    </row>
    <row r="448" spans="1:24" x14ac:dyDescent="0.3">
      <c r="A448" s="1" t="s">
        <v>1828</v>
      </c>
      <c r="B448" s="1" t="s">
        <v>1085</v>
      </c>
      <c r="C448" s="1" t="s">
        <v>1586</v>
      </c>
      <c r="D448" s="1" t="s">
        <v>29</v>
      </c>
      <c r="F448" s="1">
        <v>2014</v>
      </c>
      <c r="G448" s="1" t="s">
        <v>19</v>
      </c>
      <c r="H448" s="1">
        <v>2023</v>
      </c>
      <c r="I448" s="1" t="s">
        <v>1783</v>
      </c>
      <c r="J448" s="6">
        <v>15237</v>
      </c>
      <c r="K448" s="6">
        <v>15237</v>
      </c>
      <c r="L448" s="21">
        <v>1</v>
      </c>
      <c r="M448" s="1">
        <v>386</v>
      </c>
      <c r="N448" s="1" t="s">
        <v>1589</v>
      </c>
      <c r="O448" s="1">
        <v>10</v>
      </c>
      <c r="P448" s="1">
        <v>0.622</v>
      </c>
      <c r="Q448" s="22">
        <v>42913</v>
      </c>
      <c r="R448" s="8">
        <v>295.67560543414061</v>
      </c>
      <c r="S448" s="9" t="s">
        <v>2654</v>
      </c>
      <c r="T448" s="8">
        <v>313.24268556802519</v>
      </c>
      <c r="U448" s="9" t="s">
        <v>2654</v>
      </c>
      <c r="V448" s="8">
        <v>338.15073833431779</v>
      </c>
      <c r="W448" s="8" t="s">
        <v>2654</v>
      </c>
      <c r="X448" s="8"/>
    </row>
    <row r="449" spans="1:24" x14ac:dyDescent="0.3">
      <c r="A449" s="1" t="s">
        <v>958</v>
      </c>
      <c r="B449" s="1" t="s">
        <v>959</v>
      </c>
      <c r="C449" s="1" t="s">
        <v>1586</v>
      </c>
      <c r="D449" s="1" t="s">
        <v>29</v>
      </c>
      <c r="F449" s="1">
        <v>1983</v>
      </c>
      <c r="G449" s="1" t="s">
        <v>21</v>
      </c>
      <c r="H449" s="1">
        <v>2021</v>
      </c>
      <c r="I449" s="1" t="s">
        <v>1601</v>
      </c>
      <c r="J449" s="6">
        <v>19301</v>
      </c>
      <c r="K449" s="6">
        <v>11520</v>
      </c>
      <c r="L449" s="21">
        <v>0.59686026630744526</v>
      </c>
      <c r="M449" s="1">
        <v>393</v>
      </c>
      <c r="N449" s="1" t="s">
        <v>1589</v>
      </c>
      <c r="O449" s="1">
        <v>4</v>
      </c>
      <c r="P449" s="1">
        <v>0.60299999999999998</v>
      </c>
      <c r="Q449" s="22">
        <v>44317</v>
      </c>
      <c r="R449" s="8">
        <v>308.29312988964301</v>
      </c>
      <c r="S449" s="9" t="s">
        <v>2654</v>
      </c>
      <c r="T449" s="8">
        <v>317.23007098077818</v>
      </c>
      <c r="U449" s="9" t="s">
        <v>2654</v>
      </c>
      <c r="V449" s="8">
        <v>329.91605305424588</v>
      </c>
      <c r="W449" s="8" t="s">
        <v>2654</v>
      </c>
      <c r="X449" s="8"/>
    </row>
    <row r="450" spans="1:24" x14ac:dyDescent="0.3">
      <c r="A450" s="1" t="s">
        <v>1898</v>
      </c>
      <c r="B450" s="1" t="s">
        <v>287</v>
      </c>
      <c r="C450" s="1" t="s">
        <v>1586</v>
      </c>
      <c r="D450" s="1" t="s">
        <v>29</v>
      </c>
      <c r="F450" s="1">
        <v>1971</v>
      </c>
      <c r="G450" s="1" t="s">
        <v>25</v>
      </c>
      <c r="H450" s="1">
        <v>2022</v>
      </c>
      <c r="I450" s="1" t="s">
        <v>1818</v>
      </c>
      <c r="J450" s="6">
        <v>79709</v>
      </c>
      <c r="K450" s="6">
        <v>67101</v>
      </c>
      <c r="L450" s="21">
        <v>0.84182463711751498</v>
      </c>
      <c r="M450" s="1">
        <v>792</v>
      </c>
      <c r="N450" s="1" t="s">
        <v>1589</v>
      </c>
      <c r="O450" s="1">
        <v>25</v>
      </c>
      <c r="P450" s="1">
        <v>0.7</v>
      </c>
      <c r="Q450" s="22">
        <v>44897</v>
      </c>
      <c r="R450" s="8">
        <v>264.73595202549274</v>
      </c>
      <c r="S450" s="9" t="s">
        <v>2655</v>
      </c>
      <c r="T450" s="8">
        <v>285.47155277321258</v>
      </c>
      <c r="U450" s="9" t="s">
        <v>2654</v>
      </c>
      <c r="V450" s="8">
        <v>326.30209888469307</v>
      </c>
      <c r="W450" s="8" t="s">
        <v>2654</v>
      </c>
      <c r="X450" s="8"/>
    </row>
    <row r="451" spans="1:24" x14ac:dyDescent="0.3">
      <c r="A451" s="1" t="s">
        <v>2569</v>
      </c>
      <c r="B451" s="1" t="s">
        <v>2570</v>
      </c>
      <c r="C451" s="1" t="s">
        <v>1586</v>
      </c>
      <c r="D451" s="1" t="s">
        <v>29</v>
      </c>
      <c r="F451" s="1">
        <v>2016</v>
      </c>
      <c r="G451" s="1" t="s">
        <v>2571</v>
      </c>
      <c r="H451" s="1">
        <v>2023</v>
      </c>
      <c r="I451" s="1" t="s">
        <v>2572</v>
      </c>
      <c r="J451" s="6">
        <v>7999.8</v>
      </c>
      <c r="K451" s="6">
        <v>7669</v>
      </c>
      <c r="L451" s="21">
        <v>0.95864896622415563</v>
      </c>
      <c r="M451" s="1">
        <v>293</v>
      </c>
      <c r="N451" s="1" t="s">
        <v>1589</v>
      </c>
      <c r="O451" s="1" t="s">
        <v>18</v>
      </c>
      <c r="P451" s="1" t="s">
        <v>18</v>
      </c>
      <c r="Q451" s="22" t="s">
        <v>18</v>
      </c>
      <c r="R451" s="8">
        <v>326.72907447686191</v>
      </c>
      <c r="S451" s="9" t="s">
        <v>2654</v>
      </c>
      <c r="T451" s="8">
        <v>303.10207755193881</v>
      </c>
      <c r="U451" s="9" t="s">
        <v>2654</v>
      </c>
      <c r="V451" s="8">
        <v>310.07947073676843</v>
      </c>
      <c r="W451" s="8" t="s">
        <v>2654</v>
      </c>
      <c r="X451" s="8"/>
    </row>
    <row r="452" spans="1:24" x14ac:dyDescent="0.3">
      <c r="A452" s="1" t="s">
        <v>2057</v>
      </c>
      <c r="B452" s="1" t="s">
        <v>2058</v>
      </c>
      <c r="C452" s="1" t="s">
        <v>1586</v>
      </c>
      <c r="D452" s="1" t="s">
        <v>29</v>
      </c>
      <c r="F452" s="1">
        <v>2012</v>
      </c>
      <c r="G452" s="1" t="s">
        <v>19</v>
      </c>
      <c r="H452" s="1">
        <v>2021</v>
      </c>
      <c r="I452" s="1" t="s">
        <v>1603</v>
      </c>
      <c r="J452" s="6">
        <v>29811</v>
      </c>
      <c r="K452" s="6">
        <v>22438</v>
      </c>
      <c r="L452" s="21">
        <v>0.75267518701150582</v>
      </c>
      <c r="M452" s="1">
        <v>367</v>
      </c>
      <c r="N452" s="1" t="s">
        <v>1589</v>
      </c>
      <c r="O452" s="1">
        <v>11</v>
      </c>
      <c r="P452" s="1">
        <v>0.64600000000000002</v>
      </c>
      <c r="Q452" s="22">
        <v>44137</v>
      </c>
      <c r="R452" s="8">
        <v>264.79581362584281</v>
      </c>
      <c r="S452" s="9" t="s">
        <v>2655</v>
      </c>
      <c r="T452" s="8">
        <v>280.52664284995473</v>
      </c>
      <c r="U452" s="9" t="s">
        <v>2654</v>
      </c>
      <c r="V452" s="8">
        <v>308.9318707859515</v>
      </c>
      <c r="W452" s="8" t="s">
        <v>2654</v>
      </c>
      <c r="X452" s="8"/>
    </row>
    <row r="453" spans="1:24" x14ac:dyDescent="0.3">
      <c r="A453" s="1" t="s">
        <v>2421</v>
      </c>
      <c r="B453" s="1" t="s">
        <v>2422</v>
      </c>
      <c r="C453" s="1" t="s">
        <v>1586</v>
      </c>
      <c r="D453" s="1" t="s">
        <v>29</v>
      </c>
      <c r="F453" s="1">
        <v>2023</v>
      </c>
      <c r="J453" s="6">
        <v>7323</v>
      </c>
      <c r="K453" s="6">
        <v>7017</v>
      </c>
      <c r="L453" s="21">
        <v>0.95821384678410493</v>
      </c>
      <c r="M453" s="1">
        <v>328</v>
      </c>
      <c r="N453" s="1" t="s">
        <v>28</v>
      </c>
      <c r="O453" s="1" t="s">
        <v>18</v>
      </c>
      <c r="P453" s="1" t="s">
        <v>18</v>
      </c>
      <c r="Q453" s="22" t="s">
        <v>18</v>
      </c>
      <c r="R453" s="8" t="s">
        <v>18</v>
      </c>
      <c r="S453" s="9" t="s">
        <v>2654</v>
      </c>
      <c r="T453" s="8" t="s">
        <v>18</v>
      </c>
      <c r="U453" s="9" t="s">
        <v>2654</v>
      </c>
      <c r="V453" s="8">
        <v>307.99111020073741</v>
      </c>
      <c r="W453" s="8" t="s">
        <v>2654</v>
      </c>
      <c r="X453" s="8"/>
    </row>
    <row r="454" spans="1:24" x14ac:dyDescent="0.3">
      <c r="A454" s="1" t="s">
        <v>267</v>
      </c>
      <c r="B454" s="1" t="s">
        <v>2339</v>
      </c>
      <c r="C454" s="1" t="s">
        <v>1586</v>
      </c>
      <c r="D454" s="1" t="s">
        <v>29</v>
      </c>
      <c r="F454" s="1">
        <v>2012</v>
      </c>
      <c r="G454" s="1" t="s">
        <v>21</v>
      </c>
      <c r="H454" s="1">
        <v>2015</v>
      </c>
      <c r="I454" s="1" t="s">
        <v>1601</v>
      </c>
      <c r="J454" s="6">
        <v>8922</v>
      </c>
      <c r="K454" s="6">
        <v>8922</v>
      </c>
      <c r="L454" s="21">
        <v>1</v>
      </c>
      <c r="M454" s="1">
        <v>86</v>
      </c>
      <c r="N454" s="1" t="s">
        <v>1589</v>
      </c>
      <c r="O454" s="1">
        <v>8</v>
      </c>
      <c r="P454" s="1">
        <v>0.65</v>
      </c>
      <c r="Q454" s="22">
        <v>42094</v>
      </c>
      <c r="R454" s="8">
        <v>246.82689979825153</v>
      </c>
      <c r="S454" s="9" t="s">
        <v>2655</v>
      </c>
      <c r="T454" s="8">
        <v>258.58760143465594</v>
      </c>
      <c r="U454" s="9" t="s">
        <v>2655</v>
      </c>
      <c r="V454" s="8">
        <v>300.9817753866846</v>
      </c>
      <c r="W454" s="8" t="s">
        <v>2654</v>
      </c>
      <c r="X454" s="8"/>
    </row>
    <row r="455" spans="1:24" x14ac:dyDescent="0.3">
      <c r="A455" s="1" t="s">
        <v>2435</v>
      </c>
      <c r="B455" s="1" t="s">
        <v>90</v>
      </c>
      <c r="C455" s="1" t="s">
        <v>1586</v>
      </c>
      <c r="D455" s="1" t="s">
        <v>29</v>
      </c>
      <c r="F455" s="1">
        <v>2014</v>
      </c>
      <c r="G455" s="1" t="s">
        <v>19</v>
      </c>
      <c r="H455" s="1">
        <v>2022</v>
      </c>
      <c r="I455" s="1" t="s">
        <v>1818</v>
      </c>
      <c r="J455" s="6">
        <v>7450</v>
      </c>
      <c r="K455" s="6">
        <v>7450</v>
      </c>
      <c r="L455" s="21">
        <v>1</v>
      </c>
      <c r="M455" s="1">
        <v>134</v>
      </c>
      <c r="N455" s="1" t="s">
        <v>1589</v>
      </c>
      <c r="O455" s="1">
        <v>2014</v>
      </c>
      <c r="P455" s="1" t="s">
        <v>18</v>
      </c>
      <c r="Q455" s="22" t="s">
        <v>18</v>
      </c>
      <c r="R455" s="8">
        <v>281.89373154362414</v>
      </c>
      <c r="S455" s="9" t="s">
        <v>2654</v>
      </c>
      <c r="T455" s="8">
        <v>286.00008053691278</v>
      </c>
      <c r="U455" s="9" t="s">
        <v>2654</v>
      </c>
      <c r="V455" s="8">
        <v>298.52590604026847</v>
      </c>
      <c r="W455" s="8" t="s">
        <v>2654</v>
      </c>
      <c r="X455" s="8"/>
    </row>
    <row r="456" spans="1:24" x14ac:dyDescent="0.3">
      <c r="A456" s="1" t="s">
        <v>1364</v>
      </c>
      <c r="B456" s="1" t="s">
        <v>1365</v>
      </c>
      <c r="C456" s="1" t="s">
        <v>1586</v>
      </c>
      <c r="D456" s="1" t="s">
        <v>29</v>
      </c>
      <c r="F456" s="1">
        <v>2016</v>
      </c>
      <c r="J456" s="6">
        <v>7093</v>
      </c>
      <c r="K456" s="6">
        <v>7093</v>
      </c>
      <c r="L456" s="21">
        <v>1</v>
      </c>
      <c r="M456" s="1">
        <v>300</v>
      </c>
      <c r="N456" s="1" t="s">
        <v>28</v>
      </c>
      <c r="O456" s="1" t="s">
        <v>18</v>
      </c>
      <c r="P456" s="1" t="s">
        <v>18</v>
      </c>
      <c r="Q456" s="22" t="s">
        <v>18</v>
      </c>
      <c r="R456" s="8">
        <v>254.89115747920485</v>
      </c>
      <c r="S456" s="9" t="s">
        <v>2655</v>
      </c>
      <c r="T456" s="8">
        <v>276.46253207387565</v>
      </c>
      <c r="U456" s="9" t="s">
        <v>2654</v>
      </c>
      <c r="V456" s="8">
        <v>290.9781418299732</v>
      </c>
      <c r="W456" s="8" t="s">
        <v>2654</v>
      </c>
      <c r="X456" s="8"/>
    </row>
    <row r="457" spans="1:24" x14ac:dyDescent="0.3">
      <c r="A457" s="1" t="s">
        <v>2354</v>
      </c>
      <c r="B457" s="1" t="s">
        <v>2355</v>
      </c>
      <c r="C457" s="1" t="s">
        <v>1586</v>
      </c>
      <c r="D457" s="1" t="s">
        <v>29</v>
      </c>
      <c r="F457" s="1">
        <v>1970</v>
      </c>
      <c r="G457" s="1" t="s">
        <v>25</v>
      </c>
      <c r="H457" s="1">
        <v>2020</v>
      </c>
      <c r="I457" s="1" t="s">
        <v>1597</v>
      </c>
      <c r="J457" s="6">
        <v>67268</v>
      </c>
      <c r="K457" s="6">
        <v>67169</v>
      </c>
      <c r="L457" s="21">
        <v>0.99852827495986207</v>
      </c>
      <c r="M457" s="1">
        <v>1080</v>
      </c>
      <c r="N457" s="1" t="s">
        <v>1589</v>
      </c>
      <c r="O457" s="1">
        <v>15</v>
      </c>
      <c r="P457" s="1" t="s">
        <v>18</v>
      </c>
      <c r="Q457" s="22" t="s">
        <v>18</v>
      </c>
      <c r="R457" s="8">
        <v>268.65041277859632</v>
      </c>
      <c r="S457" s="9" t="s">
        <v>2655</v>
      </c>
      <c r="T457" s="8">
        <v>248.94010617647746</v>
      </c>
      <c r="U457" s="9" t="s">
        <v>2655</v>
      </c>
      <c r="V457" s="8">
        <v>287.30011927313552</v>
      </c>
      <c r="W457" s="8" t="s">
        <v>2654</v>
      </c>
      <c r="X457" s="8"/>
    </row>
    <row r="458" spans="1:24" x14ac:dyDescent="0.3">
      <c r="A458" s="1" t="s">
        <v>1870</v>
      </c>
      <c r="B458" s="1" t="s">
        <v>190</v>
      </c>
      <c r="C458" s="1" t="s">
        <v>1586</v>
      </c>
      <c r="D458" s="1" t="s">
        <v>29</v>
      </c>
      <c r="F458" s="1">
        <v>2010</v>
      </c>
      <c r="J458" s="6">
        <v>7432</v>
      </c>
      <c r="K458" s="6">
        <v>6890</v>
      </c>
      <c r="L458" s="21">
        <v>0.92707212055974164</v>
      </c>
      <c r="M458" s="1">
        <v>202</v>
      </c>
      <c r="N458" s="1" t="s">
        <v>28</v>
      </c>
      <c r="O458" s="1" t="s">
        <v>18</v>
      </c>
      <c r="P458" s="1" t="s">
        <v>18</v>
      </c>
      <c r="Q458" s="22" t="s">
        <v>18</v>
      </c>
      <c r="R458" s="8">
        <v>240.22021516989284</v>
      </c>
      <c r="S458" s="9" t="s">
        <v>2655</v>
      </c>
      <c r="T458" s="8">
        <v>220.7880310708648</v>
      </c>
      <c r="U458" s="9" t="s">
        <v>2655</v>
      </c>
      <c r="V458" s="8">
        <v>284.57792639361969</v>
      </c>
      <c r="W458" s="8" t="s">
        <v>2654</v>
      </c>
      <c r="X458" s="8"/>
    </row>
    <row r="459" spans="1:24" x14ac:dyDescent="0.3">
      <c r="A459" s="1" t="s">
        <v>861</v>
      </c>
      <c r="B459" s="1" t="s">
        <v>862</v>
      </c>
      <c r="C459" s="1" t="s">
        <v>1586</v>
      </c>
      <c r="D459" s="1" t="s">
        <v>29</v>
      </c>
      <c r="F459" s="1">
        <v>2016</v>
      </c>
      <c r="J459" s="6">
        <v>11897</v>
      </c>
      <c r="K459" s="6">
        <v>11526</v>
      </c>
      <c r="L459" s="21">
        <v>0.96881566781541562</v>
      </c>
      <c r="M459" s="1">
        <v>395</v>
      </c>
      <c r="N459" s="1" t="s">
        <v>28</v>
      </c>
      <c r="O459" s="1" t="s">
        <v>18</v>
      </c>
      <c r="P459" s="1" t="s">
        <v>18</v>
      </c>
      <c r="Q459" s="22" t="s">
        <v>18</v>
      </c>
      <c r="R459" s="8">
        <v>335.74257207699418</v>
      </c>
      <c r="S459" s="9" t="s">
        <v>2654</v>
      </c>
      <c r="T459" s="8">
        <v>313.68045557703624</v>
      </c>
      <c r="U459" s="9" t="s">
        <v>2654</v>
      </c>
      <c r="V459" s="8">
        <v>283.79880221904682</v>
      </c>
      <c r="W459" s="8" t="s">
        <v>2655</v>
      </c>
      <c r="X459" s="8"/>
    </row>
    <row r="460" spans="1:24" x14ac:dyDescent="0.3">
      <c r="A460" s="1" t="s">
        <v>566</v>
      </c>
      <c r="B460" s="1" t="s">
        <v>567</v>
      </c>
      <c r="C460" s="1" t="s">
        <v>1586</v>
      </c>
      <c r="D460" s="1" t="s">
        <v>29</v>
      </c>
      <c r="F460" s="1">
        <v>1994</v>
      </c>
      <c r="G460" s="1" t="s">
        <v>47</v>
      </c>
      <c r="H460" s="1">
        <v>2019</v>
      </c>
      <c r="I460" s="1" t="s">
        <v>1599</v>
      </c>
      <c r="J460" s="6">
        <v>35243</v>
      </c>
      <c r="K460" s="6">
        <v>34020</v>
      </c>
      <c r="L460" s="21">
        <v>0.96529807337627327</v>
      </c>
      <c r="M460" s="1">
        <v>259</v>
      </c>
      <c r="N460" s="1" t="s">
        <v>1589</v>
      </c>
      <c r="O460" s="1">
        <v>9</v>
      </c>
      <c r="P460" s="1" t="s">
        <v>18</v>
      </c>
      <c r="Q460" s="22" t="s">
        <v>18</v>
      </c>
      <c r="R460" s="8">
        <v>221.95150810089947</v>
      </c>
      <c r="S460" s="9" t="s">
        <v>2655</v>
      </c>
      <c r="T460" s="8">
        <v>242.34035127543058</v>
      </c>
      <c r="U460" s="9" t="s">
        <v>2655</v>
      </c>
      <c r="V460" s="8">
        <v>283.66479868342651</v>
      </c>
      <c r="W460" s="8" t="s">
        <v>2655</v>
      </c>
      <c r="X460" s="8"/>
    </row>
    <row r="461" spans="1:24" x14ac:dyDescent="0.3">
      <c r="A461" s="1" t="s">
        <v>169</v>
      </c>
      <c r="B461" s="1" t="s">
        <v>170</v>
      </c>
      <c r="C461" s="1" t="s">
        <v>1586</v>
      </c>
      <c r="D461" s="1" t="s">
        <v>29</v>
      </c>
      <c r="F461" s="1">
        <v>2010</v>
      </c>
      <c r="G461" s="1" t="s">
        <v>19</v>
      </c>
      <c r="H461" s="1">
        <v>2021</v>
      </c>
      <c r="I461" s="1" t="s">
        <v>1601</v>
      </c>
      <c r="J461" s="6">
        <v>260570</v>
      </c>
      <c r="K461" s="6">
        <v>260570</v>
      </c>
      <c r="L461" s="21">
        <v>1</v>
      </c>
      <c r="M461" s="1">
        <v>2561</v>
      </c>
      <c r="N461" s="1" t="s">
        <v>1821</v>
      </c>
      <c r="O461" s="1" t="s">
        <v>18</v>
      </c>
      <c r="P461" s="1" t="s">
        <v>18</v>
      </c>
      <c r="Q461" s="22" t="s">
        <v>18</v>
      </c>
      <c r="R461" s="8">
        <v>243.10061169485434</v>
      </c>
      <c r="S461" s="9"/>
      <c r="T461" s="8">
        <v>260.80238840318469</v>
      </c>
      <c r="U461" s="9"/>
      <c r="V461" s="8">
        <v>283.27218976231552</v>
      </c>
      <c r="W461" s="8"/>
      <c r="X461" s="8"/>
    </row>
    <row r="462" spans="1:24" x14ac:dyDescent="0.3">
      <c r="A462" s="1" t="s">
        <v>2214</v>
      </c>
      <c r="B462" s="1" t="s">
        <v>323</v>
      </c>
      <c r="C462" s="1" t="s">
        <v>1586</v>
      </c>
      <c r="D462" s="1" t="s">
        <v>29</v>
      </c>
      <c r="F462" s="1">
        <v>2015</v>
      </c>
      <c r="J462" s="6">
        <v>8140</v>
      </c>
      <c r="K462" s="6">
        <v>7815</v>
      </c>
      <c r="L462" s="21">
        <v>0.96007371007371012</v>
      </c>
      <c r="M462" s="1">
        <v>263</v>
      </c>
      <c r="N462" s="1" t="s">
        <v>28</v>
      </c>
      <c r="O462" s="1" t="s">
        <v>18</v>
      </c>
      <c r="P462" s="1" t="s">
        <v>18</v>
      </c>
      <c r="Q462" s="22" t="s">
        <v>18</v>
      </c>
      <c r="R462" s="8">
        <v>266.64503071253068</v>
      </c>
      <c r="S462" s="9" t="s">
        <v>2655</v>
      </c>
      <c r="T462" s="8">
        <v>259.63511056511055</v>
      </c>
      <c r="U462" s="9" t="s">
        <v>2655</v>
      </c>
      <c r="V462" s="8">
        <v>282.95531941031936</v>
      </c>
      <c r="W462" s="8" t="s">
        <v>2655</v>
      </c>
      <c r="X462" s="8"/>
    </row>
    <row r="463" spans="1:24" x14ac:dyDescent="0.3">
      <c r="A463" s="1" t="s">
        <v>324</v>
      </c>
      <c r="B463" s="1" t="s">
        <v>325</v>
      </c>
      <c r="C463" s="1" t="s">
        <v>1586</v>
      </c>
      <c r="D463" s="1" t="s">
        <v>29</v>
      </c>
      <c r="F463" s="1">
        <v>2015</v>
      </c>
      <c r="J463" s="6">
        <v>13742</v>
      </c>
      <c r="K463" s="6">
        <v>12690</v>
      </c>
      <c r="L463" s="21">
        <v>0.92344636879639064</v>
      </c>
      <c r="M463" s="1">
        <v>488</v>
      </c>
      <c r="N463" s="1" t="s">
        <v>28</v>
      </c>
      <c r="O463" s="1" t="s">
        <v>18</v>
      </c>
      <c r="P463" s="1" t="s">
        <v>18</v>
      </c>
      <c r="Q463" s="22" t="s">
        <v>18</v>
      </c>
      <c r="R463" s="8">
        <v>228.42455610537039</v>
      </c>
      <c r="S463" s="9" t="s">
        <v>2655</v>
      </c>
      <c r="T463" s="8">
        <v>265.29837359918497</v>
      </c>
      <c r="U463" s="9" t="s">
        <v>2655</v>
      </c>
      <c r="V463" s="8">
        <v>282.93319749672537</v>
      </c>
      <c r="W463" s="8" t="s">
        <v>2655</v>
      </c>
      <c r="X463" s="8"/>
    </row>
    <row r="464" spans="1:24" x14ac:dyDescent="0.3">
      <c r="A464" s="1" t="s">
        <v>1989</v>
      </c>
      <c r="B464" s="1" t="s">
        <v>70</v>
      </c>
      <c r="C464" s="1" t="s">
        <v>1586</v>
      </c>
      <c r="D464" s="1" t="s">
        <v>29</v>
      </c>
      <c r="F464" s="1">
        <v>2022</v>
      </c>
      <c r="J464" s="6">
        <v>43360</v>
      </c>
      <c r="K464" s="6">
        <v>17612</v>
      </c>
      <c r="L464" s="21">
        <v>0.4061808118081181</v>
      </c>
      <c r="M464" s="1">
        <v>128</v>
      </c>
      <c r="N464" s="1" t="s">
        <v>1589</v>
      </c>
      <c r="O464" s="1">
        <v>12</v>
      </c>
      <c r="P464" s="1" t="s">
        <v>18</v>
      </c>
      <c r="Q464" s="22" t="s">
        <v>18</v>
      </c>
      <c r="R464" s="8" t="s">
        <v>18</v>
      </c>
      <c r="S464" s="9" t="s">
        <v>2654</v>
      </c>
      <c r="T464" s="8" t="s">
        <v>18</v>
      </c>
      <c r="U464" s="9" t="s">
        <v>2654</v>
      </c>
      <c r="V464" s="8">
        <v>280.93410977859776</v>
      </c>
      <c r="W464" s="8" t="s">
        <v>2655</v>
      </c>
      <c r="X464" s="8"/>
    </row>
    <row r="465" spans="1:24" x14ac:dyDescent="0.3">
      <c r="A465" s="1" t="s">
        <v>2378</v>
      </c>
      <c r="B465" s="1" t="s">
        <v>1552</v>
      </c>
      <c r="C465" s="1" t="s">
        <v>1586</v>
      </c>
      <c r="D465" s="1" t="s">
        <v>29</v>
      </c>
      <c r="F465" s="1">
        <v>2011</v>
      </c>
      <c r="J465" s="6">
        <v>24313</v>
      </c>
      <c r="K465" s="6">
        <v>8397</v>
      </c>
      <c r="L465" s="21">
        <v>0.3453707892896804</v>
      </c>
      <c r="M465" s="1">
        <v>428</v>
      </c>
      <c r="N465" s="1" t="s">
        <v>28</v>
      </c>
      <c r="O465" s="1" t="s">
        <v>18</v>
      </c>
      <c r="P465" s="1" t="s">
        <v>18</v>
      </c>
      <c r="Q465" s="22" t="s">
        <v>18</v>
      </c>
      <c r="R465" s="8">
        <v>293.06410562250647</v>
      </c>
      <c r="S465" s="9" t="s">
        <v>2654</v>
      </c>
      <c r="T465" s="8">
        <v>293.32781639452145</v>
      </c>
      <c r="U465" s="9" t="s">
        <v>2654</v>
      </c>
      <c r="V465" s="8">
        <v>279.4985234236828</v>
      </c>
      <c r="W465" s="8" t="s">
        <v>2655</v>
      </c>
      <c r="X465" s="8"/>
    </row>
    <row r="466" spans="1:24" x14ac:dyDescent="0.3">
      <c r="A466" s="1" t="s">
        <v>2158</v>
      </c>
      <c r="B466" s="1" t="s">
        <v>185</v>
      </c>
      <c r="C466" s="1" t="s">
        <v>1586</v>
      </c>
      <c r="D466" s="1" t="s">
        <v>29</v>
      </c>
      <c r="F466" s="1">
        <v>2011</v>
      </c>
      <c r="G466" s="1" t="s">
        <v>19</v>
      </c>
      <c r="H466" s="1">
        <v>2015</v>
      </c>
      <c r="I466" s="1" t="s">
        <v>1601</v>
      </c>
      <c r="J466" s="6">
        <v>5740</v>
      </c>
      <c r="K466" s="6">
        <v>17</v>
      </c>
      <c r="L466" s="21">
        <v>2.961672473867596E-3</v>
      </c>
      <c r="M466" s="1">
        <v>251</v>
      </c>
      <c r="N466" s="1" t="s">
        <v>1787</v>
      </c>
      <c r="O466" s="1" t="s">
        <v>18</v>
      </c>
      <c r="P466" s="1" t="s">
        <v>18</v>
      </c>
      <c r="Q466" s="22" t="s">
        <v>18</v>
      </c>
      <c r="R466" s="8">
        <v>294.16178745644601</v>
      </c>
      <c r="S466" s="9" t="s">
        <v>2654</v>
      </c>
      <c r="T466" s="8">
        <v>308.10326655052268</v>
      </c>
      <c r="U466" s="9" t="s">
        <v>2654</v>
      </c>
      <c r="V466" s="8">
        <v>277.39837108013938</v>
      </c>
      <c r="W466" s="8" t="s">
        <v>2655</v>
      </c>
      <c r="X466" s="8"/>
    </row>
    <row r="467" spans="1:24" x14ac:dyDescent="0.3">
      <c r="A467" s="1" t="s">
        <v>321</v>
      </c>
      <c r="B467" s="1" t="s">
        <v>322</v>
      </c>
      <c r="C467" s="1" t="s">
        <v>1586</v>
      </c>
      <c r="D467" s="1" t="s">
        <v>29</v>
      </c>
      <c r="F467" s="1">
        <v>2012</v>
      </c>
      <c r="J467" s="6">
        <v>12549</v>
      </c>
      <c r="K467" s="6">
        <v>12147</v>
      </c>
      <c r="L467" s="21">
        <v>0.96796557494621083</v>
      </c>
      <c r="M467" s="1">
        <v>272</v>
      </c>
      <c r="N467" s="1" t="s">
        <v>28</v>
      </c>
      <c r="O467" s="1" t="s">
        <v>18</v>
      </c>
      <c r="P467" s="1" t="s">
        <v>18</v>
      </c>
      <c r="Q467" s="22" t="s">
        <v>18</v>
      </c>
      <c r="R467" s="8">
        <v>391.19030121922066</v>
      </c>
      <c r="S467" s="9" t="s">
        <v>2654</v>
      </c>
      <c r="T467" s="8">
        <v>256.35176667463543</v>
      </c>
      <c r="U467" s="9" t="s">
        <v>2655</v>
      </c>
      <c r="V467" s="8">
        <v>275.8865455414774</v>
      </c>
      <c r="W467" s="8" t="s">
        <v>2655</v>
      </c>
      <c r="X467" s="8"/>
    </row>
    <row r="468" spans="1:24" x14ac:dyDescent="0.3">
      <c r="A468" s="1" t="s">
        <v>1554</v>
      </c>
      <c r="B468" s="1" t="s">
        <v>1555</v>
      </c>
      <c r="C468" s="1" t="s">
        <v>1586</v>
      </c>
      <c r="D468" s="1" t="s">
        <v>29</v>
      </c>
      <c r="F468" s="1">
        <v>2017</v>
      </c>
      <c r="J468" s="6">
        <v>17198</v>
      </c>
      <c r="K468" s="6">
        <v>15478</v>
      </c>
      <c r="L468" s="21">
        <v>0.89998837074078386</v>
      </c>
      <c r="M468" s="1">
        <v>314</v>
      </c>
      <c r="N468" s="1" t="s">
        <v>1589</v>
      </c>
      <c r="O468" s="1">
        <v>6</v>
      </c>
      <c r="P468" s="1" t="s">
        <v>18</v>
      </c>
      <c r="Q468" s="22" t="s">
        <v>18</v>
      </c>
      <c r="R468" s="8">
        <v>276.1335568089313</v>
      </c>
      <c r="S468" s="9" t="s">
        <v>2654</v>
      </c>
      <c r="T468" s="8">
        <v>263.75459879055705</v>
      </c>
      <c r="U468" s="9" t="s">
        <v>2655</v>
      </c>
      <c r="V468" s="8">
        <v>271.81892661937439</v>
      </c>
      <c r="W468" s="8" t="s">
        <v>2655</v>
      </c>
      <c r="X468" s="8"/>
    </row>
    <row r="469" spans="1:24" x14ac:dyDescent="0.3">
      <c r="A469" s="1" t="s">
        <v>2329</v>
      </c>
      <c r="B469" s="1" t="s">
        <v>158</v>
      </c>
      <c r="C469" s="1" t="s">
        <v>1586</v>
      </c>
      <c r="D469" s="1" t="s">
        <v>29</v>
      </c>
      <c r="F469" s="1">
        <v>2008</v>
      </c>
      <c r="J469" s="6">
        <v>11441</v>
      </c>
      <c r="K469" s="6">
        <v>9152</v>
      </c>
      <c r="L469" s="21">
        <v>0.79993007604230404</v>
      </c>
      <c r="M469" s="1">
        <v>126</v>
      </c>
      <c r="N469" s="1" t="s">
        <v>1589</v>
      </c>
      <c r="O469" s="1">
        <v>15</v>
      </c>
      <c r="P469" s="1" t="s">
        <v>18</v>
      </c>
      <c r="Q469" s="22" t="s">
        <v>18</v>
      </c>
      <c r="R469" s="8">
        <v>249.67204964600995</v>
      </c>
      <c r="S469" s="9" t="s">
        <v>2655</v>
      </c>
      <c r="T469" s="8">
        <v>256.64860763919239</v>
      </c>
      <c r="U469" s="9" t="s">
        <v>2655</v>
      </c>
      <c r="V469" s="8">
        <v>269.44637706494188</v>
      </c>
      <c r="W469" s="8" t="s">
        <v>2655</v>
      </c>
      <c r="X469" s="8"/>
    </row>
    <row r="470" spans="1:24" x14ac:dyDescent="0.3">
      <c r="A470" s="1" t="s">
        <v>2113</v>
      </c>
      <c r="B470" s="1" t="s">
        <v>2114</v>
      </c>
      <c r="C470" s="1" t="s">
        <v>1586</v>
      </c>
      <c r="D470" s="1" t="s">
        <v>29</v>
      </c>
      <c r="F470" s="1">
        <v>2016</v>
      </c>
      <c r="J470" s="6">
        <v>2049</v>
      </c>
      <c r="K470" s="6">
        <v>1954</v>
      </c>
      <c r="L470" s="21">
        <v>0.95363591996095654</v>
      </c>
      <c r="M470" s="1">
        <v>70</v>
      </c>
      <c r="N470" s="1" t="s">
        <v>28</v>
      </c>
      <c r="O470" s="1" t="s">
        <v>18</v>
      </c>
      <c r="P470" s="1" t="s">
        <v>18</v>
      </c>
      <c r="Q470" s="22" t="s">
        <v>18</v>
      </c>
      <c r="R470" s="8">
        <v>244.90137628111273</v>
      </c>
      <c r="S470" s="9" t="s">
        <v>2655</v>
      </c>
      <c r="T470" s="8">
        <v>183.03132259638849</v>
      </c>
      <c r="U470" s="9" t="s">
        <v>2657</v>
      </c>
      <c r="V470" s="8">
        <v>266.86573938506592</v>
      </c>
      <c r="W470" s="8" t="s">
        <v>2655</v>
      </c>
      <c r="X470" s="8"/>
    </row>
    <row r="471" spans="1:24" x14ac:dyDescent="0.3">
      <c r="A471" s="1" t="s">
        <v>2565</v>
      </c>
      <c r="B471" s="1" t="s">
        <v>221</v>
      </c>
      <c r="C471" s="1" t="s">
        <v>1586</v>
      </c>
      <c r="D471" s="1" t="s">
        <v>29</v>
      </c>
      <c r="F471" s="1">
        <v>2009</v>
      </c>
      <c r="J471" s="6">
        <v>11146</v>
      </c>
      <c r="K471" s="6">
        <v>2950</v>
      </c>
      <c r="L471" s="21">
        <v>0.26466893952987619</v>
      </c>
      <c r="M471" s="1">
        <v>336</v>
      </c>
      <c r="N471" s="1" t="s">
        <v>1589</v>
      </c>
      <c r="O471" s="1" t="s">
        <v>18</v>
      </c>
      <c r="P471" s="1" t="s">
        <v>18</v>
      </c>
      <c r="Q471" s="22" t="s">
        <v>18</v>
      </c>
      <c r="R471" s="8">
        <v>240.67544410550869</v>
      </c>
      <c r="S471" s="9" t="s">
        <v>2655</v>
      </c>
      <c r="T471" s="8">
        <v>257.39312309348645</v>
      </c>
      <c r="U471" s="9" t="s">
        <v>2655</v>
      </c>
      <c r="V471" s="8">
        <v>257.39083527722948</v>
      </c>
      <c r="W471" s="8" t="s">
        <v>2655</v>
      </c>
      <c r="X471" s="8"/>
    </row>
    <row r="472" spans="1:24" x14ac:dyDescent="0.3">
      <c r="A472" s="1" t="s">
        <v>369</v>
      </c>
      <c r="B472" s="1" t="s">
        <v>370</v>
      </c>
      <c r="C472" s="1" t="s">
        <v>1586</v>
      </c>
      <c r="D472" s="1" t="s">
        <v>29</v>
      </c>
      <c r="F472" s="1">
        <v>1996</v>
      </c>
      <c r="G472" s="1" t="s">
        <v>21</v>
      </c>
      <c r="H472" s="1">
        <v>2022</v>
      </c>
      <c r="I472" s="1" t="s">
        <v>1818</v>
      </c>
      <c r="J472" s="6">
        <v>49940.92</v>
      </c>
      <c r="K472" s="6">
        <v>49832</v>
      </c>
      <c r="L472" s="21">
        <v>0.99781902295752667</v>
      </c>
      <c r="M472" s="1">
        <v>656</v>
      </c>
      <c r="N472" s="1" t="s">
        <v>1589</v>
      </c>
      <c r="O472" s="1">
        <v>2019</v>
      </c>
      <c r="P472" s="1">
        <v>0.61799999999999999</v>
      </c>
      <c r="Q472" s="22">
        <v>44900</v>
      </c>
      <c r="R472" s="8">
        <v>244.56313580126277</v>
      </c>
      <c r="S472" s="9" t="s">
        <v>2655</v>
      </c>
      <c r="T472" s="8">
        <v>224.97020479398458</v>
      </c>
      <c r="U472" s="9" t="s">
        <v>2655</v>
      </c>
      <c r="V472" s="8">
        <v>257.09150932742131</v>
      </c>
      <c r="W472" s="8" t="s">
        <v>2655</v>
      </c>
      <c r="X472" s="8"/>
    </row>
    <row r="473" spans="1:24" x14ac:dyDescent="0.3">
      <c r="A473" s="1" t="s">
        <v>349</v>
      </c>
      <c r="B473" s="1" t="s">
        <v>350</v>
      </c>
      <c r="C473" s="1" t="s">
        <v>1586</v>
      </c>
      <c r="D473" s="1" t="s">
        <v>29</v>
      </c>
      <c r="F473" s="1">
        <v>1985</v>
      </c>
      <c r="G473" s="1" t="s">
        <v>25</v>
      </c>
      <c r="H473" s="1">
        <v>2021</v>
      </c>
      <c r="I473" s="1" t="s">
        <v>1597</v>
      </c>
      <c r="J473" s="6">
        <v>21089</v>
      </c>
      <c r="K473" s="6">
        <v>17815</v>
      </c>
      <c r="L473" s="21">
        <v>0.84475318886623363</v>
      </c>
      <c r="M473" s="1">
        <v>476</v>
      </c>
      <c r="N473" s="1" t="s">
        <v>1589</v>
      </c>
      <c r="O473" s="1">
        <v>0</v>
      </c>
      <c r="P473" s="1">
        <v>0.87</v>
      </c>
      <c r="Q473" s="22">
        <v>42730</v>
      </c>
      <c r="R473" s="8">
        <v>218.93830907107971</v>
      </c>
      <c r="S473" s="9" t="s">
        <v>2656</v>
      </c>
      <c r="T473" s="8">
        <v>219.42211579496421</v>
      </c>
      <c r="U473" s="9" t="s">
        <v>2655</v>
      </c>
      <c r="V473" s="8">
        <v>255.98985252975484</v>
      </c>
      <c r="W473" s="8" t="s">
        <v>2655</v>
      </c>
      <c r="X473" s="8"/>
    </row>
    <row r="474" spans="1:24" x14ac:dyDescent="0.3">
      <c r="A474" s="1" t="s">
        <v>476</v>
      </c>
      <c r="B474" s="1" t="s">
        <v>1957</v>
      </c>
      <c r="C474" s="1" t="s">
        <v>1586</v>
      </c>
      <c r="D474" s="1" t="s">
        <v>29</v>
      </c>
      <c r="F474" s="1">
        <v>1900</v>
      </c>
      <c r="G474" s="1" t="s">
        <v>25</v>
      </c>
      <c r="H474" s="1">
        <v>2022</v>
      </c>
      <c r="I474" s="1" t="s">
        <v>1783</v>
      </c>
      <c r="J474" s="6">
        <v>29615.64</v>
      </c>
      <c r="K474" s="6">
        <v>26654</v>
      </c>
      <c r="L474" s="21">
        <v>0.89999743378836317</v>
      </c>
      <c r="M474" s="1">
        <v>233</v>
      </c>
      <c r="N474" s="1" t="s">
        <v>1589</v>
      </c>
      <c r="O474" s="1">
        <v>7</v>
      </c>
      <c r="P474" s="1" t="s">
        <v>18</v>
      </c>
      <c r="Q474" s="22" t="s">
        <v>18</v>
      </c>
      <c r="R474" s="8">
        <v>203.07229558436015</v>
      </c>
      <c r="S474" s="9" t="s">
        <v>2656</v>
      </c>
      <c r="T474" s="8">
        <v>218.09992963177564</v>
      </c>
      <c r="U474" s="9" t="s">
        <v>2656</v>
      </c>
      <c r="V474" s="8">
        <v>254.89862788715692</v>
      </c>
      <c r="W474" s="8" t="s">
        <v>2655</v>
      </c>
      <c r="X474" s="8"/>
    </row>
    <row r="475" spans="1:24" x14ac:dyDescent="0.3">
      <c r="A475" s="1" t="s">
        <v>2186</v>
      </c>
      <c r="B475" s="1" t="s">
        <v>1117</v>
      </c>
      <c r="C475" s="1" t="s">
        <v>1586</v>
      </c>
      <c r="D475" s="1" t="s">
        <v>29</v>
      </c>
      <c r="F475" s="1">
        <v>2009</v>
      </c>
      <c r="G475" s="1" t="s">
        <v>25</v>
      </c>
      <c r="H475" s="1">
        <v>2022</v>
      </c>
      <c r="I475" s="1" t="s">
        <v>1599</v>
      </c>
      <c r="J475" s="6">
        <v>47527</v>
      </c>
      <c r="K475" s="6">
        <v>38020</v>
      </c>
      <c r="L475" s="21">
        <v>0.7999663349254108</v>
      </c>
      <c r="M475" s="1">
        <v>110</v>
      </c>
      <c r="N475" s="1" t="s">
        <v>1589</v>
      </c>
      <c r="O475" s="1">
        <v>14</v>
      </c>
      <c r="P475" s="1">
        <v>0.75</v>
      </c>
      <c r="Q475" s="22">
        <v>44830</v>
      </c>
      <c r="R475" s="8">
        <v>243.9234119553096</v>
      </c>
      <c r="S475" s="9" t="s">
        <v>2655</v>
      </c>
      <c r="T475" s="8">
        <v>250.70760830685717</v>
      </c>
      <c r="U475" s="9" t="s">
        <v>2655</v>
      </c>
      <c r="V475" s="8">
        <v>253.6218412691733</v>
      </c>
      <c r="W475" s="8" t="s">
        <v>2655</v>
      </c>
      <c r="X475" s="8"/>
    </row>
    <row r="476" spans="1:24" x14ac:dyDescent="0.3">
      <c r="A476" s="1" t="s">
        <v>1268</v>
      </c>
      <c r="B476" s="1" t="s">
        <v>1269</v>
      </c>
      <c r="C476" s="1" t="s">
        <v>1586</v>
      </c>
      <c r="D476" s="1" t="s">
        <v>29</v>
      </c>
      <c r="F476" s="1">
        <v>1999</v>
      </c>
      <c r="J476" s="6">
        <v>30663</v>
      </c>
      <c r="K476" s="6">
        <v>22118</v>
      </c>
      <c r="L476" s="21">
        <v>0.72132537586015721</v>
      </c>
      <c r="M476" s="1">
        <v>160</v>
      </c>
      <c r="N476" s="1" t="s">
        <v>1589</v>
      </c>
      <c r="O476" s="1">
        <v>23</v>
      </c>
      <c r="P476" s="1" t="s">
        <v>18</v>
      </c>
      <c r="Q476" s="22" t="s">
        <v>18</v>
      </c>
      <c r="R476" s="8">
        <v>230.93982976225419</v>
      </c>
      <c r="S476" s="9" t="s">
        <v>2655</v>
      </c>
      <c r="T476" s="8">
        <v>234.46838208916284</v>
      </c>
      <c r="U476" s="9" t="s">
        <v>2655</v>
      </c>
      <c r="V476" s="8">
        <v>245.49721162312886</v>
      </c>
      <c r="W476" s="8" t="s">
        <v>2655</v>
      </c>
      <c r="X476" s="8"/>
    </row>
    <row r="477" spans="1:24" x14ac:dyDescent="0.3">
      <c r="A477" s="1" t="s">
        <v>2469</v>
      </c>
      <c r="B477" s="1" t="s">
        <v>583</v>
      </c>
      <c r="C477" s="1" t="s">
        <v>1586</v>
      </c>
      <c r="D477" s="1" t="s">
        <v>29</v>
      </c>
      <c r="F477" s="1">
        <v>1995</v>
      </c>
      <c r="G477" s="1" t="s">
        <v>19</v>
      </c>
      <c r="H477" s="1">
        <v>2021</v>
      </c>
      <c r="I477" s="1" t="s">
        <v>1601</v>
      </c>
      <c r="J477" s="6">
        <v>26383</v>
      </c>
      <c r="K477" s="6">
        <v>21108</v>
      </c>
      <c r="L477" s="21">
        <v>0.80006064511238295</v>
      </c>
      <c r="M477" s="1">
        <v>565</v>
      </c>
      <c r="N477" s="1" t="s">
        <v>1589</v>
      </c>
      <c r="O477" s="1">
        <v>2012</v>
      </c>
      <c r="P477" s="1">
        <v>0.61</v>
      </c>
      <c r="Q477" s="22">
        <v>44713</v>
      </c>
      <c r="R477" s="8">
        <v>211.12115756358261</v>
      </c>
      <c r="S477" s="9" t="s">
        <v>2656</v>
      </c>
      <c r="T477" s="8">
        <v>204.96704317173939</v>
      </c>
      <c r="U477" s="9" t="s">
        <v>2656</v>
      </c>
      <c r="V477" s="8">
        <v>244.63847932380699</v>
      </c>
      <c r="W477" s="8" t="s">
        <v>2655</v>
      </c>
      <c r="X477" s="8"/>
    </row>
    <row r="478" spans="1:24" x14ac:dyDescent="0.3">
      <c r="A478" s="1" t="s">
        <v>808</v>
      </c>
      <c r="B478" s="1" t="s">
        <v>809</v>
      </c>
      <c r="C478" s="1" t="s">
        <v>1586</v>
      </c>
      <c r="D478" s="1" t="s">
        <v>29</v>
      </c>
      <c r="F478" s="1">
        <v>2012</v>
      </c>
      <c r="J478" s="6">
        <v>11584</v>
      </c>
      <c r="K478" s="6">
        <v>10227</v>
      </c>
      <c r="L478" s="21">
        <v>0.88285566298342544</v>
      </c>
      <c r="M478" s="1">
        <v>285</v>
      </c>
      <c r="N478" s="1" t="s">
        <v>1589</v>
      </c>
      <c r="O478" s="1">
        <v>10</v>
      </c>
      <c r="P478" s="1">
        <v>0.8</v>
      </c>
      <c r="Q478" s="22">
        <v>44727</v>
      </c>
      <c r="R478" s="8">
        <v>230.83429730662982</v>
      </c>
      <c r="S478" s="9" t="s">
        <v>2655</v>
      </c>
      <c r="T478" s="8">
        <v>234.44617575966851</v>
      </c>
      <c r="U478" s="9" t="s">
        <v>2655</v>
      </c>
      <c r="V478" s="8">
        <v>243.96382941988949</v>
      </c>
      <c r="W478" s="8" t="s">
        <v>2655</v>
      </c>
      <c r="X478" s="8"/>
    </row>
    <row r="479" spans="1:24" x14ac:dyDescent="0.3">
      <c r="A479" s="1" t="s">
        <v>1548</v>
      </c>
      <c r="B479" s="1" t="s">
        <v>2586</v>
      </c>
      <c r="C479" s="1" t="s">
        <v>1586</v>
      </c>
      <c r="D479" s="1" t="s">
        <v>29</v>
      </c>
      <c r="F479" s="1">
        <v>1993</v>
      </c>
      <c r="J479" s="6">
        <v>42009</v>
      </c>
      <c r="K479" s="6">
        <v>36000</v>
      </c>
      <c r="L479" s="21">
        <v>0.85695922302363781</v>
      </c>
      <c r="M479" s="1">
        <v>454</v>
      </c>
      <c r="N479" s="1" t="s">
        <v>1589</v>
      </c>
      <c r="O479" s="1">
        <v>10</v>
      </c>
      <c r="P479" s="1">
        <v>0.73</v>
      </c>
      <c r="Q479" s="22">
        <v>42947</v>
      </c>
      <c r="R479" s="8">
        <v>200.17809278964032</v>
      </c>
      <c r="S479" s="9" t="s">
        <v>2656</v>
      </c>
      <c r="T479" s="8">
        <v>220.85445975862316</v>
      </c>
      <c r="U479" s="9" t="s">
        <v>2655</v>
      </c>
      <c r="V479" s="8">
        <v>243.5667833083387</v>
      </c>
      <c r="W479" s="8" t="s">
        <v>2655</v>
      </c>
      <c r="X479" s="8"/>
    </row>
    <row r="480" spans="1:24" x14ac:dyDescent="0.3">
      <c r="A480" s="1" t="s">
        <v>1848</v>
      </c>
      <c r="B480" s="1" t="s">
        <v>282</v>
      </c>
      <c r="C480" s="1" t="s">
        <v>1586</v>
      </c>
      <c r="D480" s="1" t="s">
        <v>29</v>
      </c>
      <c r="F480" s="1">
        <v>2014</v>
      </c>
      <c r="G480" s="1" t="s">
        <v>19</v>
      </c>
      <c r="H480" s="1">
        <v>2021</v>
      </c>
      <c r="I480" s="1" t="s">
        <v>1600</v>
      </c>
      <c r="J480" s="6">
        <v>11783</v>
      </c>
      <c r="K480" s="6">
        <v>9351</v>
      </c>
      <c r="L480" s="21">
        <v>0.79360095052193835</v>
      </c>
      <c r="M480" s="1">
        <v>442</v>
      </c>
      <c r="N480" s="1" t="s">
        <v>1589</v>
      </c>
      <c r="O480" s="1">
        <v>10</v>
      </c>
      <c r="P480" s="1">
        <v>0.55000000000000004</v>
      </c>
      <c r="Q480" s="22">
        <v>44365</v>
      </c>
      <c r="R480" s="8">
        <v>228.91327335992531</v>
      </c>
      <c r="S480" s="9" t="s">
        <v>2655</v>
      </c>
      <c r="T480" s="8">
        <v>213.78857676313331</v>
      </c>
      <c r="U480" s="9" t="s">
        <v>2656</v>
      </c>
      <c r="V480" s="8">
        <v>239.16642620724772</v>
      </c>
      <c r="W480" s="8" t="s">
        <v>2655</v>
      </c>
      <c r="X480" s="8"/>
    </row>
    <row r="481" spans="1:24" x14ac:dyDescent="0.3">
      <c r="A481" s="1" t="s">
        <v>1930</v>
      </c>
      <c r="B481" s="1" t="s">
        <v>826</v>
      </c>
      <c r="C481" s="1" t="s">
        <v>1586</v>
      </c>
      <c r="D481" s="1" t="s">
        <v>29</v>
      </c>
      <c r="F481" s="1">
        <v>1985</v>
      </c>
      <c r="G481" s="1" t="s">
        <v>19</v>
      </c>
      <c r="H481" s="1">
        <v>2022</v>
      </c>
      <c r="I481" s="1" t="s">
        <v>1783</v>
      </c>
      <c r="J481" s="6">
        <v>31224</v>
      </c>
      <c r="K481" s="6">
        <v>25000</v>
      </c>
      <c r="L481" s="21">
        <v>0.80066615424032794</v>
      </c>
      <c r="M481" s="1">
        <v>417</v>
      </c>
      <c r="N481" s="1" t="s">
        <v>1589</v>
      </c>
      <c r="O481" s="1">
        <v>5</v>
      </c>
      <c r="P481" s="1">
        <v>0.60299999999999998</v>
      </c>
      <c r="Q481" s="22">
        <v>44762</v>
      </c>
      <c r="R481" s="8">
        <v>206.18938957212401</v>
      </c>
      <c r="S481" s="9" t="s">
        <v>2656</v>
      </c>
      <c r="T481" s="8">
        <v>229.55204330002562</v>
      </c>
      <c r="U481" s="9" t="s">
        <v>2655</v>
      </c>
      <c r="V481" s="8">
        <v>236.43934153215474</v>
      </c>
      <c r="W481" s="8" t="s">
        <v>2655</v>
      </c>
      <c r="X481" s="8"/>
    </row>
    <row r="482" spans="1:24" x14ac:dyDescent="0.3">
      <c r="A482" s="1" t="s">
        <v>2190</v>
      </c>
      <c r="B482" s="1" t="s">
        <v>1153</v>
      </c>
      <c r="C482" s="1" t="s">
        <v>1586</v>
      </c>
      <c r="D482" s="1" t="s">
        <v>29</v>
      </c>
      <c r="F482" s="1">
        <v>2020</v>
      </c>
      <c r="G482" s="1" t="s">
        <v>25</v>
      </c>
      <c r="H482" s="1">
        <v>2022</v>
      </c>
      <c r="I482" s="1" t="s">
        <v>1875</v>
      </c>
      <c r="J482" s="6">
        <v>35642</v>
      </c>
      <c r="K482" s="6">
        <v>25000</v>
      </c>
      <c r="L482" s="21">
        <v>0.70141967341900002</v>
      </c>
      <c r="M482" s="1">
        <v>839</v>
      </c>
      <c r="N482" s="1" t="s">
        <v>1589</v>
      </c>
      <c r="O482" s="1">
        <v>4</v>
      </c>
      <c r="P482" s="1">
        <v>0.67</v>
      </c>
      <c r="Q482" s="22">
        <v>44095</v>
      </c>
      <c r="R482" s="8">
        <v>202.06616912631168</v>
      </c>
      <c r="S482" s="9" t="s">
        <v>2656</v>
      </c>
      <c r="T482" s="8">
        <v>222.32848886145558</v>
      </c>
      <c r="U482" s="9" t="s">
        <v>2655</v>
      </c>
      <c r="V482" s="8">
        <v>234.05425060322091</v>
      </c>
      <c r="W482" s="8" t="s">
        <v>2655</v>
      </c>
      <c r="X482" s="8"/>
    </row>
    <row r="483" spans="1:24" x14ac:dyDescent="0.3">
      <c r="A483" s="1" t="s">
        <v>637</v>
      </c>
      <c r="B483" s="1" t="s">
        <v>638</v>
      </c>
      <c r="C483" s="1" t="s">
        <v>1586</v>
      </c>
      <c r="D483" s="1" t="s">
        <v>29</v>
      </c>
      <c r="F483" s="1">
        <v>2017</v>
      </c>
      <c r="G483" s="1" t="s">
        <v>21</v>
      </c>
      <c r="H483" s="1">
        <v>2018</v>
      </c>
      <c r="I483" s="1" t="s">
        <v>1598</v>
      </c>
      <c r="J483" s="6">
        <v>6665</v>
      </c>
      <c r="K483" s="6">
        <v>6666</v>
      </c>
      <c r="L483" s="21">
        <v>1.0001500375093773</v>
      </c>
      <c r="M483" s="1">
        <v>342</v>
      </c>
      <c r="N483" s="1" t="s">
        <v>1589</v>
      </c>
      <c r="O483" s="1">
        <v>6</v>
      </c>
      <c r="P483" s="1">
        <v>0.64</v>
      </c>
      <c r="Q483" s="22">
        <v>44063</v>
      </c>
      <c r="R483" s="8">
        <v>215.38915228807201</v>
      </c>
      <c r="S483" s="9" t="s">
        <v>2656</v>
      </c>
      <c r="T483" s="8">
        <v>222.14285671417852</v>
      </c>
      <c r="U483" s="9" t="s">
        <v>2655</v>
      </c>
      <c r="V483" s="8">
        <v>233.9048912228057</v>
      </c>
      <c r="W483" s="8" t="s">
        <v>2655</v>
      </c>
      <c r="X483" s="8"/>
    </row>
    <row r="484" spans="1:24" x14ac:dyDescent="0.3">
      <c r="A484" s="1" t="s">
        <v>2151</v>
      </c>
      <c r="B484" s="1" t="s">
        <v>477</v>
      </c>
      <c r="C484" s="1" t="s">
        <v>1586</v>
      </c>
      <c r="D484" s="1" t="s">
        <v>29</v>
      </c>
      <c r="F484" s="1">
        <v>2006</v>
      </c>
      <c r="J484" s="6">
        <v>8651</v>
      </c>
      <c r="K484" s="6">
        <v>6728</v>
      </c>
      <c r="L484" s="21">
        <v>0.77771355912611262</v>
      </c>
      <c r="M484" s="1">
        <v>194</v>
      </c>
      <c r="N484" s="1" t="s">
        <v>1589</v>
      </c>
      <c r="O484" s="1">
        <v>8</v>
      </c>
      <c r="P484" s="1">
        <v>1.05</v>
      </c>
      <c r="Q484" s="22">
        <v>43476</v>
      </c>
      <c r="R484" s="8">
        <v>217.24846260547912</v>
      </c>
      <c r="S484" s="9" t="s">
        <v>2656</v>
      </c>
      <c r="T484" s="8">
        <v>203.83139521442607</v>
      </c>
      <c r="U484" s="9" t="s">
        <v>2656</v>
      </c>
      <c r="V484" s="8">
        <v>231.66502138481101</v>
      </c>
      <c r="W484" s="8" t="s">
        <v>2656</v>
      </c>
      <c r="X484" s="8"/>
    </row>
    <row r="485" spans="1:24" x14ac:dyDescent="0.3">
      <c r="A485" s="1" t="s">
        <v>1004</v>
      </c>
      <c r="B485" s="1" t="s">
        <v>1005</v>
      </c>
      <c r="C485" s="1" t="s">
        <v>1586</v>
      </c>
      <c r="D485" s="1" t="s">
        <v>29</v>
      </c>
      <c r="F485" s="1">
        <v>2013</v>
      </c>
      <c r="J485" s="6">
        <v>22540</v>
      </c>
      <c r="K485" s="6">
        <v>21363</v>
      </c>
      <c r="L485" s="21">
        <v>0.94778172138420591</v>
      </c>
      <c r="M485" s="1">
        <v>229</v>
      </c>
      <c r="N485" s="1" t="s">
        <v>1589</v>
      </c>
      <c r="O485" s="1">
        <v>9</v>
      </c>
      <c r="P485" s="1">
        <v>0.65</v>
      </c>
      <c r="Q485" s="22">
        <v>44165</v>
      </c>
      <c r="R485" s="8">
        <v>199.27502218278616</v>
      </c>
      <c r="S485" s="9" t="s">
        <v>2656</v>
      </c>
      <c r="T485" s="8">
        <v>197.63984250221827</v>
      </c>
      <c r="U485" s="9" t="s">
        <v>2656</v>
      </c>
      <c r="V485" s="8">
        <v>230.51456965394854</v>
      </c>
      <c r="W485" s="8" t="s">
        <v>2656</v>
      </c>
      <c r="X485" s="8"/>
    </row>
    <row r="486" spans="1:24" x14ac:dyDescent="0.3">
      <c r="A486" s="1" t="s">
        <v>1879</v>
      </c>
      <c r="B486" s="1" t="s">
        <v>232</v>
      </c>
      <c r="C486" s="1" t="s">
        <v>1586</v>
      </c>
      <c r="D486" s="1" t="s">
        <v>29</v>
      </c>
      <c r="F486" s="1">
        <v>1977</v>
      </c>
      <c r="G486" s="1" t="s">
        <v>25</v>
      </c>
      <c r="H486" s="1">
        <v>2022</v>
      </c>
      <c r="I486" s="1" t="s">
        <v>1818</v>
      </c>
      <c r="J486" s="6">
        <v>26657</v>
      </c>
      <c r="K486" s="6">
        <v>26307</v>
      </c>
      <c r="L486" s="21">
        <v>0.98687024046216754</v>
      </c>
      <c r="M486" s="1">
        <v>388</v>
      </c>
      <c r="N486" s="1" t="s">
        <v>1589</v>
      </c>
      <c r="O486" s="1">
        <v>11</v>
      </c>
      <c r="P486" s="1">
        <v>0.78400000000000003</v>
      </c>
      <c r="Q486" s="22">
        <v>44847</v>
      </c>
      <c r="R486" s="8">
        <v>219.60178564729713</v>
      </c>
      <c r="S486" s="9" t="s">
        <v>2655</v>
      </c>
      <c r="T486" s="8">
        <v>195.77146715684435</v>
      </c>
      <c r="U486" s="9" t="s">
        <v>2656</v>
      </c>
      <c r="V486" s="8">
        <v>227.10169936602017</v>
      </c>
      <c r="W486" s="8" t="s">
        <v>2656</v>
      </c>
      <c r="X486" s="8"/>
    </row>
    <row r="487" spans="1:24" x14ac:dyDescent="0.3">
      <c r="A487" s="1" t="s">
        <v>2169</v>
      </c>
      <c r="B487" s="1" t="s">
        <v>576</v>
      </c>
      <c r="C487" s="1" t="s">
        <v>1586</v>
      </c>
      <c r="D487" s="1" t="s">
        <v>29</v>
      </c>
      <c r="F487" s="1">
        <v>2010</v>
      </c>
      <c r="J487" s="6">
        <v>22606</v>
      </c>
      <c r="K487" s="6">
        <v>22058</v>
      </c>
      <c r="L487" s="21">
        <v>0.97575864814650981</v>
      </c>
      <c r="M487" s="1">
        <v>308</v>
      </c>
      <c r="N487" s="1" t="s">
        <v>1787</v>
      </c>
      <c r="O487" s="1" t="s">
        <v>18</v>
      </c>
      <c r="P487" s="1" t="s">
        <v>18</v>
      </c>
      <c r="Q487" s="22" t="s">
        <v>18</v>
      </c>
      <c r="R487" s="8">
        <v>269.51972927541362</v>
      </c>
      <c r="S487" s="9" t="s">
        <v>2655</v>
      </c>
      <c r="T487" s="8">
        <v>243.99946916747766</v>
      </c>
      <c r="U487" s="9" t="s">
        <v>2655</v>
      </c>
      <c r="V487" s="8">
        <v>225.09271874723524</v>
      </c>
      <c r="W487" s="8" t="s">
        <v>2656</v>
      </c>
      <c r="X487" s="8"/>
    </row>
    <row r="488" spans="1:24" x14ac:dyDescent="0.3">
      <c r="A488" s="1" t="s">
        <v>2359</v>
      </c>
      <c r="B488" s="1" t="s">
        <v>531</v>
      </c>
      <c r="C488" s="1" t="s">
        <v>1586</v>
      </c>
      <c r="D488" s="1" t="s">
        <v>29</v>
      </c>
      <c r="F488" s="1">
        <v>2022</v>
      </c>
      <c r="G488" s="1" t="s">
        <v>19</v>
      </c>
      <c r="H488" s="1">
        <v>2022</v>
      </c>
      <c r="I488" s="1" t="s">
        <v>1818</v>
      </c>
      <c r="J488" s="6">
        <v>16366.3</v>
      </c>
      <c r="K488" s="6">
        <v>10222</v>
      </c>
      <c r="L488" s="21">
        <v>0.62457611066643048</v>
      </c>
      <c r="M488" s="1">
        <v>311</v>
      </c>
      <c r="N488" s="1" t="s">
        <v>1589</v>
      </c>
      <c r="O488" s="1">
        <v>2012</v>
      </c>
      <c r="P488" s="1">
        <v>-0.53</v>
      </c>
      <c r="Q488" s="22">
        <v>44336</v>
      </c>
      <c r="R488" s="8" t="s">
        <v>18</v>
      </c>
      <c r="S488" s="9" t="s">
        <v>2654</v>
      </c>
      <c r="T488" s="8" t="s">
        <v>18</v>
      </c>
      <c r="U488" s="9" t="s">
        <v>2654</v>
      </c>
      <c r="V488" s="8">
        <v>219.51471621563826</v>
      </c>
      <c r="W488" s="8" t="s">
        <v>2656</v>
      </c>
      <c r="X488" s="8"/>
    </row>
    <row r="489" spans="1:24" x14ac:dyDescent="0.3">
      <c r="A489" s="1" t="s">
        <v>1903</v>
      </c>
      <c r="B489" s="1" t="s">
        <v>1904</v>
      </c>
      <c r="C489" s="1" t="s">
        <v>1586</v>
      </c>
      <c r="D489" s="1" t="s">
        <v>29</v>
      </c>
      <c r="F489" s="1">
        <v>1993</v>
      </c>
      <c r="J489" s="6">
        <v>12052</v>
      </c>
      <c r="K489" s="6">
        <v>12052</v>
      </c>
      <c r="L489" s="21">
        <v>1</v>
      </c>
      <c r="M489" s="1">
        <v>256</v>
      </c>
      <c r="N489" s="1" t="s">
        <v>1589</v>
      </c>
      <c r="O489" s="1">
        <v>15</v>
      </c>
      <c r="P489" s="1" t="s">
        <v>18</v>
      </c>
      <c r="Q489" s="22" t="s">
        <v>18</v>
      </c>
      <c r="R489" s="8">
        <v>224.07443542172959</v>
      </c>
      <c r="S489" s="9" t="s">
        <v>2655</v>
      </c>
      <c r="T489" s="8">
        <v>239.58914112974927</v>
      </c>
      <c r="U489" s="9" t="s">
        <v>2655</v>
      </c>
      <c r="V489" s="8">
        <v>218.89130460553613</v>
      </c>
      <c r="W489" s="8" t="s">
        <v>2656</v>
      </c>
      <c r="X489" s="8"/>
    </row>
    <row r="490" spans="1:24" x14ac:dyDescent="0.3">
      <c r="A490" s="1" t="s">
        <v>897</v>
      </c>
      <c r="B490" s="1" t="s">
        <v>898</v>
      </c>
      <c r="C490" s="1" t="s">
        <v>1586</v>
      </c>
      <c r="D490" s="1" t="s">
        <v>29</v>
      </c>
      <c r="F490" s="1">
        <v>2012</v>
      </c>
      <c r="G490" s="1" t="s">
        <v>21</v>
      </c>
      <c r="H490" s="1">
        <v>2022</v>
      </c>
      <c r="I490" s="1" t="s">
        <v>1818</v>
      </c>
      <c r="J490" s="6">
        <v>18973</v>
      </c>
      <c r="K490" s="6">
        <v>16224</v>
      </c>
      <c r="L490" s="21">
        <v>0.85510989300585039</v>
      </c>
      <c r="M490" s="1">
        <v>313</v>
      </c>
      <c r="N490" s="1" t="s">
        <v>1589</v>
      </c>
      <c r="O490" s="1">
        <v>11</v>
      </c>
      <c r="P490" s="1">
        <v>0.69699999999999995</v>
      </c>
      <c r="Q490" s="22">
        <v>44868</v>
      </c>
      <c r="R490" s="8">
        <v>244.10290307278763</v>
      </c>
      <c r="S490" s="9" t="s">
        <v>2655</v>
      </c>
      <c r="T490" s="8">
        <v>241.29452379697466</v>
      </c>
      <c r="U490" s="9" t="s">
        <v>2655</v>
      </c>
      <c r="V490" s="8">
        <v>217.47361408317082</v>
      </c>
      <c r="W490" s="8" t="s">
        <v>2656</v>
      </c>
      <c r="X490" s="8"/>
    </row>
    <row r="491" spans="1:24" x14ac:dyDescent="0.3">
      <c r="A491" s="1" t="s">
        <v>312</v>
      </c>
      <c r="B491" s="1" t="s">
        <v>313</v>
      </c>
      <c r="C491" s="1" t="s">
        <v>1586</v>
      </c>
      <c r="D491" s="1" t="s">
        <v>29</v>
      </c>
      <c r="F491" s="1">
        <v>1971</v>
      </c>
      <c r="J491" s="6">
        <v>23500</v>
      </c>
      <c r="K491" s="6">
        <v>23354</v>
      </c>
      <c r="L491" s="21">
        <v>0.9937872340425532</v>
      </c>
      <c r="M491" s="1">
        <v>362</v>
      </c>
      <c r="N491" s="1" t="s">
        <v>1589</v>
      </c>
      <c r="O491" s="1">
        <v>25</v>
      </c>
      <c r="P491" s="1" t="s">
        <v>18</v>
      </c>
      <c r="Q491" s="22" t="s">
        <v>18</v>
      </c>
      <c r="R491" s="8">
        <v>221.09124297872341</v>
      </c>
      <c r="S491" s="9" t="s">
        <v>2655</v>
      </c>
      <c r="T491" s="8">
        <v>209.78268297872339</v>
      </c>
      <c r="U491" s="9" t="s">
        <v>2656</v>
      </c>
      <c r="V491" s="8">
        <v>217.09955957446809</v>
      </c>
      <c r="W491" s="8" t="s">
        <v>2656</v>
      </c>
      <c r="X491" s="8"/>
    </row>
    <row r="492" spans="1:24" x14ac:dyDescent="0.3">
      <c r="A492" s="1" t="s">
        <v>1814</v>
      </c>
      <c r="B492" s="1" t="s">
        <v>1815</v>
      </c>
      <c r="C492" s="1" t="s">
        <v>1586</v>
      </c>
      <c r="D492" s="1" t="s">
        <v>29</v>
      </c>
      <c r="F492" s="1">
        <v>1985</v>
      </c>
      <c r="G492" s="1" t="s">
        <v>25</v>
      </c>
      <c r="H492" s="1">
        <v>2020</v>
      </c>
      <c r="I492" s="1" t="s">
        <v>1601</v>
      </c>
      <c r="J492" s="6">
        <v>24576</v>
      </c>
      <c r="K492" s="6">
        <v>24000</v>
      </c>
      <c r="L492" s="21">
        <v>0.9765625</v>
      </c>
      <c r="M492" s="1">
        <v>324</v>
      </c>
      <c r="N492" s="1" t="s">
        <v>1589</v>
      </c>
      <c r="O492" s="1">
        <v>4</v>
      </c>
      <c r="P492" s="1">
        <v>0.65</v>
      </c>
      <c r="Q492" s="22">
        <v>43590</v>
      </c>
      <c r="R492" s="8">
        <v>194.44439697265625</v>
      </c>
      <c r="S492" s="9" t="s">
        <v>2656</v>
      </c>
      <c r="T492" s="8">
        <v>205.02693684895834</v>
      </c>
      <c r="U492" s="9" t="s">
        <v>2656</v>
      </c>
      <c r="V492" s="8">
        <v>215.60577392578125</v>
      </c>
      <c r="W492" s="8" t="s">
        <v>2656</v>
      </c>
      <c r="X492" s="8"/>
    </row>
    <row r="493" spans="1:24" x14ac:dyDescent="0.3">
      <c r="A493" s="1" t="s">
        <v>2309</v>
      </c>
      <c r="B493" s="1" t="s">
        <v>1419</v>
      </c>
      <c r="C493" s="1" t="s">
        <v>1586</v>
      </c>
      <c r="D493" s="1" t="s">
        <v>29</v>
      </c>
      <c r="F493" s="1">
        <v>1982</v>
      </c>
      <c r="G493" s="1" t="s">
        <v>21</v>
      </c>
      <c r="H493" s="1">
        <v>2020</v>
      </c>
      <c r="I493" s="1" t="s">
        <v>1597</v>
      </c>
      <c r="J493" s="6">
        <v>40883</v>
      </c>
      <c r="K493" s="6">
        <v>37160</v>
      </c>
      <c r="L493" s="21">
        <v>0.90893525426216271</v>
      </c>
      <c r="M493" s="1">
        <v>440</v>
      </c>
      <c r="N493" s="1" t="s">
        <v>1589</v>
      </c>
      <c r="O493" s="1">
        <v>1</v>
      </c>
      <c r="P493" s="1">
        <v>0.55800000000000005</v>
      </c>
      <c r="Q493" s="22">
        <v>45055</v>
      </c>
      <c r="R493" s="8">
        <v>237.73025462906344</v>
      </c>
      <c r="S493" s="9" t="s">
        <v>2655</v>
      </c>
      <c r="T493" s="8">
        <v>229.69331996184232</v>
      </c>
      <c r="U493" s="9" t="s">
        <v>2655</v>
      </c>
      <c r="V493" s="8">
        <v>215.18237409192085</v>
      </c>
      <c r="W493" s="8" t="s">
        <v>2656</v>
      </c>
      <c r="X493" s="8"/>
    </row>
    <row r="494" spans="1:24" x14ac:dyDescent="0.3">
      <c r="A494" s="1" t="s">
        <v>2345</v>
      </c>
      <c r="B494" s="1" t="s">
        <v>1550</v>
      </c>
      <c r="C494" s="1" t="s">
        <v>1586</v>
      </c>
      <c r="D494" s="1" t="s">
        <v>29</v>
      </c>
      <c r="F494" s="1">
        <v>1999</v>
      </c>
      <c r="G494" s="1" t="s">
        <v>19</v>
      </c>
      <c r="H494" s="1">
        <v>2021</v>
      </c>
      <c r="I494" s="1" t="s">
        <v>1601</v>
      </c>
      <c r="J494" s="6">
        <v>51726</v>
      </c>
      <c r="K494" s="6">
        <v>38713</v>
      </c>
      <c r="L494" s="21">
        <v>0.74842439005529138</v>
      </c>
      <c r="M494" s="1">
        <v>574</v>
      </c>
      <c r="N494" s="1" t="s">
        <v>1589</v>
      </c>
      <c r="O494" s="1">
        <v>4</v>
      </c>
      <c r="P494" s="1">
        <v>0.6</v>
      </c>
      <c r="Q494" s="22">
        <v>44197</v>
      </c>
      <c r="R494" s="8">
        <v>179.0201755403472</v>
      </c>
      <c r="S494" s="9" t="s">
        <v>2657</v>
      </c>
      <c r="T494" s="8">
        <v>190.03264895797085</v>
      </c>
      <c r="U494" s="9" t="s">
        <v>2656</v>
      </c>
      <c r="V494" s="8">
        <v>215.0158914279086</v>
      </c>
      <c r="W494" s="8" t="s">
        <v>2656</v>
      </c>
      <c r="X494" s="8"/>
    </row>
    <row r="495" spans="1:24" x14ac:dyDescent="0.3">
      <c r="A495" s="1" t="s">
        <v>226</v>
      </c>
      <c r="B495" s="1" t="s">
        <v>227</v>
      </c>
      <c r="C495" s="1" t="s">
        <v>1586</v>
      </c>
      <c r="D495" s="1" t="s">
        <v>29</v>
      </c>
      <c r="F495" s="1">
        <v>1998</v>
      </c>
      <c r="G495" s="1" t="s">
        <v>21</v>
      </c>
      <c r="H495" s="1">
        <v>2017</v>
      </c>
      <c r="I495" s="1" t="s">
        <v>1597</v>
      </c>
      <c r="J495" s="6">
        <v>19720</v>
      </c>
      <c r="K495" s="6">
        <v>12584</v>
      </c>
      <c r="L495" s="21">
        <v>0.63813387423935086</v>
      </c>
      <c r="M495" s="1">
        <v>298</v>
      </c>
      <c r="N495" s="1" t="s">
        <v>1589</v>
      </c>
      <c r="O495" s="1">
        <v>20</v>
      </c>
      <c r="P495" s="1" t="s">
        <v>18</v>
      </c>
      <c r="Q495" s="22" t="s">
        <v>18</v>
      </c>
      <c r="R495" s="8">
        <v>245.60192697768764</v>
      </c>
      <c r="S495" s="9" t="s">
        <v>2655</v>
      </c>
      <c r="T495" s="8">
        <v>241.09355983772821</v>
      </c>
      <c r="U495" s="9" t="s">
        <v>2655</v>
      </c>
      <c r="V495" s="8">
        <v>212.63417849898579</v>
      </c>
      <c r="W495" s="8" t="s">
        <v>2656</v>
      </c>
      <c r="X495" s="8"/>
    </row>
    <row r="496" spans="1:24" x14ac:dyDescent="0.3">
      <c r="A496" s="1" t="s">
        <v>2376</v>
      </c>
      <c r="B496" s="1" t="s">
        <v>2377</v>
      </c>
      <c r="C496" s="1" t="s">
        <v>1586</v>
      </c>
      <c r="D496" s="1" t="s">
        <v>29</v>
      </c>
      <c r="F496" s="1">
        <v>2007</v>
      </c>
      <c r="G496" s="1" t="s">
        <v>19</v>
      </c>
      <c r="H496" s="1">
        <v>2022</v>
      </c>
      <c r="I496" s="1" t="s">
        <v>1783</v>
      </c>
      <c r="J496" s="6">
        <v>15020</v>
      </c>
      <c r="K496" s="6">
        <v>11092</v>
      </c>
      <c r="L496" s="21">
        <v>0.73848202396804263</v>
      </c>
      <c r="M496" s="1">
        <v>140</v>
      </c>
      <c r="N496" s="1" t="s">
        <v>1589</v>
      </c>
      <c r="O496" s="1">
        <v>5</v>
      </c>
      <c r="P496" s="1" t="s">
        <v>18</v>
      </c>
      <c r="Q496" s="22" t="s">
        <v>18</v>
      </c>
      <c r="R496" s="8">
        <v>209.33640479360852</v>
      </c>
      <c r="S496" s="9" t="s">
        <v>2656</v>
      </c>
      <c r="T496" s="8">
        <v>214.53970705725698</v>
      </c>
      <c r="U496" s="9" t="s">
        <v>2656</v>
      </c>
      <c r="V496" s="8">
        <v>211.51041278295605</v>
      </c>
      <c r="W496" s="8" t="s">
        <v>2656</v>
      </c>
      <c r="X496" s="8"/>
    </row>
    <row r="497" spans="1:24" x14ac:dyDescent="0.3">
      <c r="A497" s="1" t="s">
        <v>1809</v>
      </c>
      <c r="B497" s="1" t="s">
        <v>320</v>
      </c>
      <c r="C497" s="1" t="s">
        <v>1586</v>
      </c>
      <c r="D497" s="1" t="s">
        <v>29</v>
      </c>
      <c r="F497" s="1">
        <v>1988</v>
      </c>
      <c r="G497" s="1" t="s">
        <v>25</v>
      </c>
      <c r="H497" s="1">
        <v>2022</v>
      </c>
      <c r="I497" s="1" t="s">
        <v>1810</v>
      </c>
      <c r="J497" s="6">
        <v>59329</v>
      </c>
      <c r="K497" s="6">
        <v>57735</v>
      </c>
      <c r="L497" s="21">
        <v>0.97313286925449616</v>
      </c>
      <c r="M497" s="1">
        <v>939</v>
      </c>
      <c r="N497" s="1" t="s">
        <v>1589</v>
      </c>
      <c r="O497" s="1">
        <v>23</v>
      </c>
      <c r="P497" s="1">
        <v>0.78</v>
      </c>
      <c r="Q497" s="22">
        <v>44802</v>
      </c>
      <c r="R497" s="8">
        <v>212.78805980212039</v>
      </c>
      <c r="S497" s="9" t="s">
        <v>2656</v>
      </c>
      <c r="T497" s="8">
        <v>208.60083264508083</v>
      </c>
      <c r="U497" s="9" t="s">
        <v>2656</v>
      </c>
      <c r="V497" s="8">
        <v>208.75222572435067</v>
      </c>
      <c r="W497" s="8" t="s">
        <v>2656</v>
      </c>
      <c r="X497" s="8"/>
    </row>
    <row r="498" spans="1:24" x14ac:dyDescent="0.3">
      <c r="A498" s="1" t="s">
        <v>646</v>
      </c>
      <c r="B498" s="1" t="s">
        <v>647</v>
      </c>
      <c r="C498" s="1" t="s">
        <v>1586</v>
      </c>
      <c r="D498" s="1" t="s">
        <v>29</v>
      </c>
      <c r="F498" s="1">
        <v>1999</v>
      </c>
      <c r="J498" s="6">
        <v>5368</v>
      </c>
      <c r="K498" s="6">
        <v>5316</v>
      </c>
      <c r="L498" s="21">
        <v>0.99031296572280181</v>
      </c>
      <c r="M498" s="1">
        <v>117</v>
      </c>
      <c r="N498" s="1" t="s">
        <v>28</v>
      </c>
      <c r="O498" s="1" t="s">
        <v>18</v>
      </c>
      <c r="P498" s="1" t="s">
        <v>18</v>
      </c>
      <c r="Q498" s="22" t="s">
        <v>18</v>
      </c>
      <c r="R498" s="8">
        <v>219.39445789865871</v>
      </c>
      <c r="S498" s="9" t="s">
        <v>2655</v>
      </c>
      <c r="T498" s="8">
        <v>224.07382637853951</v>
      </c>
      <c r="U498" s="9" t="s">
        <v>2655</v>
      </c>
      <c r="V498" s="8">
        <v>208.51942995529063</v>
      </c>
      <c r="W498" s="8" t="s">
        <v>2656</v>
      </c>
      <c r="X498" s="8"/>
    </row>
    <row r="499" spans="1:24" x14ac:dyDescent="0.3">
      <c r="A499" s="1" t="s">
        <v>2327</v>
      </c>
      <c r="B499" s="1" t="s">
        <v>1158</v>
      </c>
      <c r="C499" s="1" t="s">
        <v>1586</v>
      </c>
      <c r="D499" s="1" t="s">
        <v>29</v>
      </c>
      <c r="F499" s="1">
        <v>1987</v>
      </c>
      <c r="G499" s="1" t="s">
        <v>19</v>
      </c>
      <c r="H499" s="1">
        <v>2021</v>
      </c>
      <c r="I499" s="1" t="s">
        <v>1601</v>
      </c>
      <c r="J499" s="6">
        <v>25857</v>
      </c>
      <c r="K499" s="6">
        <v>25857</v>
      </c>
      <c r="L499" s="21">
        <v>1</v>
      </c>
      <c r="M499" s="1">
        <v>445</v>
      </c>
      <c r="N499" s="1" t="s">
        <v>1589</v>
      </c>
      <c r="O499" s="1">
        <v>12</v>
      </c>
      <c r="P499" s="1">
        <v>0.59</v>
      </c>
      <c r="Q499" s="22">
        <v>44312</v>
      </c>
      <c r="R499" s="8">
        <v>194.83412615539314</v>
      </c>
      <c r="S499" s="9" t="s">
        <v>2656</v>
      </c>
      <c r="T499" s="8">
        <v>178.50096685617046</v>
      </c>
      <c r="U499" s="9" t="s">
        <v>2657</v>
      </c>
      <c r="V499" s="8">
        <v>206.52689793866264</v>
      </c>
      <c r="W499" s="8" t="s">
        <v>2656</v>
      </c>
      <c r="X499" s="8"/>
    </row>
    <row r="500" spans="1:24" x14ac:dyDescent="0.3">
      <c r="A500" s="1" t="s">
        <v>42</v>
      </c>
      <c r="B500" s="1" t="s">
        <v>43</v>
      </c>
      <c r="C500" s="1" t="s">
        <v>1586</v>
      </c>
      <c r="D500" s="1" t="s">
        <v>29</v>
      </c>
      <c r="F500" s="1">
        <v>1986</v>
      </c>
      <c r="G500" s="1" t="s">
        <v>25</v>
      </c>
      <c r="H500" s="1">
        <v>2023</v>
      </c>
      <c r="I500" s="1" t="s">
        <v>1783</v>
      </c>
      <c r="J500" s="6">
        <v>12565</v>
      </c>
      <c r="K500" s="6">
        <v>11500</v>
      </c>
      <c r="L500" s="21">
        <v>0.91524074810982892</v>
      </c>
      <c r="M500" s="1">
        <v>236</v>
      </c>
      <c r="N500" s="1" t="s">
        <v>1589</v>
      </c>
      <c r="O500" s="1">
        <v>9</v>
      </c>
      <c r="P500" s="1">
        <v>1.24</v>
      </c>
      <c r="Q500" s="22">
        <v>44910</v>
      </c>
      <c r="R500" s="8">
        <v>192.90708316752884</v>
      </c>
      <c r="S500" s="9" t="s">
        <v>2656</v>
      </c>
      <c r="T500" s="8">
        <v>193.06995622761639</v>
      </c>
      <c r="U500" s="9" t="s">
        <v>2656</v>
      </c>
      <c r="V500" s="8">
        <v>206.09725427775567</v>
      </c>
      <c r="W500" s="8" t="s">
        <v>2656</v>
      </c>
      <c r="X500" s="8"/>
    </row>
    <row r="501" spans="1:24" x14ac:dyDescent="0.3">
      <c r="A501" s="1" t="s">
        <v>2131</v>
      </c>
      <c r="B501" s="1" t="s">
        <v>44</v>
      </c>
      <c r="C501" s="1" t="s">
        <v>1586</v>
      </c>
      <c r="D501" s="1" t="s">
        <v>29</v>
      </c>
      <c r="F501" s="1">
        <v>2016</v>
      </c>
      <c r="J501" s="6">
        <v>10194</v>
      </c>
      <c r="K501" s="6">
        <v>10194</v>
      </c>
      <c r="L501" s="21">
        <v>1</v>
      </c>
      <c r="M501" s="1">
        <v>274</v>
      </c>
      <c r="N501" s="1" t="s">
        <v>28</v>
      </c>
      <c r="O501" s="1" t="s">
        <v>18</v>
      </c>
      <c r="P501" s="1" t="s">
        <v>18</v>
      </c>
      <c r="Q501" s="22" t="s">
        <v>18</v>
      </c>
      <c r="R501" s="8">
        <v>215.11722189523249</v>
      </c>
      <c r="S501" s="9" t="s">
        <v>2656</v>
      </c>
      <c r="T501" s="8">
        <v>202.63402001177164</v>
      </c>
      <c r="U501" s="9" t="s">
        <v>2656</v>
      </c>
      <c r="V501" s="8">
        <v>205.47969393761036</v>
      </c>
      <c r="W501" s="8" t="s">
        <v>2656</v>
      </c>
      <c r="X501" s="8"/>
    </row>
    <row r="502" spans="1:24" x14ac:dyDescent="0.3">
      <c r="A502" s="1" t="s">
        <v>635</v>
      </c>
      <c r="B502" s="1" t="s">
        <v>636</v>
      </c>
      <c r="C502" s="1" t="s">
        <v>1586</v>
      </c>
      <c r="D502" s="1" t="s">
        <v>29</v>
      </c>
      <c r="F502" s="1">
        <v>2015</v>
      </c>
      <c r="G502" s="1" t="s">
        <v>19</v>
      </c>
      <c r="H502" s="1">
        <v>2016</v>
      </c>
      <c r="I502" s="1" t="s">
        <v>1598</v>
      </c>
      <c r="J502" s="6">
        <v>32600</v>
      </c>
      <c r="K502" s="6">
        <v>29200</v>
      </c>
      <c r="L502" s="21">
        <v>0.89570552147239269</v>
      </c>
      <c r="M502" s="1">
        <v>1500</v>
      </c>
      <c r="N502" s="1" t="s">
        <v>1589</v>
      </c>
      <c r="O502" s="1">
        <v>7</v>
      </c>
      <c r="P502" s="1">
        <v>0.62</v>
      </c>
      <c r="Q502" s="22">
        <v>44032</v>
      </c>
      <c r="R502" s="8">
        <v>185.49586656441718</v>
      </c>
      <c r="S502" s="9" t="s">
        <v>2657</v>
      </c>
      <c r="T502" s="8">
        <v>218.96962423312883</v>
      </c>
      <c r="U502" s="9" t="s">
        <v>2656</v>
      </c>
      <c r="V502" s="8">
        <v>204.53888036809815</v>
      </c>
      <c r="W502" s="8" t="s">
        <v>2656</v>
      </c>
      <c r="X502" s="8"/>
    </row>
    <row r="503" spans="1:24" x14ac:dyDescent="0.3">
      <c r="A503" s="1" t="s">
        <v>2436</v>
      </c>
      <c r="B503" s="1" t="s">
        <v>2437</v>
      </c>
      <c r="C503" s="1" t="s">
        <v>1586</v>
      </c>
      <c r="D503" s="1" t="s">
        <v>29</v>
      </c>
      <c r="F503" s="1">
        <v>2017</v>
      </c>
      <c r="G503" s="1" t="s">
        <v>21</v>
      </c>
      <c r="H503" s="1">
        <v>2022</v>
      </c>
      <c r="I503" s="1" t="s">
        <v>1599</v>
      </c>
      <c r="J503" s="6">
        <v>29553</v>
      </c>
      <c r="K503" s="6">
        <v>26700</v>
      </c>
      <c r="L503" s="21">
        <v>0.90346157750482181</v>
      </c>
      <c r="M503" s="1">
        <v>772</v>
      </c>
      <c r="N503" s="1" t="s">
        <v>1589</v>
      </c>
      <c r="O503" s="1">
        <v>7</v>
      </c>
      <c r="P503" s="1">
        <v>0.68100000000000005</v>
      </c>
      <c r="Q503" s="22">
        <v>45127</v>
      </c>
      <c r="R503" s="8">
        <v>215.38729063039284</v>
      </c>
      <c r="S503" s="9" t="s">
        <v>2656</v>
      </c>
      <c r="T503" s="8">
        <v>197.97600243630089</v>
      </c>
      <c r="U503" s="9" t="s">
        <v>2656</v>
      </c>
      <c r="V503" s="8">
        <v>200.59729976652116</v>
      </c>
      <c r="W503" s="8" t="s">
        <v>2656</v>
      </c>
      <c r="X503" s="8"/>
    </row>
    <row r="504" spans="1:24" x14ac:dyDescent="0.3">
      <c r="A504" s="1" t="s">
        <v>1835</v>
      </c>
      <c r="B504" s="1" t="s">
        <v>918</v>
      </c>
      <c r="C504" s="1" t="s">
        <v>1586</v>
      </c>
      <c r="D504" s="1" t="s">
        <v>29</v>
      </c>
      <c r="F504" s="1">
        <v>1973</v>
      </c>
      <c r="G504" s="1" t="s">
        <v>19</v>
      </c>
      <c r="H504" s="1">
        <v>2021</v>
      </c>
      <c r="I504" s="1" t="s">
        <v>1601</v>
      </c>
      <c r="J504" s="6">
        <v>37570</v>
      </c>
      <c r="K504" s="6">
        <v>26873</v>
      </c>
      <c r="L504" s="21">
        <v>0.71527814745807827</v>
      </c>
      <c r="M504" s="1">
        <v>663</v>
      </c>
      <c r="N504" s="1" t="s">
        <v>1589</v>
      </c>
      <c r="O504" s="1">
        <v>12</v>
      </c>
      <c r="P504" s="1">
        <v>0.54800000000000004</v>
      </c>
      <c r="Q504" s="22">
        <v>44220</v>
      </c>
      <c r="R504" s="8">
        <v>209.12587170614853</v>
      </c>
      <c r="S504" s="9" t="s">
        <v>2656</v>
      </c>
      <c r="T504" s="8">
        <v>205.94141602342293</v>
      </c>
      <c r="U504" s="9" t="s">
        <v>2656</v>
      </c>
      <c r="V504" s="8">
        <v>199.93269896193772</v>
      </c>
      <c r="W504" s="8" t="s">
        <v>2656</v>
      </c>
      <c r="X504" s="8"/>
    </row>
    <row r="505" spans="1:24" x14ac:dyDescent="0.3">
      <c r="A505" s="1" t="s">
        <v>1856</v>
      </c>
      <c r="B505" s="1" t="s">
        <v>537</v>
      </c>
      <c r="C505" s="1" t="s">
        <v>1586</v>
      </c>
      <c r="D505" s="1" t="s">
        <v>29</v>
      </c>
      <c r="F505" s="1">
        <v>2016</v>
      </c>
      <c r="G505" s="1" t="s">
        <v>47</v>
      </c>
      <c r="H505" s="1">
        <v>2007</v>
      </c>
      <c r="I505" s="1" t="s">
        <v>1608</v>
      </c>
      <c r="J505" s="6">
        <v>15694</v>
      </c>
      <c r="K505" s="6">
        <v>10338</v>
      </c>
      <c r="L505" s="21">
        <v>0.65872307888364978</v>
      </c>
      <c r="M505" s="1">
        <v>146</v>
      </c>
      <c r="N505" s="1" t="s">
        <v>28</v>
      </c>
      <c r="O505" s="1" t="s">
        <v>18</v>
      </c>
      <c r="P505" s="1" t="s">
        <v>18</v>
      </c>
      <c r="Q505" s="22" t="s">
        <v>18</v>
      </c>
      <c r="R505" s="8">
        <v>181.58843379635528</v>
      </c>
      <c r="S505" s="9" t="s">
        <v>2657</v>
      </c>
      <c r="T505" s="8">
        <v>195.26631833821844</v>
      </c>
      <c r="U505" s="9" t="s">
        <v>2656</v>
      </c>
      <c r="V505" s="8">
        <v>199.47249776984833</v>
      </c>
      <c r="W505" s="8" t="s">
        <v>2656</v>
      </c>
      <c r="X505" s="8"/>
    </row>
    <row r="506" spans="1:24" x14ac:dyDescent="0.3">
      <c r="A506" s="1" t="s">
        <v>355</v>
      </c>
      <c r="B506" s="1" t="s">
        <v>1865</v>
      </c>
      <c r="C506" s="1" t="s">
        <v>1586</v>
      </c>
      <c r="D506" s="1" t="s">
        <v>29</v>
      </c>
      <c r="F506" s="1">
        <v>2016</v>
      </c>
      <c r="G506" s="1" t="s">
        <v>19</v>
      </c>
      <c r="H506" s="1">
        <v>2023</v>
      </c>
      <c r="I506" s="1" t="s">
        <v>1783</v>
      </c>
      <c r="J506" s="6">
        <v>25200</v>
      </c>
      <c r="K506" s="6">
        <v>23604</v>
      </c>
      <c r="L506" s="21">
        <v>0.93666666666666665</v>
      </c>
      <c r="M506" s="1">
        <v>582</v>
      </c>
      <c r="N506" s="1" t="s">
        <v>1589</v>
      </c>
      <c r="O506" s="1">
        <v>6</v>
      </c>
      <c r="P506" s="1">
        <v>0.65</v>
      </c>
      <c r="Q506" s="22">
        <v>44124</v>
      </c>
      <c r="R506" s="8">
        <v>187.05124603174605</v>
      </c>
      <c r="S506" s="9" t="s">
        <v>2656</v>
      </c>
      <c r="T506" s="8">
        <v>189.55533333333335</v>
      </c>
      <c r="U506" s="9" t="s">
        <v>2656</v>
      </c>
      <c r="V506" s="8">
        <v>198.54680952380951</v>
      </c>
      <c r="W506" s="8" t="s">
        <v>2657</v>
      </c>
      <c r="X506" s="8"/>
    </row>
    <row r="507" spans="1:24" x14ac:dyDescent="0.3">
      <c r="A507" s="1" t="s">
        <v>2051</v>
      </c>
      <c r="B507" s="1" t="s">
        <v>514</v>
      </c>
      <c r="C507" s="1" t="s">
        <v>1586</v>
      </c>
      <c r="D507" s="1" t="s">
        <v>29</v>
      </c>
      <c r="F507" s="1">
        <v>1982</v>
      </c>
      <c r="G507" s="1" t="s">
        <v>25</v>
      </c>
      <c r="H507" s="1">
        <v>2021</v>
      </c>
      <c r="I507" s="1" t="s">
        <v>1601</v>
      </c>
      <c r="J507" s="6">
        <v>58999</v>
      </c>
      <c r="K507" s="6">
        <v>54035</v>
      </c>
      <c r="L507" s="21">
        <v>0.91586298072848693</v>
      </c>
      <c r="M507" s="1">
        <v>403</v>
      </c>
      <c r="N507" s="1" t="s">
        <v>1589</v>
      </c>
      <c r="O507" s="1" t="s">
        <v>18</v>
      </c>
      <c r="P507" s="1">
        <v>0.68</v>
      </c>
      <c r="Q507" s="22">
        <v>44435</v>
      </c>
      <c r="R507" s="8">
        <v>200.65847537383667</v>
      </c>
      <c r="S507" s="9" t="s">
        <v>2656</v>
      </c>
      <c r="T507" s="8">
        <v>205.83225713688174</v>
      </c>
      <c r="U507" s="9" t="s">
        <v>2656</v>
      </c>
      <c r="V507" s="8">
        <v>198.53267802990695</v>
      </c>
      <c r="W507" s="8" t="s">
        <v>2657</v>
      </c>
      <c r="X507" s="8"/>
    </row>
    <row r="508" spans="1:24" x14ac:dyDescent="0.3">
      <c r="A508" s="1" t="s">
        <v>251</v>
      </c>
      <c r="B508" s="1" t="s">
        <v>252</v>
      </c>
      <c r="C508" s="1" t="s">
        <v>1586</v>
      </c>
      <c r="D508" s="1" t="s">
        <v>29</v>
      </c>
      <c r="F508" s="1">
        <v>1986</v>
      </c>
      <c r="G508" s="1" t="s">
        <v>21</v>
      </c>
      <c r="H508" s="1">
        <v>2022</v>
      </c>
      <c r="I508" s="1" t="s">
        <v>1601</v>
      </c>
      <c r="J508" s="6">
        <v>54042</v>
      </c>
      <c r="K508" s="6">
        <v>42053</v>
      </c>
      <c r="L508" s="21">
        <v>0.7781540283483217</v>
      </c>
      <c r="M508" s="1">
        <v>515</v>
      </c>
      <c r="N508" s="1" t="s">
        <v>1589</v>
      </c>
      <c r="O508" s="1">
        <v>1</v>
      </c>
      <c r="P508" s="1">
        <v>0</v>
      </c>
      <c r="Q508" s="22">
        <v>44819</v>
      </c>
      <c r="R508" s="8">
        <v>169.19411309722071</v>
      </c>
      <c r="S508" s="9" t="s">
        <v>2657</v>
      </c>
      <c r="T508" s="8">
        <v>183.78944265571224</v>
      </c>
      <c r="U508" s="9" t="s">
        <v>2657</v>
      </c>
      <c r="V508" s="8">
        <v>196.91373468783542</v>
      </c>
      <c r="W508" s="8" t="s">
        <v>2657</v>
      </c>
      <c r="X508" s="8"/>
    </row>
    <row r="509" spans="1:24" x14ac:dyDescent="0.3">
      <c r="A509" s="1" t="s">
        <v>353</v>
      </c>
      <c r="B509" s="1" t="s">
        <v>354</v>
      </c>
      <c r="C509" s="1" t="s">
        <v>1586</v>
      </c>
      <c r="D509" s="1" t="s">
        <v>29</v>
      </c>
      <c r="F509" s="1">
        <v>2011</v>
      </c>
      <c r="G509" s="1" t="s">
        <v>25</v>
      </c>
      <c r="H509" s="1">
        <v>2012</v>
      </c>
      <c r="I509" s="1" t="s">
        <v>1597</v>
      </c>
      <c r="J509" s="6">
        <v>13539</v>
      </c>
      <c r="K509" s="6">
        <v>13128</v>
      </c>
      <c r="L509" s="21">
        <v>0.96964325282517172</v>
      </c>
      <c r="M509" s="1">
        <v>85</v>
      </c>
      <c r="N509" s="1" t="s">
        <v>1589</v>
      </c>
      <c r="O509" s="1">
        <v>10</v>
      </c>
      <c r="P509" s="1" t="s">
        <v>18</v>
      </c>
      <c r="Q509" s="22" t="s">
        <v>18</v>
      </c>
      <c r="R509" s="8">
        <v>215.22106211684763</v>
      </c>
      <c r="S509" s="9" t="s">
        <v>2656</v>
      </c>
      <c r="T509" s="8">
        <v>202.52669768816014</v>
      </c>
      <c r="U509" s="9" t="s">
        <v>2656</v>
      </c>
      <c r="V509" s="8">
        <v>196.09764015067583</v>
      </c>
      <c r="W509" s="8" t="s">
        <v>2657</v>
      </c>
      <c r="X509" s="8"/>
    </row>
    <row r="510" spans="1:24" x14ac:dyDescent="0.3">
      <c r="A510" s="1" t="s">
        <v>605</v>
      </c>
      <c r="B510" s="1" t="s">
        <v>606</v>
      </c>
      <c r="C510" s="1" t="s">
        <v>1586</v>
      </c>
      <c r="D510" s="1" t="s">
        <v>29</v>
      </c>
      <c r="F510" s="1">
        <v>2013</v>
      </c>
      <c r="G510" s="1" t="s">
        <v>19</v>
      </c>
      <c r="H510" s="1">
        <v>2018</v>
      </c>
      <c r="I510" s="1" t="s">
        <v>1603</v>
      </c>
      <c r="J510" s="6">
        <v>7221</v>
      </c>
      <c r="K510" s="6">
        <v>4747</v>
      </c>
      <c r="L510" s="21">
        <v>0.65738817338318789</v>
      </c>
      <c r="M510" s="1">
        <v>221</v>
      </c>
      <c r="N510" s="1" t="s">
        <v>1589</v>
      </c>
      <c r="O510" s="1">
        <v>10</v>
      </c>
      <c r="P510" s="1">
        <v>0.55000000000000004</v>
      </c>
      <c r="Q510" s="22">
        <v>44932</v>
      </c>
      <c r="R510" s="8">
        <v>172.75411300373909</v>
      </c>
      <c r="S510" s="9" t="s">
        <v>2657</v>
      </c>
      <c r="T510" s="8">
        <v>180.001454092231</v>
      </c>
      <c r="U510" s="9" t="s">
        <v>2657</v>
      </c>
      <c r="V510" s="8">
        <v>194.66768868577759</v>
      </c>
      <c r="W510" s="8" t="s">
        <v>2657</v>
      </c>
      <c r="X510" s="8"/>
    </row>
    <row r="511" spans="1:24" x14ac:dyDescent="0.3">
      <c r="A511" s="1" t="s">
        <v>1033</v>
      </c>
      <c r="B511" s="1" t="s">
        <v>1034</v>
      </c>
      <c r="C511" s="1" t="s">
        <v>1586</v>
      </c>
      <c r="D511" s="1" t="s">
        <v>29</v>
      </c>
      <c r="F511" s="1">
        <v>2008</v>
      </c>
      <c r="G511" s="1" t="s">
        <v>25</v>
      </c>
      <c r="H511" s="1">
        <v>2023</v>
      </c>
      <c r="I511" s="1" t="s">
        <v>1783</v>
      </c>
      <c r="J511" s="6">
        <v>41999</v>
      </c>
      <c r="K511" s="6">
        <v>41999</v>
      </c>
      <c r="L511" s="21">
        <v>1</v>
      </c>
      <c r="M511" s="1">
        <v>563</v>
      </c>
      <c r="N511" s="1" t="s">
        <v>1589</v>
      </c>
      <c r="O511" s="1">
        <v>15</v>
      </c>
      <c r="P511" s="1">
        <v>0.65800000000000003</v>
      </c>
      <c r="Q511" s="22">
        <v>43864</v>
      </c>
      <c r="R511" s="8">
        <v>193.43793899854759</v>
      </c>
      <c r="S511" s="9" t="s">
        <v>2656</v>
      </c>
      <c r="T511" s="8">
        <v>176.64706302531013</v>
      </c>
      <c r="U511" s="9" t="s">
        <v>2657</v>
      </c>
      <c r="V511" s="8">
        <v>192.13076501821473</v>
      </c>
      <c r="W511" s="8" t="s">
        <v>2657</v>
      </c>
      <c r="X511" s="8"/>
    </row>
    <row r="512" spans="1:24" x14ac:dyDescent="0.3">
      <c r="A512" s="1" t="s">
        <v>997</v>
      </c>
      <c r="B512" s="1" t="s">
        <v>998</v>
      </c>
      <c r="C512" s="1" t="s">
        <v>1586</v>
      </c>
      <c r="D512" s="1" t="s">
        <v>29</v>
      </c>
      <c r="F512" s="1">
        <v>1993</v>
      </c>
      <c r="G512" s="1" t="s">
        <v>25</v>
      </c>
      <c r="H512" s="1">
        <v>2023</v>
      </c>
      <c r="I512" s="1" t="s">
        <v>1783</v>
      </c>
      <c r="J512" s="6">
        <v>11426</v>
      </c>
      <c r="K512" s="6">
        <v>8761</v>
      </c>
      <c r="L512" s="21">
        <v>0.76676002100472607</v>
      </c>
      <c r="M512" s="1">
        <v>210</v>
      </c>
      <c r="N512" s="1" t="s">
        <v>1589</v>
      </c>
      <c r="O512" s="1">
        <v>9</v>
      </c>
      <c r="P512" s="1">
        <v>0.65</v>
      </c>
      <c r="Q512" s="22">
        <v>41699</v>
      </c>
      <c r="R512" s="8">
        <v>179.93439348853491</v>
      </c>
      <c r="S512" s="9" t="s">
        <v>2657</v>
      </c>
      <c r="T512" s="8">
        <v>188.94620864694556</v>
      </c>
      <c r="U512" s="9" t="s">
        <v>2657</v>
      </c>
      <c r="V512" s="8">
        <v>183.62515315946087</v>
      </c>
      <c r="W512" s="8" t="s">
        <v>2657</v>
      </c>
      <c r="X512" s="8"/>
    </row>
    <row r="513" spans="1:24" x14ac:dyDescent="0.3">
      <c r="A513" s="1" t="s">
        <v>2323</v>
      </c>
      <c r="B513" s="1" t="s">
        <v>1047</v>
      </c>
      <c r="C513" s="1" t="s">
        <v>1586</v>
      </c>
      <c r="D513" s="1" t="s">
        <v>29</v>
      </c>
      <c r="F513" s="1">
        <v>1997</v>
      </c>
      <c r="G513" s="1" t="s">
        <v>19</v>
      </c>
      <c r="H513" s="1">
        <v>2021</v>
      </c>
      <c r="I513" s="1" t="s">
        <v>1601</v>
      </c>
      <c r="J513" s="6">
        <v>38054</v>
      </c>
      <c r="K513" s="6">
        <v>38054</v>
      </c>
      <c r="L513" s="21">
        <v>1</v>
      </c>
      <c r="M513" s="1">
        <v>476</v>
      </c>
      <c r="N513" s="1" t="s">
        <v>1589</v>
      </c>
      <c r="O513" s="1">
        <v>5</v>
      </c>
      <c r="P513" s="1">
        <v>0.62</v>
      </c>
      <c r="Q513" s="22">
        <v>43097</v>
      </c>
      <c r="R513" s="8">
        <v>159.57061018552582</v>
      </c>
      <c r="S513" s="9" t="s">
        <v>2657</v>
      </c>
      <c r="T513" s="8">
        <v>165.58566773532348</v>
      </c>
      <c r="U513" s="9" t="s">
        <v>2657</v>
      </c>
      <c r="V513" s="8">
        <v>181.0940374205077</v>
      </c>
      <c r="W513" s="8" t="s">
        <v>2657</v>
      </c>
      <c r="X513" s="8"/>
    </row>
    <row r="514" spans="1:24" x14ac:dyDescent="0.3">
      <c r="A514" s="1" t="s">
        <v>1833</v>
      </c>
      <c r="B514" s="1" t="s">
        <v>758</v>
      </c>
      <c r="C514" s="1" t="s">
        <v>1586</v>
      </c>
      <c r="D514" s="1" t="s">
        <v>29</v>
      </c>
      <c r="F514" s="1">
        <v>2014</v>
      </c>
      <c r="J514" s="6">
        <v>6962</v>
      </c>
      <c r="K514" s="6">
        <v>6000</v>
      </c>
      <c r="L514" s="21">
        <v>0.86182131571387532</v>
      </c>
      <c r="M514" s="1">
        <v>270</v>
      </c>
      <c r="N514" s="1" t="s">
        <v>28</v>
      </c>
      <c r="O514" s="1" t="s">
        <v>18</v>
      </c>
      <c r="P514" s="1">
        <v>6.42</v>
      </c>
      <c r="Q514" s="22">
        <v>44904</v>
      </c>
      <c r="R514" s="8">
        <v>213.44375179546105</v>
      </c>
      <c r="S514" s="9" t="s">
        <v>2656</v>
      </c>
      <c r="T514" s="8">
        <v>227.02459063487504</v>
      </c>
      <c r="U514" s="9" t="s">
        <v>2655</v>
      </c>
      <c r="V514" s="8">
        <v>177.77014507325481</v>
      </c>
      <c r="W514" s="8" t="s">
        <v>2657</v>
      </c>
      <c r="X514" s="8"/>
    </row>
    <row r="515" spans="1:24" x14ac:dyDescent="0.3">
      <c r="A515" s="1" t="s">
        <v>1125</v>
      </c>
      <c r="B515" s="1" t="s">
        <v>1934</v>
      </c>
      <c r="C515" s="1" t="s">
        <v>1586</v>
      </c>
      <c r="D515" s="1" t="s">
        <v>29</v>
      </c>
      <c r="F515" s="1">
        <v>1971</v>
      </c>
      <c r="J515" s="6">
        <v>14950</v>
      </c>
      <c r="K515" s="6">
        <v>13000</v>
      </c>
      <c r="L515" s="21">
        <v>0.86956521739130432</v>
      </c>
      <c r="M515" s="1">
        <v>240</v>
      </c>
      <c r="N515" s="1" t="s">
        <v>1589</v>
      </c>
      <c r="O515" s="1">
        <v>8</v>
      </c>
      <c r="P515" s="1">
        <v>0.83</v>
      </c>
      <c r="Q515" s="22">
        <v>44733</v>
      </c>
      <c r="R515" s="8">
        <v>181.03785953177257</v>
      </c>
      <c r="S515" s="9" t="s">
        <v>2657</v>
      </c>
      <c r="T515" s="8">
        <v>161.70140468227424</v>
      </c>
      <c r="U515" s="9" t="s">
        <v>2657</v>
      </c>
      <c r="V515" s="8">
        <v>174.23958193979934</v>
      </c>
      <c r="W515" s="8" t="s">
        <v>2657</v>
      </c>
      <c r="X515" s="8"/>
    </row>
    <row r="516" spans="1:24" x14ac:dyDescent="0.3">
      <c r="A516" s="1" t="s">
        <v>1841</v>
      </c>
      <c r="B516" s="1" t="s">
        <v>1842</v>
      </c>
      <c r="C516" s="1" t="s">
        <v>1586</v>
      </c>
      <c r="D516" s="1" t="s">
        <v>29</v>
      </c>
      <c r="F516" s="1">
        <v>2011</v>
      </c>
      <c r="G516" s="1" t="s">
        <v>25</v>
      </c>
      <c r="H516" s="1">
        <v>2009</v>
      </c>
      <c r="I516" s="1" t="s">
        <v>1608</v>
      </c>
      <c r="J516" s="6">
        <v>18881</v>
      </c>
      <c r="K516" s="6">
        <v>18881</v>
      </c>
      <c r="L516" s="21">
        <v>1</v>
      </c>
      <c r="M516" s="1">
        <v>351</v>
      </c>
      <c r="N516" s="1" t="s">
        <v>1821</v>
      </c>
      <c r="O516" s="1" t="s">
        <v>18</v>
      </c>
      <c r="P516" s="1" t="s">
        <v>18</v>
      </c>
      <c r="Q516" s="22" t="s">
        <v>18</v>
      </c>
      <c r="R516" s="8">
        <v>153.16625178751124</v>
      </c>
      <c r="S516" s="9"/>
      <c r="T516" s="8">
        <v>152.83862083576082</v>
      </c>
      <c r="U516" s="9"/>
      <c r="V516" s="8">
        <v>170.76023515703616</v>
      </c>
      <c r="W516" s="8"/>
      <c r="X516" s="8"/>
    </row>
    <row r="517" spans="1:24" x14ac:dyDescent="0.3">
      <c r="A517" s="1" t="s">
        <v>2346</v>
      </c>
      <c r="B517" s="1" t="s">
        <v>413</v>
      </c>
      <c r="C517" s="1" t="s">
        <v>1586</v>
      </c>
      <c r="D517" s="1" t="s">
        <v>29</v>
      </c>
      <c r="F517" s="1">
        <v>1985</v>
      </c>
      <c r="G517" s="1" t="s">
        <v>21</v>
      </c>
      <c r="H517" s="1">
        <v>2021</v>
      </c>
      <c r="I517" s="1" t="s">
        <v>1601</v>
      </c>
      <c r="J517" s="6">
        <v>32379</v>
      </c>
      <c r="K517" s="6">
        <v>31033</v>
      </c>
      <c r="L517" s="21">
        <v>0.95842984650545104</v>
      </c>
      <c r="M517" s="1">
        <v>415</v>
      </c>
      <c r="N517" s="1" t="s">
        <v>1589</v>
      </c>
      <c r="O517" s="1">
        <v>13</v>
      </c>
      <c r="P517" s="1">
        <v>0.67</v>
      </c>
      <c r="Q517" s="22">
        <v>44753</v>
      </c>
      <c r="R517" s="8">
        <v>154.52998486673462</v>
      </c>
      <c r="S517" s="9" t="s">
        <v>2657</v>
      </c>
      <c r="T517" s="8">
        <v>161.97514592791623</v>
      </c>
      <c r="U517" s="9" t="s">
        <v>2657</v>
      </c>
      <c r="V517" s="8">
        <v>170.75650915716977</v>
      </c>
      <c r="W517" s="8" t="s">
        <v>2657</v>
      </c>
      <c r="X517" s="8"/>
    </row>
    <row r="518" spans="1:24" x14ac:dyDescent="0.3">
      <c r="A518" s="1" t="s">
        <v>1819</v>
      </c>
      <c r="B518" s="1" t="s">
        <v>101</v>
      </c>
      <c r="C518" s="1" t="s">
        <v>1586</v>
      </c>
      <c r="D518" s="1" t="s">
        <v>29</v>
      </c>
      <c r="F518" s="1">
        <v>1971</v>
      </c>
      <c r="G518" s="1" t="s">
        <v>25</v>
      </c>
      <c r="H518" s="1">
        <v>2019</v>
      </c>
      <c r="I518" s="1" t="s">
        <v>1601</v>
      </c>
      <c r="J518" s="6">
        <v>23554</v>
      </c>
      <c r="K518" s="6">
        <v>21262</v>
      </c>
      <c r="L518" s="21">
        <v>0.90269168718688975</v>
      </c>
      <c r="M518" s="1">
        <v>342</v>
      </c>
      <c r="N518" s="1" t="s">
        <v>1589</v>
      </c>
      <c r="O518" s="1">
        <v>6</v>
      </c>
      <c r="P518" s="1">
        <v>0.68</v>
      </c>
      <c r="Q518" s="22">
        <v>43445</v>
      </c>
      <c r="R518" s="8">
        <v>164.65800118875774</v>
      </c>
      <c r="S518" s="9" t="s">
        <v>2657</v>
      </c>
      <c r="T518" s="8">
        <v>154.12203235119301</v>
      </c>
      <c r="U518" s="9" t="s">
        <v>2657</v>
      </c>
      <c r="V518" s="8">
        <v>163.61631145453001</v>
      </c>
      <c r="W518" s="8" t="s">
        <v>2657</v>
      </c>
      <c r="X518" s="8"/>
    </row>
    <row r="519" spans="1:24" x14ac:dyDescent="0.3">
      <c r="A519" s="1" t="s">
        <v>830</v>
      </c>
      <c r="B519" s="1" t="s">
        <v>831</v>
      </c>
      <c r="C519" s="1" t="s">
        <v>1586</v>
      </c>
      <c r="D519" s="1" t="s">
        <v>29</v>
      </c>
      <c r="F519" s="1">
        <v>2015</v>
      </c>
      <c r="G519" s="1" t="s">
        <v>19</v>
      </c>
      <c r="H519" s="1">
        <v>2020</v>
      </c>
      <c r="I519" s="1" t="s">
        <v>1598</v>
      </c>
      <c r="J519" s="6">
        <v>19147</v>
      </c>
      <c r="K519" s="6">
        <v>15755</v>
      </c>
      <c r="L519" s="21">
        <v>0.82284430981354784</v>
      </c>
      <c r="M519" s="1">
        <v>557</v>
      </c>
      <c r="N519" s="1" t="s">
        <v>1589</v>
      </c>
      <c r="O519" s="1">
        <v>7</v>
      </c>
      <c r="P519" s="1">
        <v>0.62</v>
      </c>
      <c r="Q519" s="22">
        <v>43615</v>
      </c>
      <c r="R519" s="8">
        <v>202.57873296077713</v>
      </c>
      <c r="S519" s="9" t="s">
        <v>2656</v>
      </c>
      <c r="T519" s="8">
        <v>187.76013213558261</v>
      </c>
      <c r="U519" s="9" t="s">
        <v>2657</v>
      </c>
      <c r="V519" s="8">
        <v>162.14246409359168</v>
      </c>
      <c r="W519" s="8" t="s">
        <v>2657</v>
      </c>
      <c r="X519" s="8"/>
    </row>
    <row r="520" spans="1:24" x14ac:dyDescent="0.3">
      <c r="A520" s="1" t="s">
        <v>222</v>
      </c>
      <c r="B520" s="1" t="s">
        <v>1796</v>
      </c>
      <c r="C520" s="1" t="s">
        <v>1586</v>
      </c>
      <c r="D520" s="1" t="s">
        <v>29</v>
      </c>
      <c r="F520" s="1">
        <v>2018</v>
      </c>
      <c r="G520" s="1" t="s">
        <v>19</v>
      </c>
      <c r="H520" s="1">
        <v>2017</v>
      </c>
      <c r="I520" s="1" t="s">
        <v>1598</v>
      </c>
      <c r="J520" s="6">
        <v>21170</v>
      </c>
      <c r="K520" s="6">
        <v>19800</v>
      </c>
      <c r="L520" s="21">
        <v>0.93528578176665089</v>
      </c>
      <c r="M520" s="1">
        <v>343</v>
      </c>
      <c r="N520" s="1" t="s">
        <v>1589</v>
      </c>
      <c r="O520" s="1">
        <v>2018</v>
      </c>
      <c r="P520" s="1">
        <v>0.61</v>
      </c>
      <c r="Q520" s="22">
        <v>44270</v>
      </c>
      <c r="R520" s="8">
        <v>148.19918564005667</v>
      </c>
      <c r="S520" s="9" t="s">
        <v>2657</v>
      </c>
      <c r="T520" s="8">
        <v>146.75225555030704</v>
      </c>
      <c r="U520" s="9" t="s">
        <v>2657</v>
      </c>
      <c r="V520" s="8">
        <v>162.12335852621635</v>
      </c>
      <c r="W520" s="8" t="s">
        <v>2657</v>
      </c>
      <c r="X520" s="8"/>
    </row>
    <row r="521" spans="1:24" x14ac:dyDescent="0.3">
      <c r="A521" s="1" t="s">
        <v>895</v>
      </c>
      <c r="B521" s="1" t="s">
        <v>896</v>
      </c>
      <c r="C521" s="1" t="s">
        <v>1586</v>
      </c>
      <c r="D521" s="1" t="s">
        <v>29</v>
      </c>
      <c r="F521" s="1">
        <v>2019</v>
      </c>
      <c r="G521" s="1" t="s">
        <v>21</v>
      </c>
      <c r="H521" s="1">
        <v>2022</v>
      </c>
      <c r="I521" s="1" t="s">
        <v>1599</v>
      </c>
      <c r="J521" s="6">
        <v>15996</v>
      </c>
      <c r="K521" s="6">
        <v>15326</v>
      </c>
      <c r="L521" s="21">
        <v>0.95811452863215807</v>
      </c>
      <c r="M521" s="1">
        <v>304</v>
      </c>
      <c r="N521" s="1" t="s">
        <v>1589</v>
      </c>
      <c r="O521" s="1">
        <v>4</v>
      </c>
      <c r="P521" s="1">
        <v>0.61</v>
      </c>
      <c r="Q521" s="22">
        <v>44057</v>
      </c>
      <c r="R521" s="8">
        <v>174.31764816204051</v>
      </c>
      <c r="S521" s="9" t="s">
        <v>2657</v>
      </c>
      <c r="T521" s="8">
        <v>149.93752188047011</v>
      </c>
      <c r="U521" s="9" t="s">
        <v>2657</v>
      </c>
      <c r="V521" s="8">
        <v>146.30482620655164</v>
      </c>
      <c r="W521" s="8" t="s">
        <v>2657</v>
      </c>
      <c r="X521" s="8"/>
    </row>
    <row r="522" spans="1:24" x14ac:dyDescent="0.3">
      <c r="A522" s="1" t="s">
        <v>1918</v>
      </c>
      <c r="B522" s="1" t="s">
        <v>475</v>
      </c>
      <c r="C522" s="1" t="s">
        <v>1586</v>
      </c>
      <c r="D522" s="1" t="s">
        <v>29</v>
      </c>
      <c r="F522" s="1">
        <v>1988</v>
      </c>
      <c r="G522" s="1" t="s">
        <v>19</v>
      </c>
      <c r="H522" s="1">
        <v>2019</v>
      </c>
      <c r="I522" s="1" t="s">
        <v>1601</v>
      </c>
      <c r="J522" s="6">
        <v>37721</v>
      </c>
      <c r="K522" s="6">
        <v>29829</v>
      </c>
      <c r="L522" s="21">
        <v>0.79077967180085362</v>
      </c>
      <c r="M522" s="1">
        <v>540</v>
      </c>
      <c r="N522" s="1" t="s">
        <v>1589</v>
      </c>
      <c r="O522" s="1">
        <v>2014</v>
      </c>
      <c r="P522" s="1">
        <v>0.64600000000000002</v>
      </c>
      <c r="Q522" s="22">
        <v>44939</v>
      </c>
      <c r="R522" s="8">
        <v>159.73232655549958</v>
      </c>
      <c r="S522" s="9" t="s">
        <v>2657</v>
      </c>
      <c r="T522" s="8">
        <v>163.16034649134434</v>
      </c>
      <c r="U522" s="9" t="s">
        <v>2657</v>
      </c>
      <c r="V522" s="8">
        <v>144.77700829776518</v>
      </c>
      <c r="W522" s="8" t="s">
        <v>2657</v>
      </c>
      <c r="X522" s="8"/>
    </row>
    <row r="523" spans="1:24" x14ac:dyDescent="0.3">
      <c r="A523" s="1" t="s">
        <v>1042</v>
      </c>
      <c r="B523" s="1" t="s">
        <v>1043</v>
      </c>
      <c r="C523" s="1" t="s">
        <v>1586</v>
      </c>
      <c r="D523" s="1" t="s">
        <v>29</v>
      </c>
      <c r="F523" s="1">
        <v>1980</v>
      </c>
      <c r="J523" s="6">
        <v>8211</v>
      </c>
      <c r="K523" s="6">
        <v>7800</v>
      </c>
      <c r="L523" s="21">
        <v>0.94994519546949219</v>
      </c>
      <c r="M523" s="1">
        <v>98</v>
      </c>
      <c r="N523" s="1" t="s">
        <v>1589</v>
      </c>
      <c r="O523" s="1">
        <v>5</v>
      </c>
      <c r="P523" s="1" t="s">
        <v>18</v>
      </c>
      <c r="Q523" s="22" t="s">
        <v>18</v>
      </c>
      <c r="R523" s="8">
        <v>140.64235172329802</v>
      </c>
      <c r="S523" s="9" t="s">
        <v>2657</v>
      </c>
      <c r="T523" s="8">
        <v>135.91046522957009</v>
      </c>
      <c r="U523" s="9" t="s">
        <v>2657</v>
      </c>
      <c r="V523" s="8">
        <v>139.48870539520155</v>
      </c>
      <c r="W523" s="8" t="s">
        <v>2657</v>
      </c>
      <c r="X523" s="8"/>
    </row>
    <row r="524" spans="1:24" x14ac:dyDescent="0.3">
      <c r="A524" s="1" t="s">
        <v>1002</v>
      </c>
      <c r="B524" s="1" t="s">
        <v>1003</v>
      </c>
      <c r="C524" s="1" t="s">
        <v>1586</v>
      </c>
      <c r="D524" s="1" t="s">
        <v>29</v>
      </c>
      <c r="F524" s="1">
        <v>2004</v>
      </c>
      <c r="G524" s="1" t="s">
        <v>47</v>
      </c>
      <c r="H524" s="1">
        <v>2020</v>
      </c>
      <c r="I524" s="1" t="s">
        <v>1597</v>
      </c>
      <c r="J524" s="6">
        <v>22826</v>
      </c>
      <c r="K524" s="6">
        <v>22826</v>
      </c>
      <c r="L524" s="21">
        <v>1</v>
      </c>
      <c r="M524" s="1">
        <v>380</v>
      </c>
      <c r="N524" s="1" t="s">
        <v>1589</v>
      </c>
      <c r="O524" s="1">
        <v>2003</v>
      </c>
      <c r="P524" s="1">
        <v>0.95</v>
      </c>
      <c r="Q524" s="22">
        <v>43922</v>
      </c>
      <c r="R524" s="8">
        <v>175.53351441338825</v>
      </c>
      <c r="S524" s="9" t="s">
        <v>2657</v>
      </c>
      <c r="T524" s="8">
        <v>161.09594322264084</v>
      </c>
      <c r="U524" s="9" t="s">
        <v>2657</v>
      </c>
      <c r="V524" s="8">
        <v>138.42512923858757</v>
      </c>
      <c r="W524" s="8" t="s">
        <v>2657</v>
      </c>
      <c r="X524" s="8"/>
    </row>
    <row r="525" spans="1:24" x14ac:dyDescent="0.3">
      <c r="A525" s="1" t="s">
        <v>192</v>
      </c>
      <c r="B525" s="1" t="s">
        <v>193</v>
      </c>
      <c r="C525" s="1" t="s">
        <v>1586</v>
      </c>
      <c r="D525" s="1" t="s">
        <v>29</v>
      </c>
      <c r="F525" s="1">
        <v>1988</v>
      </c>
      <c r="G525" s="1" t="s">
        <v>25</v>
      </c>
      <c r="H525" s="1">
        <v>2022</v>
      </c>
      <c r="I525" s="1" t="s">
        <v>1599</v>
      </c>
      <c r="J525" s="6">
        <v>7141</v>
      </c>
      <c r="K525" s="6">
        <v>6765</v>
      </c>
      <c r="L525" s="21">
        <v>0.94734631004061054</v>
      </c>
      <c r="M525" s="1">
        <v>130</v>
      </c>
      <c r="N525" s="1" t="s">
        <v>1589</v>
      </c>
      <c r="O525" s="1">
        <v>5</v>
      </c>
      <c r="P525" s="1">
        <v>0.65</v>
      </c>
      <c r="Q525" s="22">
        <v>44908</v>
      </c>
      <c r="R525" s="8">
        <v>147.88518694860664</v>
      </c>
      <c r="S525" s="9" t="s">
        <v>2657</v>
      </c>
      <c r="T525" s="8">
        <v>145.39675395602856</v>
      </c>
      <c r="U525" s="9" t="s">
        <v>2657</v>
      </c>
      <c r="V525" s="8">
        <v>135.34958969332027</v>
      </c>
      <c r="W525" s="8" t="s">
        <v>2657</v>
      </c>
      <c r="X525" s="8"/>
    </row>
    <row r="526" spans="1:24" x14ac:dyDescent="0.3">
      <c r="A526" s="1" t="s">
        <v>620</v>
      </c>
      <c r="B526" s="1" t="s">
        <v>1923</v>
      </c>
      <c r="C526" s="1" t="s">
        <v>1586</v>
      </c>
      <c r="D526" s="1" t="s">
        <v>29</v>
      </c>
      <c r="F526" s="1">
        <v>1971</v>
      </c>
      <c r="G526" s="1" t="s">
        <v>25</v>
      </c>
      <c r="H526" s="1">
        <v>2022</v>
      </c>
      <c r="I526" s="1" t="s">
        <v>1818</v>
      </c>
      <c r="J526" s="6">
        <v>31184</v>
      </c>
      <c r="K526" s="6">
        <v>27181</v>
      </c>
      <c r="L526" s="21">
        <v>0.87163288866085176</v>
      </c>
      <c r="M526" s="1">
        <v>407</v>
      </c>
      <c r="N526" s="1" t="s">
        <v>1589</v>
      </c>
      <c r="O526" s="1">
        <v>7</v>
      </c>
      <c r="P526" s="1" t="s">
        <v>18</v>
      </c>
      <c r="Q526" s="22" t="s">
        <v>18</v>
      </c>
      <c r="R526" s="8">
        <v>117.67603899435608</v>
      </c>
      <c r="S526" s="9" t="s">
        <v>2657</v>
      </c>
      <c r="T526" s="8">
        <v>112.73057978450487</v>
      </c>
      <c r="U526" s="9" t="s">
        <v>2657</v>
      </c>
      <c r="V526" s="8">
        <v>127.70464340687532</v>
      </c>
      <c r="W526" s="8" t="s">
        <v>2657</v>
      </c>
      <c r="X526" s="8"/>
    </row>
    <row r="527" spans="1:24" x14ac:dyDescent="0.3">
      <c r="A527" s="1" t="s">
        <v>272</v>
      </c>
      <c r="B527" s="1" t="s">
        <v>273</v>
      </c>
      <c r="C527" s="1" t="s">
        <v>1586</v>
      </c>
      <c r="D527" s="1" t="s">
        <v>29</v>
      </c>
      <c r="F527" s="1">
        <v>1971</v>
      </c>
      <c r="G527" s="1" t="s">
        <v>19</v>
      </c>
      <c r="H527" s="1">
        <v>2022</v>
      </c>
      <c r="I527" s="1" t="s">
        <v>1599</v>
      </c>
      <c r="J527" s="6">
        <v>84404</v>
      </c>
      <c r="K527" s="6">
        <v>70830</v>
      </c>
      <c r="L527" s="21">
        <v>0.83917823799819913</v>
      </c>
      <c r="M527" s="1">
        <v>677</v>
      </c>
      <c r="N527" s="1" t="s">
        <v>1589</v>
      </c>
      <c r="O527" s="1">
        <v>22</v>
      </c>
      <c r="P527" s="1" t="s">
        <v>18</v>
      </c>
      <c r="Q527" s="22" t="s">
        <v>18</v>
      </c>
      <c r="R527" s="8">
        <v>159.26518529927492</v>
      </c>
      <c r="S527" s="9" t="s">
        <v>2657</v>
      </c>
      <c r="T527" s="8">
        <v>163.41495367518127</v>
      </c>
      <c r="U527" s="9" t="s">
        <v>2657</v>
      </c>
      <c r="V527" s="8">
        <v>100.37686069380599</v>
      </c>
      <c r="W527" s="8" t="s">
        <v>2657</v>
      </c>
      <c r="X527" s="8"/>
    </row>
    <row r="528" spans="1:24" x14ac:dyDescent="0.3">
      <c r="A528" s="1" t="s">
        <v>2075</v>
      </c>
      <c r="B528" s="1" t="s">
        <v>212</v>
      </c>
      <c r="C528" s="1" t="s">
        <v>1586</v>
      </c>
      <c r="D528" s="1" t="s">
        <v>29</v>
      </c>
      <c r="F528" s="1">
        <v>1972</v>
      </c>
      <c r="G528" s="1" t="s">
        <v>21</v>
      </c>
      <c r="H528" s="1">
        <v>2020</v>
      </c>
      <c r="I528" s="1" t="s">
        <v>1601</v>
      </c>
      <c r="J528" s="6">
        <v>21466</v>
      </c>
      <c r="K528" s="6">
        <v>19767</v>
      </c>
      <c r="L528" s="21">
        <v>0.92085157924159133</v>
      </c>
      <c r="M528" s="1">
        <v>151</v>
      </c>
      <c r="N528" s="1" t="s">
        <v>1589</v>
      </c>
      <c r="O528" s="1">
        <v>7</v>
      </c>
      <c r="P528" s="1">
        <v>0.6</v>
      </c>
      <c r="Q528" s="22">
        <v>43719</v>
      </c>
      <c r="R528" s="8">
        <v>79.563560980154662</v>
      </c>
      <c r="S528" s="9" t="s">
        <v>2657</v>
      </c>
      <c r="T528" s="8">
        <v>78.201273176185595</v>
      </c>
      <c r="U528" s="9" t="s">
        <v>2657</v>
      </c>
      <c r="V528" s="8">
        <v>88.62695238982576</v>
      </c>
      <c r="W528" s="8" t="s">
        <v>2657</v>
      </c>
      <c r="X528" s="8"/>
    </row>
    <row r="529" spans="1:24" x14ac:dyDescent="0.3">
      <c r="A529" s="1" t="s">
        <v>2107</v>
      </c>
      <c r="B529" s="1" t="s">
        <v>2108</v>
      </c>
      <c r="C529" s="1" t="s">
        <v>1586</v>
      </c>
      <c r="D529" s="1" t="s">
        <v>29</v>
      </c>
      <c r="F529" s="1">
        <v>2014</v>
      </c>
      <c r="J529" s="6">
        <v>13578</v>
      </c>
      <c r="K529" s="6">
        <v>12000</v>
      </c>
      <c r="L529" s="21">
        <v>0.88378258948298716</v>
      </c>
      <c r="M529" s="1">
        <v>442</v>
      </c>
      <c r="N529" s="1" t="s">
        <v>1589</v>
      </c>
      <c r="O529" s="1">
        <v>8</v>
      </c>
      <c r="P529" s="1" t="s">
        <v>18</v>
      </c>
      <c r="Q529" s="22" t="s">
        <v>18</v>
      </c>
      <c r="R529" s="8">
        <v>99.796771247606429</v>
      </c>
      <c r="S529" s="9" t="s">
        <v>2657</v>
      </c>
      <c r="T529" s="8">
        <v>86.64202091618796</v>
      </c>
      <c r="U529" s="9" t="s">
        <v>2657</v>
      </c>
      <c r="V529" s="8">
        <v>73.028727353071147</v>
      </c>
      <c r="W529" s="8" t="s">
        <v>2657</v>
      </c>
      <c r="X529" s="8"/>
    </row>
    <row r="530" spans="1:24" x14ac:dyDescent="0.3">
      <c r="A530" s="1" t="s">
        <v>2006</v>
      </c>
      <c r="B530" s="1" t="s">
        <v>1426</v>
      </c>
      <c r="C530" s="1" t="s">
        <v>1586</v>
      </c>
      <c r="D530" s="1" t="s">
        <v>29</v>
      </c>
      <c r="F530" s="1">
        <v>2012</v>
      </c>
      <c r="G530" s="1" t="s">
        <v>19</v>
      </c>
      <c r="H530" s="1">
        <v>2022</v>
      </c>
      <c r="I530" s="1" t="s">
        <v>1599</v>
      </c>
      <c r="J530" s="6">
        <v>45000</v>
      </c>
      <c r="K530" s="6">
        <v>3100</v>
      </c>
      <c r="L530" s="21">
        <v>6.8888888888888888E-2</v>
      </c>
      <c r="M530" s="1">
        <v>140</v>
      </c>
      <c r="N530" s="1" t="s">
        <v>28</v>
      </c>
      <c r="O530" s="1" t="s">
        <v>18</v>
      </c>
      <c r="P530" s="1" t="s">
        <v>18</v>
      </c>
      <c r="Q530" s="22" t="s">
        <v>18</v>
      </c>
      <c r="R530" s="8">
        <v>36.365433333333335</v>
      </c>
      <c r="S530" s="9" t="s">
        <v>2657</v>
      </c>
      <c r="T530" s="8">
        <v>35.092941777777774</v>
      </c>
      <c r="U530" s="9" t="s">
        <v>2657</v>
      </c>
      <c r="V530" s="8">
        <v>38.977075111111105</v>
      </c>
      <c r="W530" s="8" t="s">
        <v>2657</v>
      </c>
      <c r="X530" s="8"/>
    </row>
    <row r="531" spans="1:24" x14ac:dyDescent="0.3">
      <c r="A531" s="1" t="s">
        <v>1230</v>
      </c>
      <c r="B531" s="1" t="s">
        <v>2587</v>
      </c>
      <c r="C531" s="1" t="s">
        <v>1586</v>
      </c>
      <c r="D531" s="1" t="s">
        <v>29</v>
      </c>
      <c r="F531" s="1">
        <v>1997</v>
      </c>
      <c r="J531" s="6">
        <v>10136</v>
      </c>
      <c r="K531" s="6">
        <v>9977</v>
      </c>
      <c r="L531" s="21">
        <v>0.9843133385951065</v>
      </c>
      <c r="M531" s="1">
        <v>240</v>
      </c>
      <c r="N531" s="1" t="s">
        <v>1590</v>
      </c>
      <c r="Q531" s="22"/>
      <c r="R531" s="8">
        <v>207.50963891081295</v>
      </c>
      <c r="S531" s="9" t="s">
        <v>2656</v>
      </c>
      <c r="T531" s="8">
        <v>171.87321921862667</v>
      </c>
      <c r="U531" s="9" t="s">
        <v>2657</v>
      </c>
      <c r="V531" s="8">
        <v>30.728324782951855</v>
      </c>
      <c r="W531" s="8" t="s">
        <v>2657</v>
      </c>
      <c r="X531" s="8"/>
    </row>
    <row r="532" spans="1:24" x14ac:dyDescent="0.3">
      <c r="A532" s="1" t="s">
        <v>1048</v>
      </c>
      <c r="B532" s="1" t="s">
        <v>1049</v>
      </c>
      <c r="C532" s="1" t="s">
        <v>1586</v>
      </c>
      <c r="D532" s="1" t="s">
        <v>29</v>
      </c>
      <c r="F532" s="1">
        <v>2017</v>
      </c>
      <c r="G532" s="1" t="s">
        <v>25</v>
      </c>
      <c r="H532" s="1">
        <v>2016</v>
      </c>
      <c r="I532" s="1" t="s">
        <v>1598</v>
      </c>
      <c r="J532" s="6">
        <v>14835</v>
      </c>
      <c r="K532" s="6">
        <v>14273</v>
      </c>
      <c r="L532" s="21">
        <v>0.96211661611054933</v>
      </c>
      <c r="M532" s="1">
        <v>610</v>
      </c>
      <c r="N532" s="1" t="s">
        <v>1590</v>
      </c>
      <c r="O532" s="1" t="s">
        <v>18</v>
      </c>
      <c r="P532" s="1">
        <v>0.876</v>
      </c>
      <c r="Q532" s="22">
        <v>44712</v>
      </c>
      <c r="R532" s="8"/>
      <c r="S532" s="9"/>
      <c r="T532" s="8"/>
      <c r="U532" s="9"/>
      <c r="V532" s="8"/>
      <c r="W532" s="8"/>
      <c r="X532" s="8"/>
    </row>
    <row r="533" spans="1:24" x14ac:dyDescent="0.3">
      <c r="A533" s="1" t="s">
        <v>952</v>
      </c>
      <c r="B533" s="1" t="s">
        <v>953</v>
      </c>
      <c r="C533" s="1" t="s">
        <v>1586</v>
      </c>
      <c r="D533" s="1" t="s">
        <v>29</v>
      </c>
      <c r="F533" s="1">
        <v>2015</v>
      </c>
      <c r="G533" s="1" t="s">
        <v>19</v>
      </c>
      <c r="H533" s="1">
        <v>2021</v>
      </c>
      <c r="I533" s="1" t="s">
        <v>1603</v>
      </c>
      <c r="J533" s="6">
        <v>44927</v>
      </c>
      <c r="K533" s="6">
        <v>40554</v>
      </c>
      <c r="L533" s="21">
        <v>0.90266432212255432</v>
      </c>
      <c r="M533" s="1">
        <v>634</v>
      </c>
      <c r="N533" s="1" t="s">
        <v>1589</v>
      </c>
      <c r="O533" s="1" t="s">
        <v>18</v>
      </c>
      <c r="P533" s="1" t="s">
        <v>18</v>
      </c>
      <c r="Q533" s="22" t="s">
        <v>18</v>
      </c>
      <c r="R533" s="8"/>
      <c r="S533" s="9"/>
      <c r="T533" s="8"/>
      <c r="U533" s="9"/>
      <c r="V533" s="8"/>
      <c r="W533" s="8"/>
      <c r="X533" s="8"/>
    </row>
    <row r="534" spans="1:24" x14ac:dyDescent="0.3">
      <c r="A534" s="1" t="s">
        <v>1839</v>
      </c>
      <c r="B534" s="1" t="s">
        <v>1840</v>
      </c>
      <c r="C534" s="1" t="s">
        <v>1586</v>
      </c>
      <c r="D534" s="1" t="s">
        <v>29</v>
      </c>
      <c r="F534" s="1">
        <v>1986</v>
      </c>
      <c r="J534" s="6">
        <v>54696</v>
      </c>
      <c r="K534" s="6">
        <v>54696</v>
      </c>
      <c r="L534" s="21">
        <v>1</v>
      </c>
      <c r="M534" s="1">
        <v>769</v>
      </c>
      <c r="N534" s="1" t="s">
        <v>1821</v>
      </c>
      <c r="O534" s="1" t="s">
        <v>18</v>
      </c>
      <c r="P534" s="1">
        <v>0.79500000000000004</v>
      </c>
      <c r="Q534" s="22">
        <v>44778</v>
      </c>
      <c r="R534" s="8"/>
      <c r="S534" s="9"/>
      <c r="T534" s="8"/>
      <c r="U534" s="9"/>
      <c r="V534" s="8"/>
      <c r="W534" s="8"/>
      <c r="X534" s="8"/>
    </row>
    <row r="535" spans="1:24" x14ac:dyDescent="0.3">
      <c r="A535" s="1" t="s">
        <v>1843</v>
      </c>
      <c r="B535" s="1" t="s">
        <v>972</v>
      </c>
      <c r="C535" s="1" t="s">
        <v>1586</v>
      </c>
      <c r="D535" s="1" t="s">
        <v>29</v>
      </c>
      <c r="F535" s="1">
        <v>1986</v>
      </c>
      <c r="J535" s="6">
        <v>82044</v>
      </c>
      <c r="K535" s="6">
        <v>82044</v>
      </c>
      <c r="L535" s="21">
        <v>1</v>
      </c>
      <c r="M535" s="1">
        <v>1261</v>
      </c>
      <c r="N535" s="1" t="s">
        <v>1821</v>
      </c>
      <c r="O535" s="1" t="s">
        <v>18</v>
      </c>
      <c r="P535" s="1">
        <v>0.79500000000000004</v>
      </c>
      <c r="Q535" s="22">
        <v>44778</v>
      </c>
      <c r="R535" s="8"/>
      <c r="S535" s="9"/>
      <c r="T535" s="8"/>
      <c r="U535" s="9"/>
      <c r="V535" s="8"/>
      <c r="W535" s="8"/>
      <c r="X535" s="8"/>
    </row>
    <row r="536" spans="1:24" x14ac:dyDescent="0.3">
      <c r="A536" s="1" t="s">
        <v>1866</v>
      </c>
      <c r="B536" s="1" t="s">
        <v>1424</v>
      </c>
      <c r="C536" s="1" t="s">
        <v>1586</v>
      </c>
      <c r="D536" s="1" t="s">
        <v>29</v>
      </c>
      <c r="F536" s="1">
        <v>1999</v>
      </c>
      <c r="G536" s="1" t="s">
        <v>25</v>
      </c>
      <c r="H536" s="1">
        <v>2022</v>
      </c>
      <c r="I536" s="1" t="s">
        <v>1599</v>
      </c>
      <c r="J536" s="6">
        <v>50804</v>
      </c>
      <c r="K536" s="6">
        <v>49142</v>
      </c>
      <c r="L536" s="21">
        <v>0.96728604046925437</v>
      </c>
      <c r="M536" s="1">
        <v>396</v>
      </c>
      <c r="N536" s="1" t="s">
        <v>1589</v>
      </c>
      <c r="O536" s="1">
        <v>2</v>
      </c>
      <c r="P536" s="1">
        <v>0.56999999999999995</v>
      </c>
      <c r="Q536" s="22">
        <v>44980</v>
      </c>
      <c r="R536" s="8"/>
      <c r="S536" s="9"/>
      <c r="T536" s="8"/>
      <c r="U536" s="9"/>
      <c r="V536" s="8"/>
      <c r="W536" s="8"/>
      <c r="X536" s="8"/>
    </row>
    <row r="537" spans="1:24" x14ac:dyDescent="0.3">
      <c r="A537" s="1" t="s">
        <v>1877</v>
      </c>
      <c r="B537" s="1" t="s">
        <v>1239</v>
      </c>
      <c r="C537" s="1" t="s">
        <v>1586</v>
      </c>
      <c r="D537" s="1" t="s">
        <v>29</v>
      </c>
      <c r="F537" s="1">
        <v>1986</v>
      </c>
      <c r="G537" s="1" t="s">
        <v>25</v>
      </c>
      <c r="H537" s="1">
        <v>2023</v>
      </c>
      <c r="I537" s="1" t="s">
        <v>1783</v>
      </c>
      <c r="J537" s="6">
        <v>83384</v>
      </c>
      <c r="K537" s="6">
        <v>60000</v>
      </c>
      <c r="L537" s="21">
        <v>0.71956250599635418</v>
      </c>
      <c r="M537" s="1">
        <v>790</v>
      </c>
      <c r="N537" s="1" t="s">
        <v>1821</v>
      </c>
      <c r="O537" s="1" t="s">
        <v>18</v>
      </c>
      <c r="P537" s="1" t="s">
        <v>18</v>
      </c>
      <c r="Q537" s="22" t="s">
        <v>18</v>
      </c>
      <c r="R537" s="8"/>
      <c r="S537" s="9"/>
      <c r="T537" s="8"/>
      <c r="U537" s="9"/>
      <c r="V537" s="8"/>
      <c r="W537" s="8"/>
      <c r="X537" s="8"/>
    </row>
    <row r="538" spans="1:24" x14ac:dyDescent="0.3">
      <c r="A538" s="1" t="s">
        <v>1889</v>
      </c>
      <c r="B538" s="1" t="s">
        <v>805</v>
      </c>
      <c r="C538" s="1" t="s">
        <v>1586</v>
      </c>
      <c r="D538" s="1" t="s">
        <v>29</v>
      </c>
      <c r="F538" s="1">
        <v>1996</v>
      </c>
      <c r="G538" s="1" t="s">
        <v>25</v>
      </c>
      <c r="H538" s="1">
        <v>2022</v>
      </c>
      <c r="I538" s="1" t="s">
        <v>1818</v>
      </c>
      <c r="J538" s="6">
        <v>76760</v>
      </c>
      <c r="K538" s="6">
        <v>76000</v>
      </c>
      <c r="L538" s="21">
        <v>0.99009900990099009</v>
      </c>
      <c r="M538" s="1">
        <v>608</v>
      </c>
      <c r="N538" s="1" t="s">
        <v>1821</v>
      </c>
      <c r="O538" s="1" t="s">
        <v>18</v>
      </c>
      <c r="P538" s="1">
        <v>0.627</v>
      </c>
      <c r="Q538" s="22">
        <v>44713</v>
      </c>
      <c r="R538" s="8"/>
      <c r="S538" s="9"/>
      <c r="T538" s="8"/>
      <c r="U538" s="9"/>
      <c r="V538" s="8"/>
      <c r="W538" s="8"/>
      <c r="X538" s="8"/>
    </row>
    <row r="539" spans="1:24" x14ac:dyDescent="0.3">
      <c r="A539" s="1" t="s">
        <v>1906</v>
      </c>
      <c r="B539" s="1" t="s">
        <v>985</v>
      </c>
      <c r="C539" s="1" t="s">
        <v>1586</v>
      </c>
      <c r="D539" s="1" t="s">
        <v>29</v>
      </c>
      <c r="F539" s="1">
        <v>1995</v>
      </c>
      <c r="G539" s="1" t="s">
        <v>19</v>
      </c>
      <c r="H539" s="1">
        <v>2021</v>
      </c>
      <c r="I539" s="1" t="s">
        <v>1597</v>
      </c>
      <c r="J539" s="6">
        <v>36836</v>
      </c>
      <c r="K539" s="6">
        <v>36836</v>
      </c>
      <c r="L539" s="21">
        <v>1</v>
      </c>
      <c r="M539" s="1">
        <v>403</v>
      </c>
      <c r="N539" s="1" t="s">
        <v>1589</v>
      </c>
      <c r="O539" s="1">
        <v>3</v>
      </c>
      <c r="P539" s="1">
        <v>0.55700000000000005</v>
      </c>
      <c r="Q539" s="22">
        <v>44957</v>
      </c>
      <c r="R539" s="8"/>
      <c r="S539" s="9"/>
      <c r="T539" s="8"/>
      <c r="U539" s="9"/>
      <c r="V539" s="8"/>
      <c r="W539" s="8"/>
      <c r="X539" s="8"/>
    </row>
    <row r="540" spans="1:24" x14ac:dyDescent="0.3">
      <c r="A540" s="1" t="s">
        <v>1423</v>
      </c>
      <c r="B540" s="1" t="s">
        <v>1927</v>
      </c>
      <c r="C540" s="1" t="s">
        <v>1586</v>
      </c>
      <c r="D540" s="1" t="s">
        <v>29</v>
      </c>
      <c r="F540" s="1">
        <v>2016</v>
      </c>
      <c r="J540" s="6">
        <v>10438</v>
      </c>
      <c r="K540" s="6">
        <v>9746</v>
      </c>
      <c r="L540" s="21">
        <v>0.93370377466947696</v>
      </c>
      <c r="M540" s="1">
        <v>98</v>
      </c>
      <c r="N540" s="1" t="s">
        <v>1589</v>
      </c>
      <c r="O540" s="1">
        <v>4</v>
      </c>
      <c r="P540" s="1" t="s">
        <v>18</v>
      </c>
      <c r="Q540" s="22" t="s">
        <v>18</v>
      </c>
      <c r="R540" s="8"/>
      <c r="S540" s="9"/>
      <c r="T540" s="8"/>
      <c r="U540" s="9"/>
      <c r="V540" s="8"/>
      <c r="W540" s="8"/>
      <c r="X540" s="8"/>
    </row>
    <row r="541" spans="1:24" x14ac:dyDescent="0.3">
      <c r="A541" s="1" t="s">
        <v>386</v>
      </c>
      <c r="B541" s="1" t="s">
        <v>1985</v>
      </c>
      <c r="C541" s="1" t="s">
        <v>1586</v>
      </c>
      <c r="D541" s="1" t="s">
        <v>29</v>
      </c>
      <c r="F541" s="1">
        <v>1995</v>
      </c>
      <c r="J541" s="6">
        <v>12050</v>
      </c>
      <c r="K541" s="6">
        <v>9500</v>
      </c>
      <c r="L541" s="21">
        <v>0.78838174273858919</v>
      </c>
      <c r="M541" s="1">
        <v>31</v>
      </c>
      <c r="N541" s="1" t="s">
        <v>1821</v>
      </c>
      <c r="O541" s="1" t="s">
        <v>18</v>
      </c>
      <c r="P541" s="1" t="s">
        <v>18</v>
      </c>
      <c r="Q541" s="22" t="s">
        <v>18</v>
      </c>
      <c r="R541" s="8"/>
      <c r="S541" s="9"/>
      <c r="T541" s="8"/>
      <c r="U541" s="9"/>
      <c r="V541" s="8"/>
      <c r="W541" s="8"/>
      <c r="X541" s="8"/>
    </row>
    <row r="542" spans="1:24" x14ac:dyDescent="0.3">
      <c r="A542" s="1" t="s">
        <v>196</v>
      </c>
      <c r="B542" s="1" t="s">
        <v>197</v>
      </c>
      <c r="C542" s="1" t="s">
        <v>1586</v>
      </c>
      <c r="D542" s="1" t="s">
        <v>29</v>
      </c>
      <c r="F542" s="1">
        <v>1987</v>
      </c>
      <c r="G542" s="1" t="s">
        <v>25</v>
      </c>
      <c r="H542" s="1">
        <v>2022</v>
      </c>
      <c r="I542" s="1" t="s">
        <v>1818</v>
      </c>
      <c r="J542" s="6">
        <v>55585</v>
      </c>
      <c r="K542" s="6">
        <v>53119</v>
      </c>
      <c r="L542" s="21">
        <v>0.95563551317801565</v>
      </c>
      <c r="M542" s="1">
        <v>527</v>
      </c>
      <c r="N542" s="1" t="s">
        <v>1821</v>
      </c>
      <c r="O542" s="1" t="s">
        <v>18</v>
      </c>
      <c r="P542" s="1" t="s">
        <v>18</v>
      </c>
      <c r="Q542" s="22" t="s">
        <v>18</v>
      </c>
      <c r="R542" s="8"/>
      <c r="S542" s="9"/>
      <c r="T542" s="8"/>
      <c r="U542" s="9"/>
      <c r="V542" s="8"/>
      <c r="W542" s="8"/>
      <c r="X542" s="8"/>
    </row>
    <row r="543" spans="1:24" x14ac:dyDescent="0.3">
      <c r="A543" s="1" t="s">
        <v>2170</v>
      </c>
      <c r="B543" s="1" t="s">
        <v>2171</v>
      </c>
      <c r="C543" s="1" t="s">
        <v>1586</v>
      </c>
      <c r="D543" s="1" t="s">
        <v>29</v>
      </c>
      <c r="F543" s="1">
        <v>1996</v>
      </c>
      <c r="G543" s="1" t="s">
        <v>25</v>
      </c>
      <c r="H543" s="1">
        <v>2022</v>
      </c>
      <c r="I543" s="1" t="s">
        <v>1818</v>
      </c>
      <c r="J543" s="6">
        <v>40567</v>
      </c>
      <c r="K543" s="6">
        <v>34322</v>
      </c>
      <c r="L543" s="21">
        <v>0.84605714003993393</v>
      </c>
      <c r="M543" s="1">
        <v>512</v>
      </c>
      <c r="N543" s="1" t="s">
        <v>1821</v>
      </c>
      <c r="O543" s="1" t="s">
        <v>18</v>
      </c>
      <c r="P543" s="1" t="s">
        <v>18</v>
      </c>
      <c r="Q543" s="22" t="s">
        <v>18</v>
      </c>
      <c r="R543" s="8"/>
      <c r="S543" s="9"/>
      <c r="T543" s="8"/>
      <c r="U543" s="9"/>
      <c r="V543" s="8"/>
      <c r="W543" s="8"/>
      <c r="X543" s="8"/>
    </row>
    <row r="544" spans="1:24" x14ac:dyDescent="0.3">
      <c r="A544" s="1" t="s">
        <v>713</v>
      </c>
      <c r="B544" s="1" t="s">
        <v>714</v>
      </c>
      <c r="C544" s="1" t="s">
        <v>1586</v>
      </c>
      <c r="D544" s="1" t="s">
        <v>29</v>
      </c>
      <c r="F544" s="1">
        <v>1985</v>
      </c>
      <c r="G544" s="1" t="s">
        <v>25</v>
      </c>
      <c r="H544" s="1">
        <v>2022</v>
      </c>
      <c r="I544" s="1" t="s">
        <v>1599</v>
      </c>
      <c r="J544" s="6">
        <v>42237</v>
      </c>
      <c r="K544" s="6">
        <v>42150</v>
      </c>
      <c r="L544" s="21">
        <v>0.99794019461609484</v>
      </c>
      <c r="M544" s="1">
        <v>591</v>
      </c>
      <c r="N544" s="1" t="s">
        <v>1589</v>
      </c>
      <c r="O544" s="1">
        <v>1</v>
      </c>
      <c r="P544" s="1">
        <v>0.6</v>
      </c>
      <c r="Q544" s="22">
        <v>44819</v>
      </c>
      <c r="R544" s="8"/>
      <c r="S544" s="9"/>
      <c r="T544" s="8"/>
      <c r="U544" s="9"/>
      <c r="V544" s="8"/>
      <c r="W544" s="8"/>
      <c r="X544" s="8"/>
    </row>
    <row r="545" spans="1:24" x14ac:dyDescent="0.3">
      <c r="A545" s="1" t="s">
        <v>2340</v>
      </c>
      <c r="B545" s="1" t="s">
        <v>2341</v>
      </c>
      <c r="C545" s="1" t="s">
        <v>1586</v>
      </c>
      <c r="D545" s="1" t="s">
        <v>29</v>
      </c>
      <c r="F545" s="1">
        <v>2012</v>
      </c>
      <c r="J545" s="6">
        <v>12916</v>
      </c>
      <c r="K545" s="6">
        <v>12916</v>
      </c>
      <c r="L545" s="21">
        <v>1</v>
      </c>
      <c r="M545" s="1">
        <v>405</v>
      </c>
      <c r="N545" s="1" t="s">
        <v>28</v>
      </c>
      <c r="O545" s="1" t="s">
        <v>18</v>
      </c>
      <c r="P545" s="1">
        <v>0.95</v>
      </c>
      <c r="Q545" s="22">
        <v>44946</v>
      </c>
      <c r="R545" s="8"/>
      <c r="S545" s="9"/>
      <c r="T545" s="8"/>
      <c r="U545" s="9"/>
      <c r="V545" s="8"/>
      <c r="W545" s="8"/>
      <c r="X545" s="8"/>
    </row>
    <row r="546" spans="1:24" x14ac:dyDescent="0.3">
      <c r="A546" s="1" t="s">
        <v>2347</v>
      </c>
      <c r="B546" s="1" t="s">
        <v>263</v>
      </c>
      <c r="C546" s="1" t="s">
        <v>1586</v>
      </c>
      <c r="D546" s="1" t="s">
        <v>29</v>
      </c>
      <c r="F546" s="1">
        <v>2008</v>
      </c>
      <c r="J546" s="6">
        <v>4819</v>
      </c>
      <c r="K546" s="6">
        <v>4700</v>
      </c>
      <c r="L546" s="21">
        <v>0.97530608009960573</v>
      </c>
      <c r="M546" s="1">
        <v>106</v>
      </c>
      <c r="N546" s="1" t="s">
        <v>1589</v>
      </c>
      <c r="O546" s="1">
        <v>16</v>
      </c>
      <c r="P546" s="1" t="s">
        <v>18</v>
      </c>
      <c r="Q546" s="22" t="s">
        <v>18</v>
      </c>
      <c r="R546" s="8"/>
      <c r="S546" s="9"/>
      <c r="T546" s="8"/>
      <c r="U546" s="9"/>
      <c r="V546" s="8"/>
      <c r="W546" s="8"/>
      <c r="X546" s="8"/>
    </row>
    <row r="547" spans="1:24" x14ac:dyDescent="0.3">
      <c r="A547" s="1" t="s">
        <v>550</v>
      </c>
      <c r="B547" s="1" t="s">
        <v>551</v>
      </c>
      <c r="C547" s="1" t="s">
        <v>1586</v>
      </c>
      <c r="D547" s="1" t="s">
        <v>29</v>
      </c>
      <c r="F547" s="1">
        <v>1997</v>
      </c>
      <c r="G547" s="1" t="s">
        <v>19</v>
      </c>
      <c r="H547" s="1">
        <v>2016</v>
      </c>
      <c r="I547" s="1" t="s">
        <v>1601</v>
      </c>
      <c r="J547" s="6">
        <v>41453</v>
      </c>
      <c r="K547" s="6">
        <v>33518</v>
      </c>
      <c r="L547" s="21">
        <v>0.80857838998383713</v>
      </c>
      <c r="M547" s="1">
        <v>0</v>
      </c>
      <c r="N547" s="1" t="s">
        <v>1589</v>
      </c>
      <c r="O547" s="1">
        <v>11</v>
      </c>
      <c r="P547" s="1" t="s">
        <v>18</v>
      </c>
      <c r="Q547" s="22" t="s">
        <v>18</v>
      </c>
      <c r="R547" s="8"/>
      <c r="S547" s="9"/>
      <c r="T547" s="8"/>
      <c r="U547" s="9"/>
      <c r="V547" s="8"/>
      <c r="W547" s="8"/>
      <c r="X547" s="8"/>
    </row>
    <row r="548" spans="1:24" x14ac:dyDescent="0.3">
      <c r="A548" s="1" t="s">
        <v>954</v>
      </c>
      <c r="B548" s="1" t="s">
        <v>2594</v>
      </c>
      <c r="C548" s="1" t="s">
        <v>1586</v>
      </c>
      <c r="D548" s="1" t="s">
        <v>29</v>
      </c>
      <c r="F548" s="1">
        <v>2013</v>
      </c>
      <c r="J548" s="6">
        <v>3006</v>
      </c>
      <c r="K548" s="6">
        <v>1572</v>
      </c>
      <c r="L548" s="21">
        <v>0.52295409181636732</v>
      </c>
      <c r="M548" s="1">
        <v>0</v>
      </c>
      <c r="N548" s="1" t="s">
        <v>28</v>
      </c>
      <c r="Q548" s="22"/>
      <c r="R548" s="8"/>
      <c r="S548" s="9"/>
      <c r="T548" s="8"/>
      <c r="U548" s="9"/>
      <c r="V548" s="8"/>
      <c r="W548" s="8"/>
      <c r="X548" s="8"/>
    </row>
    <row r="549" spans="1:24" x14ac:dyDescent="0.3">
      <c r="A549" s="1" t="s">
        <v>954</v>
      </c>
      <c r="B549" s="1" t="s">
        <v>2595</v>
      </c>
      <c r="C549" s="1" t="s">
        <v>1586</v>
      </c>
      <c r="D549" s="1" t="s">
        <v>29</v>
      </c>
      <c r="F549" s="1">
        <v>2015</v>
      </c>
      <c r="J549" s="6">
        <v>2585</v>
      </c>
      <c r="K549" s="6">
        <v>2084</v>
      </c>
      <c r="L549" s="21">
        <v>0.80618955512572532</v>
      </c>
      <c r="M549" s="1">
        <v>0</v>
      </c>
      <c r="N549" s="1" t="s">
        <v>28</v>
      </c>
      <c r="Q549" s="22"/>
      <c r="R549" s="8"/>
      <c r="S549" s="9"/>
      <c r="T549" s="8"/>
      <c r="U549" s="9"/>
      <c r="V549" s="8"/>
      <c r="W549" s="8"/>
      <c r="X549" s="8"/>
    </row>
    <row r="550" spans="1:24" x14ac:dyDescent="0.3">
      <c r="A550" s="1" t="s">
        <v>2369</v>
      </c>
      <c r="B550" s="1" t="s">
        <v>2370</v>
      </c>
      <c r="C550" s="1" t="s">
        <v>1586</v>
      </c>
      <c r="D550" s="1" t="s">
        <v>12</v>
      </c>
      <c r="E550" s="1" t="s">
        <v>17</v>
      </c>
      <c r="F550" s="1">
        <v>2017</v>
      </c>
      <c r="G550" s="1" t="s">
        <v>25</v>
      </c>
      <c r="H550" s="1">
        <v>2023</v>
      </c>
      <c r="I550" s="1" t="s">
        <v>1783</v>
      </c>
      <c r="J550" s="6">
        <v>44016</v>
      </c>
      <c r="K550" s="6">
        <v>40499</v>
      </c>
      <c r="L550" s="21">
        <v>0.92009723736822968</v>
      </c>
      <c r="M550" s="1">
        <v>0</v>
      </c>
      <c r="N550" s="1" t="s">
        <v>1589</v>
      </c>
      <c r="O550" s="1">
        <v>6</v>
      </c>
      <c r="P550" s="1">
        <v>0.56000000000000005</v>
      </c>
      <c r="Q550" s="22">
        <v>44135</v>
      </c>
      <c r="R550" s="8">
        <v>856.38521673936759</v>
      </c>
      <c r="S550" s="9" t="s">
        <v>2654</v>
      </c>
      <c r="T550" s="8">
        <v>873.20133587786256</v>
      </c>
      <c r="U550" s="9" t="s">
        <v>2654</v>
      </c>
      <c r="V550" s="8">
        <v>887.71316112322791</v>
      </c>
      <c r="W550" s="8" t="s">
        <v>2654</v>
      </c>
      <c r="X550" s="8"/>
    </row>
    <row r="551" spans="1:24" x14ac:dyDescent="0.3">
      <c r="A551" s="1" t="s">
        <v>2307</v>
      </c>
      <c r="B551" s="1" t="s">
        <v>2308</v>
      </c>
      <c r="C551" s="1" t="s">
        <v>1586</v>
      </c>
      <c r="D551" s="1" t="s">
        <v>12</v>
      </c>
      <c r="E551" s="1" t="s">
        <v>17</v>
      </c>
      <c r="F551" s="1">
        <v>2022</v>
      </c>
      <c r="G551" s="1" t="s">
        <v>19</v>
      </c>
      <c r="H551" s="1">
        <v>2022</v>
      </c>
      <c r="I551" s="1" t="s">
        <v>1818</v>
      </c>
      <c r="J551" s="6">
        <v>39021</v>
      </c>
      <c r="K551" s="6">
        <v>27500</v>
      </c>
      <c r="L551" s="21">
        <v>0.70474872504548836</v>
      </c>
      <c r="M551" s="1">
        <v>0</v>
      </c>
      <c r="N551" s="1" t="s">
        <v>1589</v>
      </c>
      <c r="O551" s="1">
        <v>2019</v>
      </c>
      <c r="P551" s="1">
        <v>0.56000000000000005</v>
      </c>
      <c r="Q551" s="22">
        <v>44837</v>
      </c>
      <c r="R551" s="8" t="s">
        <v>18</v>
      </c>
      <c r="S551" s="9" t="s">
        <v>2654</v>
      </c>
      <c r="T551" s="8" t="s">
        <v>18</v>
      </c>
      <c r="U551" s="9" t="s">
        <v>2654</v>
      </c>
      <c r="V551" s="8">
        <v>850.64653391763409</v>
      </c>
      <c r="W551" s="8" t="s">
        <v>2654</v>
      </c>
      <c r="X551" s="8"/>
    </row>
    <row r="552" spans="1:24" x14ac:dyDescent="0.3">
      <c r="A552" s="1" t="s">
        <v>857</v>
      </c>
      <c r="B552" s="1" t="s">
        <v>2566</v>
      </c>
      <c r="C552" s="1" t="s">
        <v>1586</v>
      </c>
      <c r="D552" s="1" t="s">
        <v>12</v>
      </c>
      <c r="E552" s="1" t="s">
        <v>17</v>
      </c>
      <c r="F552" s="1">
        <v>2017</v>
      </c>
      <c r="J552" s="6">
        <v>20645.79</v>
      </c>
      <c r="K552" s="6">
        <v>20000</v>
      </c>
      <c r="L552" s="21">
        <v>0.96872049943354066</v>
      </c>
      <c r="M552" s="1">
        <v>0</v>
      </c>
      <c r="N552" s="1" t="s">
        <v>1589</v>
      </c>
      <c r="O552" s="1" t="s">
        <v>18</v>
      </c>
      <c r="P552" s="1" t="s">
        <v>18</v>
      </c>
      <c r="Q552" s="22" t="s">
        <v>18</v>
      </c>
      <c r="R552" s="8">
        <v>680.90791391368407</v>
      </c>
      <c r="S552" s="9" t="s">
        <v>2654</v>
      </c>
      <c r="T552" s="8">
        <v>732.97153560120489</v>
      </c>
      <c r="U552" s="9" t="s">
        <v>2654</v>
      </c>
      <c r="V552" s="8">
        <v>761.12625382705141</v>
      </c>
      <c r="W552" s="8" t="s">
        <v>2654</v>
      </c>
      <c r="X552" s="8"/>
    </row>
    <row r="553" spans="1:24" x14ac:dyDescent="0.3">
      <c r="A553" s="1" t="s">
        <v>299</v>
      </c>
      <c r="B553" s="1" t="s">
        <v>300</v>
      </c>
      <c r="C553" s="1" t="s">
        <v>1586</v>
      </c>
      <c r="D553" s="1" t="s">
        <v>12</v>
      </c>
      <c r="E553" s="1" t="s">
        <v>17</v>
      </c>
      <c r="F553" s="1">
        <v>1998</v>
      </c>
      <c r="J553" s="6">
        <v>20000</v>
      </c>
      <c r="K553" s="6">
        <v>1999</v>
      </c>
      <c r="L553" s="21">
        <v>9.9949999999999997E-2</v>
      </c>
      <c r="M553" s="1">
        <v>0</v>
      </c>
      <c r="N553" s="1" t="s">
        <v>1589</v>
      </c>
      <c r="O553" s="1" t="s">
        <v>18</v>
      </c>
      <c r="P553" s="1" t="s">
        <v>18</v>
      </c>
      <c r="Q553" s="22" t="s">
        <v>18</v>
      </c>
      <c r="R553" s="8">
        <v>643.42039899999997</v>
      </c>
      <c r="S553" s="9" t="s">
        <v>2654</v>
      </c>
      <c r="T553" s="8">
        <v>651.35654599999998</v>
      </c>
      <c r="U553" s="9" t="s">
        <v>2654</v>
      </c>
      <c r="V553" s="8">
        <v>724.88798899999995</v>
      </c>
      <c r="W553" s="8" t="s">
        <v>2654</v>
      </c>
      <c r="X553" s="8"/>
    </row>
    <row r="554" spans="1:24" x14ac:dyDescent="0.3">
      <c r="A554" s="1" t="s">
        <v>339</v>
      </c>
      <c r="B554" s="1" t="s">
        <v>340</v>
      </c>
      <c r="C554" s="1" t="s">
        <v>1586</v>
      </c>
      <c r="D554" s="1" t="s">
        <v>12</v>
      </c>
      <c r="E554" s="1" t="s">
        <v>17</v>
      </c>
      <c r="F554" s="1">
        <v>1959</v>
      </c>
      <c r="G554" s="1" t="s">
        <v>25</v>
      </c>
      <c r="H554" s="1">
        <v>2022</v>
      </c>
      <c r="I554" s="1" t="s">
        <v>1599</v>
      </c>
      <c r="J554" s="6">
        <v>22080.7</v>
      </c>
      <c r="K554" s="6">
        <v>32601</v>
      </c>
      <c r="L554" s="21">
        <v>1.4764477575439183</v>
      </c>
      <c r="M554" s="1">
        <v>0</v>
      </c>
      <c r="N554" s="1" t="s">
        <v>1589</v>
      </c>
      <c r="O554" s="1">
        <v>2008</v>
      </c>
      <c r="P554" s="1" t="s">
        <v>18</v>
      </c>
      <c r="Q554" s="22" t="s">
        <v>18</v>
      </c>
      <c r="R554" s="8">
        <v>588.74054491026095</v>
      </c>
      <c r="S554" s="9" t="s">
        <v>2654</v>
      </c>
      <c r="T554" s="8">
        <v>674.38984814793025</v>
      </c>
      <c r="U554" s="9" t="s">
        <v>2654</v>
      </c>
      <c r="V554" s="8">
        <v>710.04135602585063</v>
      </c>
      <c r="W554" s="8" t="s">
        <v>2654</v>
      </c>
      <c r="X554" s="8"/>
    </row>
    <row r="555" spans="1:24" x14ac:dyDescent="0.3">
      <c r="A555" s="1" t="s">
        <v>2148</v>
      </c>
      <c r="B555" s="1" t="s">
        <v>1142</v>
      </c>
      <c r="C555" s="1" t="s">
        <v>1586</v>
      </c>
      <c r="D555" s="1" t="s">
        <v>12</v>
      </c>
      <c r="E555" s="1" t="s">
        <v>17</v>
      </c>
      <c r="F555" s="1">
        <v>1993</v>
      </c>
      <c r="G555" s="1" t="s">
        <v>19</v>
      </c>
      <c r="H555" s="1">
        <v>2021</v>
      </c>
      <c r="I555" s="1" t="s">
        <v>1601</v>
      </c>
      <c r="J555" s="6">
        <v>30731.252</v>
      </c>
      <c r="K555" s="6">
        <v>37761</v>
      </c>
      <c r="L555" s="21">
        <v>1.2287491573724363</v>
      </c>
      <c r="M555" s="1">
        <v>0</v>
      </c>
      <c r="N555" s="1" t="s">
        <v>1589</v>
      </c>
      <c r="O555" s="1">
        <v>3</v>
      </c>
      <c r="P555" s="1">
        <v>0.65200000000000002</v>
      </c>
      <c r="Q555" s="22">
        <v>44992</v>
      </c>
      <c r="R555" s="8">
        <v>636.19796551080969</v>
      </c>
      <c r="S555" s="9" t="s">
        <v>2654</v>
      </c>
      <c r="T555" s="8">
        <v>668.0889538766595</v>
      </c>
      <c r="U555" s="9" t="s">
        <v>2654</v>
      </c>
      <c r="V555" s="8">
        <v>650.72448073381452</v>
      </c>
      <c r="W555" s="8" t="s">
        <v>2654</v>
      </c>
      <c r="X555" s="8"/>
    </row>
    <row r="556" spans="1:24" x14ac:dyDescent="0.3">
      <c r="A556" s="1" t="s">
        <v>1019</v>
      </c>
      <c r="B556" s="1" t="s">
        <v>1020</v>
      </c>
      <c r="C556" s="1" t="s">
        <v>1586</v>
      </c>
      <c r="D556" s="1" t="s">
        <v>12</v>
      </c>
      <c r="E556" s="1" t="s">
        <v>17</v>
      </c>
      <c r="F556" s="1">
        <v>2015</v>
      </c>
      <c r="G556" s="1" t="s">
        <v>21</v>
      </c>
      <c r="H556" s="1">
        <v>2015</v>
      </c>
      <c r="I556" s="1" t="s">
        <v>1598</v>
      </c>
      <c r="J556" s="6">
        <v>50399</v>
      </c>
      <c r="K556" s="6">
        <v>4448</v>
      </c>
      <c r="L556" s="21">
        <v>8.8255719359511098E-2</v>
      </c>
      <c r="M556" s="1">
        <v>0</v>
      </c>
      <c r="N556" s="1" t="s">
        <v>1589</v>
      </c>
      <c r="O556" s="1">
        <v>7</v>
      </c>
      <c r="P556" s="1">
        <v>0.63800000000000001</v>
      </c>
      <c r="Q556" s="22">
        <v>43811</v>
      </c>
      <c r="R556" s="8">
        <v>529.90182344887796</v>
      </c>
      <c r="S556" s="9" t="s">
        <v>2654</v>
      </c>
      <c r="T556" s="8">
        <v>564.72007381098831</v>
      </c>
      <c r="U556" s="9" t="s">
        <v>2654</v>
      </c>
      <c r="V556" s="8">
        <v>627.78858707514041</v>
      </c>
      <c r="W556" s="8" t="s">
        <v>2654</v>
      </c>
      <c r="X556" s="8"/>
    </row>
    <row r="557" spans="1:24" x14ac:dyDescent="0.3">
      <c r="A557" s="1" t="s">
        <v>814</v>
      </c>
      <c r="B557" s="1" t="s">
        <v>815</v>
      </c>
      <c r="C557" s="1" t="s">
        <v>1586</v>
      </c>
      <c r="D557" s="1" t="s">
        <v>12</v>
      </c>
      <c r="E557" s="1" t="s">
        <v>17</v>
      </c>
      <c r="F557" s="1">
        <v>2012</v>
      </c>
      <c r="G557" s="1" t="s">
        <v>25</v>
      </c>
      <c r="H557" s="1">
        <v>2021</v>
      </c>
      <c r="I557" s="1" t="s">
        <v>1601</v>
      </c>
      <c r="J557" s="6">
        <v>26974</v>
      </c>
      <c r="K557" s="6">
        <v>16724</v>
      </c>
      <c r="L557" s="21">
        <v>0.6200044487284051</v>
      </c>
      <c r="M557" s="1">
        <v>0</v>
      </c>
      <c r="N557" s="1" t="s">
        <v>1589</v>
      </c>
      <c r="O557" s="1">
        <v>4</v>
      </c>
      <c r="P557" s="1">
        <v>0.68</v>
      </c>
      <c r="Q557" s="22">
        <v>44284</v>
      </c>
      <c r="R557" s="8">
        <v>549.74849855416323</v>
      </c>
      <c r="S557" s="9" t="s">
        <v>2654</v>
      </c>
      <c r="T557" s="8">
        <v>622.71014680803739</v>
      </c>
      <c r="U557" s="9" t="s">
        <v>2654</v>
      </c>
      <c r="V557" s="8">
        <v>575.57153184548088</v>
      </c>
      <c r="W557" s="8" t="s">
        <v>2654</v>
      </c>
      <c r="X557" s="8"/>
    </row>
    <row r="558" spans="1:24" x14ac:dyDescent="0.3">
      <c r="A558" s="1" t="s">
        <v>1031</v>
      </c>
      <c r="B558" s="1" t="s">
        <v>1032</v>
      </c>
      <c r="C558" s="1" t="s">
        <v>1586</v>
      </c>
      <c r="D558" s="1" t="s">
        <v>12</v>
      </c>
      <c r="E558" s="1" t="s">
        <v>17</v>
      </c>
      <c r="F558" s="1">
        <v>1997</v>
      </c>
      <c r="G558" s="1" t="s">
        <v>21</v>
      </c>
      <c r="H558" s="1">
        <v>2020</v>
      </c>
      <c r="I558" s="1" t="s">
        <v>1601</v>
      </c>
      <c r="J558" s="6">
        <v>22998</v>
      </c>
      <c r="K558" s="6">
        <v>22825</v>
      </c>
      <c r="L558" s="21">
        <v>0.9924776067484129</v>
      </c>
      <c r="M558" s="1">
        <v>0</v>
      </c>
      <c r="N558" s="1" t="s">
        <v>1589</v>
      </c>
      <c r="O558" s="1">
        <v>8</v>
      </c>
      <c r="P558" s="1">
        <v>0.7</v>
      </c>
      <c r="Q558" s="22">
        <v>44910</v>
      </c>
      <c r="R558" s="8">
        <v>546.17929819984352</v>
      </c>
      <c r="S558" s="9" t="s">
        <v>2654</v>
      </c>
      <c r="T558" s="8">
        <v>568.60836811896684</v>
      </c>
      <c r="U558" s="9" t="s">
        <v>2654</v>
      </c>
      <c r="V558" s="8">
        <v>568.08420297417172</v>
      </c>
      <c r="W558" s="8" t="s">
        <v>2654</v>
      </c>
      <c r="X558" s="8"/>
    </row>
    <row r="559" spans="1:24" x14ac:dyDescent="0.3">
      <c r="A559" s="1" t="s">
        <v>516</v>
      </c>
      <c r="B559" s="1" t="s">
        <v>517</v>
      </c>
      <c r="C559" s="1" t="s">
        <v>1586</v>
      </c>
      <c r="D559" s="1" t="s">
        <v>12</v>
      </c>
      <c r="E559" s="1" t="s">
        <v>17</v>
      </c>
      <c r="F559" s="1">
        <v>2017</v>
      </c>
      <c r="G559" s="1" t="s">
        <v>21</v>
      </c>
      <c r="H559" s="1">
        <v>2022</v>
      </c>
      <c r="I559" s="1" t="s">
        <v>1599</v>
      </c>
      <c r="J559" s="6">
        <v>38621</v>
      </c>
      <c r="K559" s="6">
        <v>38620</v>
      </c>
      <c r="L559" s="21">
        <v>0.99997410735092307</v>
      </c>
      <c r="M559" s="1">
        <v>0</v>
      </c>
      <c r="N559" s="1" t="s">
        <v>1589</v>
      </c>
      <c r="O559" s="1">
        <v>2</v>
      </c>
      <c r="P559" s="1">
        <v>0.59</v>
      </c>
      <c r="Q559" s="22">
        <v>43822</v>
      </c>
      <c r="R559" s="8">
        <v>518.74441495559415</v>
      </c>
      <c r="S559" s="9" t="s">
        <v>2654</v>
      </c>
      <c r="T559" s="8">
        <v>535.31580927474693</v>
      </c>
      <c r="U559" s="9" t="s">
        <v>2654</v>
      </c>
      <c r="V559" s="8">
        <v>554.06097382253176</v>
      </c>
      <c r="W559" s="8" t="s">
        <v>2654</v>
      </c>
      <c r="X559" s="8"/>
    </row>
    <row r="560" spans="1:24" x14ac:dyDescent="0.3">
      <c r="A560" s="1" t="s">
        <v>2350</v>
      </c>
      <c r="B560" s="1" t="s">
        <v>2351</v>
      </c>
      <c r="C560" s="1" t="s">
        <v>1586</v>
      </c>
      <c r="D560" s="1" t="s">
        <v>12</v>
      </c>
      <c r="E560" s="1" t="s">
        <v>17</v>
      </c>
      <c r="F560" s="1">
        <v>1992</v>
      </c>
      <c r="G560" s="1" t="s">
        <v>25</v>
      </c>
      <c r="H560" s="1">
        <v>2023</v>
      </c>
      <c r="I560" s="1" t="s">
        <v>1783</v>
      </c>
      <c r="J560" s="6">
        <v>34985</v>
      </c>
      <c r="K560" s="6">
        <v>30318</v>
      </c>
      <c r="L560" s="21">
        <v>0.86659997141632128</v>
      </c>
      <c r="M560" s="1">
        <v>0</v>
      </c>
      <c r="N560" s="1" t="s">
        <v>1589</v>
      </c>
      <c r="O560" s="1">
        <v>14</v>
      </c>
      <c r="P560" s="1">
        <v>0.71</v>
      </c>
      <c r="Q560" s="22">
        <v>44036</v>
      </c>
      <c r="R560" s="8">
        <v>532.75742461054733</v>
      </c>
      <c r="S560" s="9" t="s">
        <v>2654</v>
      </c>
      <c r="T560" s="8">
        <v>551.61566385593824</v>
      </c>
      <c r="U560" s="9" t="s">
        <v>2654</v>
      </c>
      <c r="V560" s="8">
        <v>551.2897670430184</v>
      </c>
      <c r="W560" s="8" t="s">
        <v>2654</v>
      </c>
      <c r="X560" s="8"/>
    </row>
    <row r="561" spans="1:24" x14ac:dyDescent="0.3">
      <c r="A561" s="1" t="s">
        <v>1079</v>
      </c>
      <c r="B561" s="1" t="s">
        <v>1880</v>
      </c>
      <c r="C561" s="1" t="s">
        <v>1586</v>
      </c>
      <c r="D561" s="1" t="s">
        <v>12</v>
      </c>
      <c r="E561" s="1" t="s">
        <v>17</v>
      </c>
      <c r="F561" s="1">
        <v>1996</v>
      </c>
      <c r="G561" s="1" t="s">
        <v>19</v>
      </c>
      <c r="H561" s="1">
        <v>2022</v>
      </c>
      <c r="I561" s="1" t="s">
        <v>1599</v>
      </c>
      <c r="J561" s="6">
        <v>21614</v>
      </c>
      <c r="K561" s="6">
        <v>18372</v>
      </c>
      <c r="L561" s="21">
        <v>0.85000462663088738</v>
      </c>
      <c r="M561" s="1">
        <v>0</v>
      </c>
      <c r="N561" s="1" t="s">
        <v>1589</v>
      </c>
      <c r="O561" s="1">
        <v>10</v>
      </c>
      <c r="P561" s="1">
        <v>0.83899999999999997</v>
      </c>
      <c r="Q561" s="22">
        <v>44690</v>
      </c>
      <c r="R561" s="8">
        <v>542.36018321458312</v>
      </c>
      <c r="S561" s="9" t="s">
        <v>2654</v>
      </c>
      <c r="T561" s="8">
        <v>568.51411122420654</v>
      </c>
      <c r="U561" s="9" t="s">
        <v>2654</v>
      </c>
      <c r="V561" s="8">
        <v>549.57296196909408</v>
      </c>
      <c r="W561" s="8" t="s">
        <v>2654</v>
      </c>
      <c r="X561" s="8"/>
    </row>
    <row r="562" spans="1:24" x14ac:dyDescent="0.3">
      <c r="A562" s="1" t="s">
        <v>834</v>
      </c>
      <c r="B562" s="1" t="s">
        <v>835</v>
      </c>
      <c r="C562" s="1" t="s">
        <v>1586</v>
      </c>
      <c r="D562" s="1" t="s">
        <v>12</v>
      </c>
      <c r="E562" s="1" t="s">
        <v>17</v>
      </c>
      <c r="F562" s="1">
        <v>2013</v>
      </c>
      <c r="G562" s="1" t="s">
        <v>19</v>
      </c>
      <c r="H562" s="1">
        <v>2021</v>
      </c>
      <c r="I562" s="1" t="s">
        <v>1603</v>
      </c>
      <c r="J562" s="6">
        <v>35352.21</v>
      </c>
      <c r="K562" s="6">
        <v>30507</v>
      </c>
      <c r="L562" s="21">
        <v>0.86294463627592166</v>
      </c>
      <c r="M562" s="1">
        <v>0</v>
      </c>
      <c r="N562" s="1" t="s">
        <v>1589</v>
      </c>
      <c r="O562" s="1">
        <v>9</v>
      </c>
      <c r="P562" s="1">
        <v>0.6</v>
      </c>
      <c r="Q562" s="22">
        <v>44795</v>
      </c>
      <c r="R562" s="8">
        <v>520.1561090523054</v>
      </c>
      <c r="S562" s="9" t="s">
        <v>2654</v>
      </c>
      <c r="T562" s="8">
        <v>536.95657584066169</v>
      </c>
      <c r="U562" s="9" t="s">
        <v>2654</v>
      </c>
      <c r="V562" s="8">
        <v>542.73304978670353</v>
      </c>
      <c r="W562" s="8" t="s">
        <v>2654</v>
      </c>
      <c r="X562" s="8"/>
    </row>
    <row r="563" spans="1:24" x14ac:dyDescent="0.3">
      <c r="A563" s="1" t="s">
        <v>2382</v>
      </c>
      <c r="B563" s="1" t="s">
        <v>1392</v>
      </c>
      <c r="C563" s="1" t="s">
        <v>1586</v>
      </c>
      <c r="D563" s="1" t="s">
        <v>12</v>
      </c>
      <c r="E563" s="1" t="s">
        <v>17</v>
      </c>
      <c r="F563" s="1">
        <v>1996</v>
      </c>
      <c r="G563" s="1" t="s">
        <v>25</v>
      </c>
      <c r="H563" s="1">
        <v>2023</v>
      </c>
      <c r="I563" s="1" t="s">
        <v>1783</v>
      </c>
      <c r="J563" s="6">
        <v>22805.82</v>
      </c>
      <c r="K563" s="6">
        <v>17658</v>
      </c>
      <c r="L563" s="21">
        <v>0.77427604006345752</v>
      </c>
      <c r="M563" s="1">
        <v>0</v>
      </c>
      <c r="N563" s="1" t="s">
        <v>1589</v>
      </c>
      <c r="O563" s="1">
        <v>8</v>
      </c>
      <c r="P563" s="1">
        <v>0.60799999999999998</v>
      </c>
      <c r="Q563" s="22">
        <v>44368</v>
      </c>
      <c r="R563" s="8">
        <v>505.6474399955801</v>
      </c>
      <c r="S563" s="9" t="s">
        <v>2654</v>
      </c>
      <c r="T563" s="8">
        <v>505.73244022797689</v>
      </c>
      <c r="U563" s="9" t="s">
        <v>2655</v>
      </c>
      <c r="V563" s="8">
        <v>523.79133922831977</v>
      </c>
      <c r="W563" s="8" t="s">
        <v>2654</v>
      </c>
      <c r="X563" s="8"/>
    </row>
    <row r="564" spans="1:24" x14ac:dyDescent="0.3">
      <c r="A564" s="1" t="s">
        <v>2077</v>
      </c>
      <c r="B564" s="1" t="s">
        <v>2078</v>
      </c>
      <c r="C564" s="1" t="s">
        <v>1586</v>
      </c>
      <c r="D564" s="1" t="s">
        <v>12</v>
      </c>
      <c r="E564" s="1" t="s">
        <v>17</v>
      </c>
      <c r="F564" s="1">
        <v>1996</v>
      </c>
      <c r="G564" s="1" t="s">
        <v>25</v>
      </c>
      <c r="H564" s="1">
        <v>2020</v>
      </c>
      <c r="I564" s="1" t="s">
        <v>1597</v>
      </c>
      <c r="J564" s="6">
        <v>30963</v>
      </c>
      <c r="K564" s="6">
        <v>30963</v>
      </c>
      <c r="L564" s="21">
        <v>1</v>
      </c>
      <c r="M564" s="1">
        <v>0</v>
      </c>
      <c r="N564" s="1" t="s">
        <v>1589</v>
      </c>
      <c r="O564" s="1">
        <v>1</v>
      </c>
      <c r="P564" s="1">
        <v>0.71</v>
      </c>
      <c r="Q564" s="22">
        <v>44439</v>
      </c>
      <c r="R564" s="8">
        <v>472.14114426896617</v>
      </c>
      <c r="S564" s="9" t="s">
        <v>2654</v>
      </c>
      <c r="T564" s="8">
        <v>509.66161224687528</v>
      </c>
      <c r="U564" s="9" t="s">
        <v>2654</v>
      </c>
      <c r="V564" s="8">
        <v>515.51584148822792</v>
      </c>
      <c r="W564" s="8" t="s">
        <v>2654</v>
      </c>
      <c r="X564" s="8"/>
    </row>
    <row r="565" spans="1:24" x14ac:dyDescent="0.3">
      <c r="A565" s="1" t="s">
        <v>1420</v>
      </c>
      <c r="B565" s="1" t="s">
        <v>1421</v>
      </c>
      <c r="C565" s="1" t="s">
        <v>1586</v>
      </c>
      <c r="D565" s="1" t="s">
        <v>12</v>
      </c>
      <c r="E565" s="1" t="s">
        <v>17</v>
      </c>
      <c r="F565" s="1">
        <v>1995</v>
      </c>
      <c r="G565" s="1" t="s">
        <v>25</v>
      </c>
      <c r="H565" s="1">
        <v>2022</v>
      </c>
      <c r="I565" s="1" t="s">
        <v>1818</v>
      </c>
      <c r="J565" s="6">
        <v>47128</v>
      </c>
      <c r="K565" s="6">
        <v>32094</v>
      </c>
      <c r="L565" s="21">
        <v>0.68099643524019693</v>
      </c>
      <c r="M565" s="1">
        <v>0</v>
      </c>
      <c r="N565" s="1" t="s">
        <v>1589</v>
      </c>
      <c r="O565" s="1">
        <v>13</v>
      </c>
      <c r="P565" s="1" t="s">
        <v>18</v>
      </c>
      <c r="Q565" s="22" t="s">
        <v>18</v>
      </c>
      <c r="R565" s="8">
        <v>459.84792480054318</v>
      </c>
      <c r="S565" s="9" t="s">
        <v>2655</v>
      </c>
      <c r="T565" s="8">
        <v>491.49732643014767</v>
      </c>
      <c r="U565" s="9" t="s">
        <v>2655</v>
      </c>
      <c r="V565" s="8">
        <v>496.49142760142593</v>
      </c>
      <c r="W565" s="8" t="s">
        <v>2654</v>
      </c>
      <c r="X565" s="8"/>
    </row>
    <row r="566" spans="1:24" x14ac:dyDescent="0.3">
      <c r="A566" s="1" t="s">
        <v>1897</v>
      </c>
      <c r="B566" s="1" t="s">
        <v>1076</v>
      </c>
      <c r="C566" s="1" t="s">
        <v>1586</v>
      </c>
      <c r="D566" s="1" t="s">
        <v>12</v>
      </c>
      <c r="E566" s="1" t="s">
        <v>17</v>
      </c>
      <c r="F566" s="1">
        <v>2009</v>
      </c>
      <c r="G566" s="1" t="s">
        <v>21</v>
      </c>
      <c r="H566" s="1">
        <v>2022</v>
      </c>
      <c r="I566" s="1" t="s">
        <v>1601</v>
      </c>
      <c r="J566" s="6">
        <v>35386</v>
      </c>
      <c r="K566" s="6">
        <v>32000</v>
      </c>
      <c r="L566" s="21">
        <v>0.90431243994800203</v>
      </c>
      <c r="M566" s="1">
        <v>0</v>
      </c>
      <c r="N566" s="1" t="s">
        <v>1589</v>
      </c>
      <c r="O566" s="1">
        <v>13</v>
      </c>
      <c r="P566" s="1">
        <v>0.68</v>
      </c>
      <c r="Q566" s="22">
        <v>43435</v>
      </c>
      <c r="R566" s="8">
        <v>416.06837732436554</v>
      </c>
      <c r="S566" s="9" t="s">
        <v>2655</v>
      </c>
      <c r="T566" s="8">
        <v>441.93389476063976</v>
      </c>
      <c r="U566" s="9" t="s">
        <v>2655</v>
      </c>
      <c r="V566" s="8">
        <v>493.12573334086926</v>
      </c>
      <c r="W566" s="8" t="s">
        <v>2654</v>
      </c>
      <c r="X566" s="8"/>
    </row>
    <row r="567" spans="1:24" x14ac:dyDescent="0.3">
      <c r="A567" s="1" t="s">
        <v>152</v>
      </c>
      <c r="B567" s="1" t="s">
        <v>1972</v>
      </c>
      <c r="C567" s="1" t="s">
        <v>1586</v>
      </c>
      <c r="D567" s="1" t="s">
        <v>12</v>
      </c>
      <c r="E567" s="1" t="s">
        <v>17</v>
      </c>
      <c r="F567" s="1">
        <v>1995</v>
      </c>
      <c r="J567" s="6">
        <v>23000</v>
      </c>
      <c r="K567" s="6">
        <v>22800</v>
      </c>
      <c r="L567" s="21">
        <v>0.99130434782608701</v>
      </c>
      <c r="M567" s="1">
        <v>0</v>
      </c>
      <c r="N567" s="1" t="s">
        <v>1589</v>
      </c>
      <c r="O567" s="1">
        <v>2</v>
      </c>
      <c r="P567" s="1" t="s">
        <v>18</v>
      </c>
      <c r="Q567" s="22" t="s">
        <v>18</v>
      </c>
      <c r="R567" s="8">
        <v>730.01497826086961</v>
      </c>
      <c r="S567" s="9" t="s">
        <v>2654</v>
      </c>
      <c r="T567" s="8">
        <v>467.07152173913045</v>
      </c>
      <c r="U567" s="9" t="s">
        <v>2655</v>
      </c>
      <c r="V567" s="8">
        <v>484.08943478260869</v>
      </c>
      <c r="W567" s="8" t="s">
        <v>2654</v>
      </c>
      <c r="X567" s="8"/>
    </row>
    <row r="568" spans="1:24" x14ac:dyDescent="0.3">
      <c r="A568" s="1" t="s">
        <v>891</v>
      </c>
      <c r="B568" s="1" t="s">
        <v>892</v>
      </c>
      <c r="C568" s="1" t="s">
        <v>1586</v>
      </c>
      <c r="D568" s="1" t="s">
        <v>12</v>
      </c>
      <c r="E568" s="1" t="s">
        <v>17</v>
      </c>
      <c r="F568" s="1">
        <v>2010</v>
      </c>
      <c r="G568" s="1" t="s">
        <v>21</v>
      </c>
      <c r="H568" s="1">
        <v>2022</v>
      </c>
      <c r="I568" s="1" t="s">
        <v>1599</v>
      </c>
      <c r="J568" s="6">
        <v>87523</v>
      </c>
      <c r="K568" s="6">
        <v>74448</v>
      </c>
      <c r="L568" s="21">
        <v>0.85061069661688926</v>
      </c>
      <c r="M568" s="1">
        <v>0</v>
      </c>
      <c r="N568" s="1" t="s">
        <v>1589</v>
      </c>
      <c r="O568" s="1">
        <v>13</v>
      </c>
      <c r="P568" s="1">
        <v>0.66290000000000004</v>
      </c>
      <c r="Q568" s="22">
        <v>44186</v>
      </c>
      <c r="R568" s="8">
        <v>437.22447242439131</v>
      </c>
      <c r="S568" s="9" t="s">
        <v>2655</v>
      </c>
      <c r="T568" s="8">
        <v>468.71770848805454</v>
      </c>
      <c r="U568" s="9" t="s">
        <v>2655</v>
      </c>
      <c r="V568" s="8">
        <v>481.46490065468504</v>
      </c>
      <c r="W568" s="8" t="s">
        <v>2654</v>
      </c>
      <c r="X568" s="8"/>
    </row>
    <row r="569" spans="1:24" x14ac:dyDescent="0.3">
      <c r="A569" s="1" t="s">
        <v>2076</v>
      </c>
      <c r="B569" s="1" t="s">
        <v>141</v>
      </c>
      <c r="C569" s="1" t="s">
        <v>1586</v>
      </c>
      <c r="D569" s="1" t="s">
        <v>12</v>
      </c>
      <c r="E569" s="1" t="s">
        <v>17</v>
      </c>
      <c r="F569" s="1">
        <v>2009</v>
      </c>
      <c r="G569" s="1" t="s">
        <v>19</v>
      </c>
      <c r="H569" s="1">
        <v>2022</v>
      </c>
      <c r="I569" s="1" t="s">
        <v>1818</v>
      </c>
      <c r="J569" s="6">
        <v>39936</v>
      </c>
      <c r="K569" s="6">
        <v>35852</v>
      </c>
      <c r="L569" s="21">
        <v>0.89773637820512819</v>
      </c>
      <c r="M569" s="1">
        <v>0</v>
      </c>
      <c r="N569" s="1" t="s">
        <v>1589</v>
      </c>
      <c r="O569" s="1">
        <v>9</v>
      </c>
      <c r="P569" s="1">
        <v>0.64</v>
      </c>
      <c r="Q569" s="22">
        <v>43704</v>
      </c>
      <c r="R569" s="8">
        <v>424.65091646634613</v>
      </c>
      <c r="S569" s="9" t="s">
        <v>2655</v>
      </c>
      <c r="T569" s="8">
        <v>458.01844200721155</v>
      </c>
      <c r="U569" s="9" t="s">
        <v>2655</v>
      </c>
      <c r="V569" s="8">
        <v>478.06839693509613</v>
      </c>
      <c r="W569" s="8" t="s">
        <v>2654</v>
      </c>
      <c r="X569" s="8"/>
    </row>
    <row r="570" spans="1:24" x14ac:dyDescent="0.3">
      <c r="A570" s="1" t="s">
        <v>1066</v>
      </c>
      <c r="B570" s="1" t="s">
        <v>1067</v>
      </c>
      <c r="C570" s="1" t="s">
        <v>1586</v>
      </c>
      <c r="D570" s="1" t="s">
        <v>12</v>
      </c>
      <c r="E570" s="1" t="s">
        <v>17</v>
      </c>
      <c r="F570" s="1">
        <v>2009</v>
      </c>
      <c r="J570" s="6">
        <v>38262</v>
      </c>
      <c r="K570" s="6">
        <v>37687</v>
      </c>
      <c r="L570" s="21">
        <v>0.98497203491715013</v>
      </c>
      <c r="M570" s="1">
        <v>0</v>
      </c>
      <c r="N570" s="1" t="s">
        <v>1589</v>
      </c>
      <c r="O570" s="1">
        <v>13</v>
      </c>
      <c r="P570" s="1" t="s">
        <v>18</v>
      </c>
      <c r="Q570" s="22" t="s">
        <v>18</v>
      </c>
      <c r="R570" s="8">
        <v>467.37525482201664</v>
      </c>
      <c r="S570" s="9" t="s">
        <v>2654</v>
      </c>
      <c r="T570" s="8">
        <v>474.43315169097275</v>
      </c>
      <c r="U570" s="9" t="s">
        <v>2655</v>
      </c>
      <c r="V570" s="8">
        <v>476.19311588521248</v>
      </c>
      <c r="W570" s="8" t="s">
        <v>2654</v>
      </c>
      <c r="X570" s="8"/>
    </row>
    <row r="571" spans="1:24" x14ac:dyDescent="0.3">
      <c r="A571" s="1" t="s">
        <v>1791</v>
      </c>
      <c r="B571" s="1" t="s">
        <v>1792</v>
      </c>
      <c r="C571" s="1" t="s">
        <v>1586</v>
      </c>
      <c r="D571" s="1" t="s">
        <v>12</v>
      </c>
      <c r="E571" s="1" t="s">
        <v>17</v>
      </c>
      <c r="F571" s="1">
        <v>1996</v>
      </c>
      <c r="G571" s="1" t="s">
        <v>19</v>
      </c>
      <c r="H571" s="1">
        <v>2023</v>
      </c>
      <c r="I571" s="1" t="s">
        <v>1783</v>
      </c>
      <c r="J571" s="6">
        <v>55537.65</v>
      </c>
      <c r="K571" s="6">
        <v>35252</v>
      </c>
      <c r="L571" s="21">
        <v>0.63474057688793095</v>
      </c>
      <c r="M571" s="1">
        <v>0</v>
      </c>
      <c r="N571" s="1" t="s">
        <v>1589</v>
      </c>
      <c r="O571" s="1">
        <v>2009</v>
      </c>
      <c r="P571" s="1" t="s">
        <v>18</v>
      </c>
      <c r="Q571" s="22" t="s">
        <v>18</v>
      </c>
      <c r="R571" s="8">
        <v>404.22420196029179</v>
      </c>
      <c r="S571" s="9" t="s">
        <v>2655</v>
      </c>
      <c r="T571" s="8">
        <v>436.42168420882047</v>
      </c>
      <c r="U571" s="9" t="s">
        <v>2655</v>
      </c>
      <c r="V571" s="8">
        <v>473.38728322138223</v>
      </c>
      <c r="W571" s="8" t="s">
        <v>2654</v>
      </c>
      <c r="X571" s="8"/>
    </row>
    <row r="572" spans="1:24" x14ac:dyDescent="0.3">
      <c r="A572" s="1" t="s">
        <v>884</v>
      </c>
      <c r="B572" s="1" t="s">
        <v>1905</v>
      </c>
      <c r="C572" s="1" t="s">
        <v>1586</v>
      </c>
      <c r="D572" s="1" t="s">
        <v>12</v>
      </c>
      <c r="E572" s="1" t="s">
        <v>17</v>
      </c>
      <c r="F572" s="1">
        <v>2019</v>
      </c>
      <c r="G572" s="1" t="s">
        <v>25</v>
      </c>
      <c r="H572" s="1">
        <v>2023</v>
      </c>
      <c r="I572" s="1" t="s">
        <v>1783</v>
      </c>
      <c r="J572" s="6">
        <v>47873</v>
      </c>
      <c r="K572" s="6">
        <v>47399</v>
      </c>
      <c r="L572" s="21">
        <v>0.99009880308315756</v>
      </c>
      <c r="M572" s="1">
        <v>0</v>
      </c>
      <c r="N572" s="1" t="s">
        <v>1589</v>
      </c>
      <c r="O572" s="1">
        <v>3</v>
      </c>
      <c r="P572" s="1">
        <v>0.59</v>
      </c>
      <c r="Q572" s="22">
        <v>44377</v>
      </c>
      <c r="R572" s="8">
        <v>439.49315898314291</v>
      </c>
      <c r="S572" s="9" t="s">
        <v>2655</v>
      </c>
      <c r="T572" s="8">
        <v>429.61431286946714</v>
      </c>
      <c r="U572" s="9" t="s">
        <v>2655</v>
      </c>
      <c r="V572" s="8">
        <v>471.85225492448768</v>
      </c>
      <c r="W572" s="8" t="s">
        <v>2655</v>
      </c>
      <c r="X572" s="8"/>
    </row>
    <row r="573" spans="1:24" x14ac:dyDescent="0.3">
      <c r="A573" s="1" t="s">
        <v>552</v>
      </c>
      <c r="B573" s="1" t="s">
        <v>1869</v>
      </c>
      <c r="C573" s="1" t="s">
        <v>1586</v>
      </c>
      <c r="D573" s="1" t="s">
        <v>12</v>
      </c>
      <c r="E573" s="1" t="s">
        <v>17</v>
      </c>
      <c r="F573" s="1">
        <v>2014</v>
      </c>
      <c r="G573" s="1" t="s">
        <v>19</v>
      </c>
      <c r="H573" s="1">
        <v>2022</v>
      </c>
      <c r="I573" s="1" t="s">
        <v>1818</v>
      </c>
      <c r="J573" s="6">
        <v>29000</v>
      </c>
      <c r="K573" s="6">
        <v>25040</v>
      </c>
      <c r="L573" s="21">
        <v>0.86344827586206896</v>
      </c>
      <c r="M573" s="1">
        <v>0</v>
      </c>
      <c r="N573" s="1" t="s">
        <v>1589</v>
      </c>
      <c r="O573" s="1">
        <v>9</v>
      </c>
      <c r="P573" s="1">
        <v>0.64</v>
      </c>
      <c r="Q573" s="22">
        <v>44581</v>
      </c>
      <c r="R573" s="8">
        <v>433.77072413793104</v>
      </c>
      <c r="S573" s="9" t="s">
        <v>2655</v>
      </c>
      <c r="T573" s="8">
        <v>436.48355172413795</v>
      </c>
      <c r="U573" s="9" t="s">
        <v>2655</v>
      </c>
      <c r="V573" s="8">
        <v>464.44396551724139</v>
      </c>
      <c r="W573" s="8" t="s">
        <v>2655</v>
      </c>
      <c r="X573" s="8"/>
    </row>
    <row r="574" spans="1:24" x14ac:dyDescent="0.3">
      <c r="A574" s="1" t="s">
        <v>965</v>
      </c>
      <c r="B574" s="1" t="s">
        <v>966</v>
      </c>
      <c r="C574" s="1" t="s">
        <v>1586</v>
      </c>
      <c r="D574" s="1" t="s">
        <v>12</v>
      </c>
      <c r="E574" s="1" t="s">
        <v>17</v>
      </c>
      <c r="F574" s="1">
        <v>1999</v>
      </c>
      <c r="G574" s="1" t="s">
        <v>25</v>
      </c>
      <c r="H574" s="1">
        <v>2023</v>
      </c>
      <c r="I574" s="1" t="s">
        <v>1783</v>
      </c>
      <c r="J574" s="6">
        <v>58450</v>
      </c>
      <c r="K574" s="6">
        <v>53733</v>
      </c>
      <c r="L574" s="21">
        <v>0.91929854576561165</v>
      </c>
      <c r="M574" s="1">
        <v>0</v>
      </c>
      <c r="N574" s="1" t="s">
        <v>1589</v>
      </c>
      <c r="O574" s="1">
        <v>10</v>
      </c>
      <c r="P574" s="1">
        <v>0.66100000000000003</v>
      </c>
      <c r="Q574" s="22">
        <v>44133</v>
      </c>
      <c r="R574" s="8">
        <v>442.79067579127457</v>
      </c>
      <c r="S574" s="9" t="s">
        <v>2655</v>
      </c>
      <c r="T574" s="8">
        <v>458.99952095808385</v>
      </c>
      <c r="U574" s="9" t="s">
        <v>2655</v>
      </c>
      <c r="V574" s="8">
        <v>452.81840889649271</v>
      </c>
      <c r="W574" s="8" t="s">
        <v>2655</v>
      </c>
      <c r="X574" s="8"/>
    </row>
    <row r="575" spans="1:24" x14ac:dyDescent="0.3">
      <c r="A575" s="1" t="s">
        <v>1077</v>
      </c>
      <c r="B575" s="1" t="s">
        <v>1078</v>
      </c>
      <c r="C575" s="1" t="s">
        <v>1586</v>
      </c>
      <c r="D575" s="1" t="s">
        <v>12</v>
      </c>
      <c r="E575" s="1" t="s">
        <v>17</v>
      </c>
      <c r="F575" s="1">
        <v>1995</v>
      </c>
      <c r="G575" s="1" t="s">
        <v>19</v>
      </c>
      <c r="H575" s="1">
        <v>2021</v>
      </c>
      <c r="I575" s="1" t="s">
        <v>1601</v>
      </c>
      <c r="J575" s="6">
        <v>30400</v>
      </c>
      <c r="K575" s="6">
        <v>25000</v>
      </c>
      <c r="L575" s="21">
        <v>0.82236842105263153</v>
      </c>
      <c r="M575" s="1">
        <v>0</v>
      </c>
      <c r="N575" s="1" t="s">
        <v>1589</v>
      </c>
      <c r="O575" s="1">
        <v>3</v>
      </c>
      <c r="P575" s="1">
        <v>0.59</v>
      </c>
      <c r="Q575" s="22">
        <v>44197</v>
      </c>
      <c r="R575" s="8">
        <v>403.35259078947365</v>
      </c>
      <c r="S575" s="9" t="s">
        <v>2655</v>
      </c>
      <c r="T575" s="8">
        <v>418.82021809210528</v>
      </c>
      <c r="U575" s="9" t="s">
        <v>2655</v>
      </c>
      <c r="V575" s="8">
        <v>451.34082269736842</v>
      </c>
      <c r="W575" s="8" t="s">
        <v>2655</v>
      </c>
      <c r="X575" s="8"/>
    </row>
    <row r="576" spans="1:24" x14ac:dyDescent="0.3">
      <c r="A576" s="1" t="s">
        <v>1350</v>
      </c>
      <c r="B576" s="1" t="s">
        <v>2142</v>
      </c>
      <c r="C576" s="1" t="s">
        <v>1586</v>
      </c>
      <c r="D576" s="1" t="s">
        <v>12</v>
      </c>
      <c r="E576" s="1" t="s">
        <v>17</v>
      </c>
      <c r="F576" s="1">
        <v>2009</v>
      </c>
      <c r="G576" s="1" t="s">
        <v>19</v>
      </c>
      <c r="H576" s="1">
        <v>2020</v>
      </c>
      <c r="I576" s="1" t="s">
        <v>1597</v>
      </c>
      <c r="J576" s="6">
        <v>27715</v>
      </c>
      <c r="K576" s="6">
        <v>26329</v>
      </c>
      <c r="L576" s="21">
        <v>0.94999097961392742</v>
      </c>
      <c r="M576" s="1">
        <v>0</v>
      </c>
      <c r="N576" s="1" t="s">
        <v>1589</v>
      </c>
      <c r="O576" s="1">
        <v>12</v>
      </c>
      <c r="P576" s="1">
        <v>0.65200000000000002</v>
      </c>
      <c r="Q576" s="22">
        <v>43867</v>
      </c>
      <c r="R576" s="8">
        <v>349.90553851704851</v>
      </c>
      <c r="S576" s="9" t="s">
        <v>2656</v>
      </c>
      <c r="T576" s="8">
        <v>364.1945156052679</v>
      </c>
      <c r="U576" s="9" t="s">
        <v>2656</v>
      </c>
      <c r="V576" s="8">
        <v>445.62695291358472</v>
      </c>
      <c r="W576" s="8" t="s">
        <v>2655</v>
      </c>
      <c r="X576" s="8"/>
    </row>
    <row r="577" spans="1:24" x14ac:dyDescent="0.3">
      <c r="A577" s="1" t="s">
        <v>275</v>
      </c>
      <c r="B577" s="1" t="s">
        <v>276</v>
      </c>
      <c r="C577" s="1" t="s">
        <v>1586</v>
      </c>
      <c r="D577" s="1" t="s">
        <v>12</v>
      </c>
      <c r="E577" s="1" t="s">
        <v>17</v>
      </c>
      <c r="F577" s="1">
        <v>2009</v>
      </c>
      <c r="G577" s="1" t="s">
        <v>25</v>
      </c>
      <c r="H577" s="1">
        <v>2022</v>
      </c>
      <c r="I577" s="1" t="s">
        <v>1818</v>
      </c>
      <c r="J577" s="6">
        <v>87354</v>
      </c>
      <c r="K577" s="6">
        <v>82000</v>
      </c>
      <c r="L577" s="21">
        <v>0.93870916042768504</v>
      </c>
      <c r="M577" s="1">
        <v>0</v>
      </c>
      <c r="N577" s="1" t="s">
        <v>1589</v>
      </c>
      <c r="O577" s="1">
        <v>14</v>
      </c>
      <c r="P577" s="1">
        <v>0.72499999999999998</v>
      </c>
      <c r="Q577" s="22">
        <v>42826</v>
      </c>
      <c r="R577" s="8">
        <v>403.42171509032215</v>
      </c>
      <c r="S577" s="9" t="s">
        <v>2655</v>
      </c>
      <c r="T577" s="8">
        <v>444.34815234562814</v>
      </c>
      <c r="U577" s="9" t="s">
        <v>2655</v>
      </c>
      <c r="V577" s="8">
        <v>443.54993474826568</v>
      </c>
      <c r="W577" s="8" t="s">
        <v>2655</v>
      </c>
      <c r="X577" s="8"/>
    </row>
    <row r="578" spans="1:24" x14ac:dyDescent="0.3">
      <c r="A578" s="1" t="s">
        <v>912</v>
      </c>
      <c r="B578" s="1" t="s">
        <v>913</v>
      </c>
      <c r="C578" s="1" t="s">
        <v>1586</v>
      </c>
      <c r="D578" s="1" t="s">
        <v>12</v>
      </c>
      <c r="E578" s="1" t="s">
        <v>17</v>
      </c>
      <c r="F578" s="1">
        <v>2008</v>
      </c>
      <c r="G578" s="1" t="s">
        <v>25</v>
      </c>
      <c r="H578" s="1">
        <v>2016</v>
      </c>
      <c r="I578" s="1" t="s">
        <v>1597</v>
      </c>
      <c r="J578" s="6">
        <v>19146</v>
      </c>
      <c r="K578" s="6">
        <v>11950</v>
      </c>
      <c r="L578" s="21">
        <v>0.6241512587485637</v>
      </c>
      <c r="M578" s="1">
        <v>0</v>
      </c>
      <c r="N578" s="1" t="s">
        <v>1589</v>
      </c>
      <c r="O578" s="1">
        <v>15</v>
      </c>
      <c r="P578" s="1" t="s">
        <v>18</v>
      </c>
      <c r="Q578" s="22" t="s">
        <v>18</v>
      </c>
      <c r="R578" s="8">
        <v>409.09881959678262</v>
      </c>
      <c r="S578" s="9" t="s">
        <v>2655</v>
      </c>
      <c r="T578" s="8">
        <v>425.49639611407082</v>
      </c>
      <c r="U578" s="9" t="s">
        <v>2655</v>
      </c>
      <c r="V578" s="8">
        <v>439.23958006894389</v>
      </c>
      <c r="W578" s="8" t="s">
        <v>2655</v>
      </c>
      <c r="X578" s="8"/>
    </row>
    <row r="579" spans="1:24" x14ac:dyDescent="0.3">
      <c r="A579" s="1" t="s">
        <v>2180</v>
      </c>
      <c r="B579" s="1" t="s">
        <v>36</v>
      </c>
      <c r="C579" s="1" t="s">
        <v>1586</v>
      </c>
      <c r="D579" s="1" t="s">
        <v>12</v>
      </c>
      <c r="E579" s="1" t="s">
        <v>17</v>
      </c>
      <c r="F579" s="1">
        <v>2006</v>
      </c>
      <c r="G579" s="1" t="s">
        <v>19</v>
      </c>
      <c r="H579" s="1">
        <v>2022</v>
      </c>
      <c r="I579" s="1" t="s">
        <v>1601</v>
      </c>
      <c r="J579" s="6">
        <v>142850.37</v>
      </c>
      <c r="K579" s="6">
        <v>135860</v>
      </c>
      <c r="L579" s="21">
        <v>0.95106508999591677</v>
      </c>
      <c r="M579" s="1">
        <v>0</v>
      </c>
      <c r="N579" s="1" t="s">
        <v>1589</v>
      </c>
      <c r="O579" s="1">
        <v>2</v>
      </c>
      <c r="P579" s="1">
        <v>900</v>
      </c>
      <c r="Q579" s="22">
        <v>44855</v>
      </c>
      <c r="R579" s="8">
        <v>394.05161113688399</v>
      </c>
      <c r="S579" s="9" t="s">
        <v>2655</v>
      </c>
      <c r="T579" s="8">
        <v>428.30185739105889</v>
      </c>
      <c r="U579" s="9" t="s">
        <v>2655</v>
      </c>
      <c r="V579" s="8">
        <v>438.61620750439778</v>
      </c>
      <c r="W579" s="8" t="s">
        <v>2655</v>
      </c>
      <c r="X579" s="8"/>
    </row>
    <row r="580" spans="1:24" x14ac:dyDescent="0.3">
      <c r="A580" s="1" t="s">
        <v>253</v>
      </c>
      <c r="B580" s="1" t="s">
        <v>2067</v>
      </c>
      <c r="C580" s="1" t="s">
        <v>1586</v>
      </c>
      <c r="D580" s="1" t="s">
        <v>12</v>
      </c>
      <c r="E580" s="1" t="s">
        <v>17</v>
      </c>
      <c r="F580" s="1">
        <v>1994</v>
      </c>
      <c r="G580" s="1" t="s">
        <v>21</v>
      </c>
      <c r="H580" s="1">
        <v>2022</v>
      </c>
      <c r="I580" s="1" t="s">
        <v>1599</v>
      </c>
      <c r="J580" s="6">
        <v>24285.79</v>
      </c>
      <c r="K580" s="6">
        <v>23861</v>
      </c>
      <c r="L580" s="21">
        <v>0.98250870159051851</v>
      </c>
      <c r="M580" s="1">
        <v>0</v>
      </c>
      <c r="N580" s="1" t="s">
        <v>1589</v>
      </c>
      <c r="O580" s="1">
        <v>12</v>
      </c>
      <c r="P580" s="1" t="s">
        <v>18</v>
      </c>
      <c r="Q580" s="22" t="s">
        <v>18</v>
      </c>
      <c r="R580" s="8">
        <v>394.66992838198797</v>
      </c>
      <c r="S580" s="9" t="s">
        <v>2655</v>
      </c>
      <c r="T580" s="8">
        <v>384.11192306282811</v>
      </c>
      <c r="U580" s="9" t="s">
        <v>2656</v>
      </c>
      <c r="V580" s="8">
        <v>435.99161279085422</v>
      </c>
      <c r="W580" s="8" t="s">
        <v>2655</v>
      </c>
      <c r="X580" s="8"/>
    </row>
    <row r="581" spans="1:24" x14ac:dyDescent="0.3">
      <c r="A581" s="1" t="s">
        <v>1050</v>
      </c>
      <c r="B581" s="1" t="s">
        <v>1051</v>
      </c>
      <c r="C581" s="1" t="s">
        <v>1586</v>
      </c>
      <c r="D581" s="1" t="s">
        <v>12</v>
      </c>
      <c r="E581" s="1" t="s">
        <v>17</v>
      </c>
      <c r="F581" s="1">
        <v>2011</v>
      </c>
      <c r="G581" s="1" t="s">
        <v>25</v>
      </c>
      <c r="H581" s="1">
        <v>2023</v>
      </c>
      <c r="I581" s="1" t="s">
        <v>1783</v>
      </c>
      <c r="J581" s="6">
        <v>28463</v>
      </c>
      <c r="K581" s="6">
        <v>23676</v>
      </c>
      <c r="L581" s="21">
        <v>0.83181674454555032</v>
      </c>
      <c r="M581" s="1">
        <v>0</v>
      </c>
      <c r="N581" s="1" t="s">
        <v>1589</v>
      </c>
      <c r="O581" s="1">
        <v>2011</v>
      </c>
      <c r="P581" s="1">
        <v>0.61799999999999999</v>
      </c>
      <c r="Q581" s="22">
        <v>44158</v>
      </c>
      <c r="R581" s="8">
        <v>408.59585251027647</v>
      </c>
      <c r="S581" s="9" t="s">
        <v>2655</v>
      </c>
      <c r="T581" s="8">
        <v>412.42079190528057</v>
      </c>
      <c r="U581" s="9" t="s">
        <v>2655</v>
      </c>
      <c r="V581" s="8">
        <v>420.79613884692407</v>
      </c>
      <c r="W581" s="8" t="s">
        <v>2655</v>
      </c>
      <c r="X581" s="8"/>
    </row>
    <row r="582" spans="1:24" x14ac:dyDescent="0.3">
      <c r="A582" s="1" t="s">
        <v>2159</v>
      </c>
      <c r="B582" s="1" t="s">
        <v>2160</v>
      </c>
      <c r="C582" s="1" t="s">
        <v>1586</v>
      </c>
      <c r="D582" s="1" t="s">
        <v>12</v>
      </c>
      <c r="E582" s="1" t="s">
        <v>17</v>
      </c>
      <c r="F582" s="1">
        <v>2021</v>
      </c>
      <c r="G582" s="1" t="s">
        <v>19</v>
      </c>
      <c r="H582" s="1">
        <v>2022</v>
      </c>
      <c r="I582" s="1" t="s">
        <v>1599</v>
      </c>
      <c r="J582" s="6">
        <v>27138</v>
      </c>
      <c r="K582" s="6">
        <v>27000</v>
      </c>
      <c r="L582" s="21">
        <v>0.99491487950475344</v>
      </c>
      <c r="M582" s="1">
        <v>0</v>
      </c>
      <c r="N582" s="1" t="s">
        <v>1589</v>
      </c>
      <c r="O582" s="1">
        <v>11</v>
      </c>
      <c r="P582" s="1">
        <v>0.92</v>
      </c>
      <c r="Q582" s="22">
        <v>43643</v>
      </c>
      <c r="R582" s="8" t="s">
        <v>18</v>
      </c>
      <c r="S582" s="9" t="s">
        <v>2654</v>
      </c>
      <c r="T582" s="8">
        <v>38.533569165008473</v>
      </c>
      <c r="U582" s="9" t="s">
        <v>2657</v>
      </c>
      <c r="V582" s="8">
        <v>405.40780455449925</v>
      </c>
      <c r="W582" s="8" t="s">
        <v>2655</v>
      </c>
      <c r="X582" s="8"/>
    </row>
    <row r="583" spans="1:24" x14ac:dyDescent="0.3">
      <c r="A583" s="1" t="s">
        <v>1333</v>
      </c>
      <c r="B583" s="1" t="s">
        <v>1334</v>
      </c>
      <c r="C583" s="1" t="s">
        <v>1586</v>
      </c>
      <c r="D583" s="1" t="s">
        <v>12</v>
      </c>
      <c r="E583" s="1" t="s">
        <v>17</v>
      </c>
      <c r="F583" s="1">
        <v>1999</v>
      </c>
      <c r="G583" s="1" t="s">
        <v>21</v>
      </c>
      <c r="H583" s="1">
        <v>2022</v>
      </c>
      <c r="I583" s="1" t="s">
        <v>1783</v>
      </c>
      <c r="J583" s="6">
        <v>26299</v>
      </c>
      <c r="K583" s="6">
        <v>17007</v>
      </c>
      <c r="L583" s="21">
        <v>0.64667858093463626</v>
      </c>
      <c r="M583" s="1">
        <v>0</v>
      </c>
      <c r="N583" s="1" t="s">
        <v>1589</v>
      </c>
      <c r="O583" s="1">
        <v>1999</v>
      </c>
      <c r="P583" s="1" t="s">
        <v>18</v>
      </c>
      <c r="Q583" s="22" t="s">
        <v>18</v>
      </c>
      <c r="R583" s="8">
        <v>391.88254306247387</v>
      </c>
      <c r="S583" s="9" t="s">
        <v>2655</v>
      </c>
      <c r="T583" s="8">
        <v>397.4416897980912</v>
      </c>
      <c r="U583" s="9" t="s">
        <v>2655</v>
      </c>
      <c r="V583" s="8">
        <v>397.84056428001065</v>
      </c>
      <c r="W583" s="8" t="s">
        <v>2655</v>
      </c>
      <c r="X583" s="8"/>
    </row>
    <row r="584" spans="1:24" x14ac:dyDescent="0.3">
      <c r="A584" s="1" t="s">
        <v>1422</v>
      </c>
      <c r="B584" s="1" t="s">
        <v>1926</v>
      </c>
      <c r="C584" s="1" t="s">
        <v>1586</v>
      </c>
      <c r="D584" s="1" t="s">
        <v>12</v>
      </c>
      <c r="E584" s="1" t="s">
        <v>17</v>
      </c>
      <c r="F584" s="1">
        <v>2010</v>
      </c>
      <c r="J584" s="6">
        <v>954</v>
      </c>
      <c r="K584" s="6">
        <v>911</v>
      </c>
      <c r="L584" s="21">
        <v>0.95492662473794554</v>
      </c>
      <c r="M584" s="1">
        <v>0</v>
      </c>
      <c r="N584" s="1" t="s">
        <v>1589</v>
      </c>
      <c r="O584" s="1">
        <v>0</v>
      </c>
      <c r="P584" s="1" t="s">
        <v>18</v>
      </c>
      <c r="Q584" s="22" t="s">
        <v>18</v>
      </c>
      <c r="R584" s="8">
        <v>522.24207382854638</v>
      </c>
      <c r="S584" s="9" t="s">
        <v>2654</v>
      </c>
      <c r="T584" s="8">
        <v>379.98108944792756</v>
      </c>
      <c r="U584" s="9" t="s">
        <v>2656</v>
      </c>
      <c r="V584" s="8">
        <v>395.24320361481574</v>
      </c>
      <c r="W584" s="8" t="s">
        <v>2655</v>
      </c>
      <c r="X584" s="8"/>
    </row>
    <row r="585" spans="1:24" x14ac:dyDescent="0.3">
      <c r="A585" s="1" t="s">
        <v>23</v>
      </c>
      <c r="B585" s="1" t="s">
        <v>24</v>
      </c>
      <c r="C585" s="1" t="s">
        <v>1586</v>
      </c>
      <c r="D585" s="1" t="s">
        <v>12</v>
      </c>
      <c r="E585" s="1" t="s">
        <v>17</v>
      </c>
      <c r="F585" s="1">
        <v>2014</v>
      </c>
      <c r="G585" s="1" t="s">
        <v>25</v>
      </c>
      <c r="H585" s="1">
        <v>2021</v>
      </c>
      <c r="I585" s="1" t="s">
        <v>1600</v>
      </c>
      <c r="J585" s="6">
        <v>28938</v>
      </c>
      <c r="K585" s="6">
        <v>28938</v>
      </c>
      <c r="L585" s="21">
        <v>1</v>
      </c>
      <c r="M585" s="1">
        <v>0</v>
      </c>
      <c r="N585" s="1" t="s">
        <v>1589</v>
      </c>
      <c r="O585" s="1">
        <v>8</v>
      </c>
      <c r="P585" s="1">
        <v>-1.35</v>
      </c>
      <c r="Q585" s="22">
        <v>43542</v>
      </c>
      <c r="R585" s="8">
        <v>360.78557605916097</v>
      </c>
      <c r="S585" s="9" t="s">
        <v>2656</v>
      </c>
      <c r="T585" s="8">
        <v>365.50120948234155</v>
      </c>
      <c r="U585" s="9" t="s">
        <v>2656</v>
      </c>
      <c r="V585" s="8">
        <v>384.37880986937591</v>
      </c>
      <c r="W585" s="8" t="s">
        <v>2655</v>
      </c>
      <c r="X585" s="8"/>
    </row>
    <row r="586" spans="1:24" x14ac:dyDescent="0.3">
      <c r="A586" s="1" t="s">
        <v>660</v>
      </c>
      <c r="B586" s="1" t="s">
        <v>661</v>
      </c>
      <c r="C586" s="1" t="s">
        <v>1586</v>
      </c>
      <c r="D586" s="1" t="s">
        <v>12</v>
      </c>
      <c r="E586" s="1" t="s">
        <v>17</v>
      </c>
      <c r="F586" s="1">
        <v>1996</v>
      </c>
      <c r="J586" s="6">
        <v>16675.7</v>
      </c>
      <c r="K586" s="6">
        <v>26200</v>
      </c>
      <c r="L586" s="21">
        <v>1.5711484375468496</v>
      </c>
      <c r="M586" s="1">
        <v>0</v>
      </c>
      <c r="N586" s="1" t="s">
        <v>1589</v>
      </c>
      <c r="O586" s="1">
        <v>8</v>
      </c>
      <c r="P586" s="1" t="s">
        <v>18</v>
      </c>
      <c r="Q586" s="22" t="s">
        <v>18</v>
      </c>
      <c r="R586" s="8">
        <v>380.05379084536179</v>
      </c>
      <c r="S586" s="9" t="s">
        <v>2656</v>
      </c>
      <c r="T586" s="8">
        <v>416.99688768687372</v>
      </c>
      <c r="U586" s="9" t="s">
        <v>2655</v>
      </c>
      <c r="V586" s="8">
        <v>376.39127592844676</v>
      </c>
      <c r="W586" s="8" t="s">
        <v>2655</v>
      </c>
      <c r="X586" s="8"/>
    </row>
    <row r="587" spans="1:24" x14ac:dyDescent="0.3">
      <c r="A587" s="1" t="s">
        <v>1443</v>
      </c>
      <c r="B587" s="1" t="s">
        <v>1444</v>
      </c>
      <c r="C587" s="1" t="s">
        <v>1586</v>
      </c>
      <c r="D587" s="1" t="s">
        <v>12</v>
      </c>
      <c r="E587" s="1" t="s">
        <v>17</v>
      </c>
      <c r="F587" s="1">
        <v>2014</v>
      </c>
      <c r="G587" s="1" t="s">
        <v>19</v>
      </c>
      <c r="H587" s="1">
        <v>2020</v>
      </c>
      <c r="I587" s="1" t="s">
        <v>1603</v>
      </c>
      <c r="J587" s="6">
        <v>58369</v>
      </c>
      <c r="K587" s="6">
        <v>49572</v>
      </c>
      <c r="L587" s="21">
        <v>0.84928643629323786</v>
      </c>
      <c r="M587" s="1">
        <v>235</v>
      </c>
      <c r="N587" s="1" t="s">
        <v>1589</v>
      </c>
      <c r="O587" s="1">
        <v>8</v>
      </c>
      <c r="P587" s="1" t="s">
        <v>18</v>
      </c>
      <c r="Q587" s="22" t="s">
        <v>18</v>
      </c>
      <c r="R587" s="8">
        <v>374.96145214069111</v>
      </c>
      <c r="S587" s="9" t="s">
        <v>2656</v>
      </c>
      <c r="T587" s="8">
        <v>363.82248282478713</v>
      </c>
      <c r="U587" s="9" t="s">
        <v>2656</v>
      </c>
      <c r="V587" s="8">
        <v>374.51648135140226</v>
      </c>
      <c r="W587" s="8" t="s">
        <v>2655</v>
      </c>
      <c r="X587" s="8"/>
    </row>
    <row r="588" spans="1:24" x14ac:dyDescent="0.3">
      <c r="A588" s="1" t="s">
        <v>889</v>
      </c>
      <c r="B588" s="1" t="s">
        <v>2248</v>
      </c>
      <c r="C588" s="1" t="s">
        <v>1586</v>
      </c>
      <c r="D588" s="1" t="s">
        <v>12</v>
      </c>
      <c r="E588" s="1" t="s">
        <v>17</v>
      </c>
      <c r="F588" s="1">
        <v>2009</v>
      </c>
      <c r="G588" s="1" t="s">
        <v>19</v>
      </c>
      <c r="H588" s="1">
        <v>2021</v>
      </c>
      <c r="I588" s="1" t="s">
        <v>1601</v>
      </c>
      <c r="J588" s="6">
        <v>65640</v>
      </c>
      <c r="K588" s="6">
        <v>40727</v>
      </c>
      <c r="L588" s="21">
        <v>0.62046008531383301</v>
      </c>
      <c r="M588" s="1">
        <v>0</v>
      </c>
      <c r="N588" s="1" t="s">
        <v>1589</v>
      </c>
      <c r="O588" s="1">
        <v>14</v>
      </c>
      <c r="P588" s="1">
        <v>0.58199999999999996</v>
      </c>
      <c r="Q588" s="22">
        <v>44502</v>
      </c>
      <c r="R588" s="8">
        <v>342.28062157221206</v>
      </c>
      <c r="S588" s="9" t="s">
        <v>2656</v>
      </c>
      <c r="T588" s="8">
        <v>351.86881170018285</v>
      </c>
      <c r="U588" s="9" t="s">
        <v>2656</v>
      </c>
      <c r="V588" s="8">
        <v>371.54138939670935</v>
      </c>
      <c r="W588" s="8" t="s">
        <v>2655</v>
      </c>
      <c r="X588" s="8"/>
    </row>
    <row r="589" spans="1:24" x14ac:dyDescent="0.3">
      <c r="A589" s="1" t="s">
        <v>622</v>
      </c>
      <c r="B589" s="1" t="s">
        <v>623</v>
      </c>
      <c r="C589" s="1" t="s">
        <v>1586</v>
      </c>
      <c r="D589" s="1" t="s">
        <v>12</v>
      </c>
      <c r="E589" s="1" t="s">
        <v>17</v>
      </c>
      <c r="F589" s="1">
        <v>2008</v>
      </c>
      <c r="J589" s="6">
        <v>20712.73</v>
      </c>
      <c r="K589" s="6">
        <v>17617</v>
      </c>
      <c r="L589" s="21">
        <v>0.85053974053637549</v>
      </c>
      <c r="M589" s="1">
        <v>0</v>
      </c>
      <c r="N589" s="1" t="s">
        <v>1589</v>
      </c>
      <c r="O589" s="1">
        <v>14</v>
      </c>
      <c r="P589" s="1" t="s">
        <v>18</v>
      </c>
      <c r="Q589" s="22" t="s">
        <v>18</v>
      </c>
      <c r="R589" s="8">
        <v>390.29871967625706</v>
      </c>
      <c r="S589" s="9" t="s">
        <v>2655</v>
      </c>
      <c r="T589" s="8">
        <v>367.57863400913351</v>
      </c>
      <c r="U589" s="9" t="s">
        <v>2656</v>
      </c>
      <c r="V589" s="8">
        <v>371.26960086864455</v>
      </c>
      <c r="W589" s="8" t="s">
        <v>2655</v>
      </c>
      <c r="X589" s="8"/>
    </row>
    <row r="590" spans="1:24" x14ac:dyDescent="0.3">
      <c r="A590" s="1" t="s">
        <v>268</v>
      </c>
      <c r="B590" s="1" t="s">
        <v>269</v>
      </c>
      <c r="C590" s="1" t="s">
        <v>1586</v>
      </c>
      <c r="D590" s="1" t="s">
        <v>12</v>
      </c>
      <c r="E590" s="1" t="s">
        <v>17</v>
      </c>
      <c r="F590" s="1">
        <v>1998</v>
      </c>
      <c r="G590" s="1" t="s">
        <v>25</v>
      </c>
      <c r="H590" s="1">
        <v>2022</v>
      </c>
      <c r="I590" s="1" t="s">
        <v>1818</v>
      </c>
      <c r="J590" s="6">
        <v>70347</v>
      </c>
      <c r="K590" s="6">
        <v>46162</v>
      </c>
      <c r="L590" s="21">
        <v>0.65620424467283611</v>
      </c>
      <c r="M590" s="1">
        <v>0</v>
      </c>
      <c r="N590" s="1" t="s">
        <v>1589</v>
      </c>
      <c r="O590" s="1">
        <v>17</v>
      </c>
      <c r="P590" s="1">
        <v>0.67300000000000004</v>
      </c>
      <c r="Q590" s="22">
        <v>44865</v>
      </c>
      <c r="R590" s="8">
        <v>331.66838102548792</v>
      </c>
      <c r="S590" s="9" t="s">
        <v>2656</v>
      </c>
      <c r="T590" s="8">
        <v>346.45278235034903</v>
      </c>
      <c r="U590" s="9" t="s">
        <v>2656</v>
      </c>
      <c r="V590" s="8">
        <v>368.53428191678393</v>
      </c>
      <c r="W590" s="8" t="s">
        <v>2655</v>
      </c>
      <c r="X590" s="8"/>
    </row>
    <row r="591" spans="1:24" x14ac:dyDescent="0.3">
      <c r="A591" s="1" t="s">
        <v>735</v>
      </c>
      <c r="B591" s="1" t="s">
        <v>736</v>
      </c>
      <c r="C591" s="1" t="s">
        <v>1586</v>
      </c>
      <c r="D591" s="1" t="s">
        <v>12</v>
      </c>
      <c r="E591" s="1" t="s">
        <v>17</v>
      </c>
      <c r="F591" s="1">
        <v>2012</v>
      </c>
      <c r="G591" s="1" t="s">
        <v>25</v>
      </c>
      <c r="H591" s="1">
        <v>2023</v>
      </c>
      <c r="I591" s="1" t="s">
        <v>1783</v>
      </c>
      <c r="J591" s="6">
        <v>62000</v>
      </c>
      <c r="K591" s="6">
        <v>48097</v>
      </c>
      <c r="L591" s="21">
        <v>0.77575806451612905</v>
      </c>
      <c r="M591" s="1">
        <v>0</v>
      </c>
      <c r="N591" s="1" t="s">
        <v>1589</v>
      </c>
      <c r="O591" s="1">
        <v>12</v>
      </c>
      <c r="P591" s="1" t="s">
        <v>18</v>
      </c>
      <c r="Q591" s="22" t="s">
        <v>18</v>
      </c>
      <c r="R591" s="8">
        <v>308.63545161290324</v>
      </c>
      <c r="S591" s="9" t="s">
        <v>2656</v>
      </c>
      <c r="T591" s="8">
        <v>329.59983870967744</v>
      </c>
      <c r="U591" s="9" t="s">
        <v>2656</v>
      </c>
      <c r="V591" s="8">
        <v>367.44566129032256</v>
      </c>
      <c r="W591" s="8" t="s">
        <v>2655</v>
      </c>
      <c r="X591" s="8"/>
    </row>
    <row r="592" spans="1:24" x14ac:dyDescent="0.3">
      <c r="A592" s="1" t="s">
        <v>373</v>
      </c>
      <c r="B592" s="1" t="s">
        <v>374</v>
      </c>
      <c r="C592" s="1" t="s">
        <v>1586</v>
      </c>
      <c r="D592" s="1" t="s">
        <v>12</v>
      </c>
      <c r="E592" s="1" t="s">
        <v>17</v>
      </c>
      <c r="F592" s="1">
        <v>1996</v>
      </c>
      <c r="G592" s="1" t="s">
        <v>19</v>
      </c>
      <c r="H592" s="1">
        <v>2021</v>
      </c>
      <c r="I592" s="1" t="s">
        <v>1601</v>
      </c>
      <c r="J592" s="6">
        <v>29450</v>
      </c>
      <c r="K592" s="6">
        <v>26202</v>
      </c>
      <c r="L592" s="21">
        <v>0.8897113752122241</v>
      </c>
      <c r="M592" s="1">
        <v>0</v>
      </c>
      <c r="N592" s="1" t="s">
        <v>1589</v>
      </c>
      <c r="O592" s="1">
        <v>6</v>
      </c>
      <c r="P592" s="1">
        <v>0.57899999999999996</v>
      </c>
      <c r="Q592" s="22">
        <v>44511</v>
      </c>
      <c r="R592" s="8">
        <v>348.83202201766392</v>
      </c>
      <c r="S592" s="9" t="s">
        <v>2656</v>
      </c>
      <c r="T592" s="8">
        <v>355.07095098892898</v>
      </c>
      <c r="U592" s="9" t="s">
        <v>2656</v>
      </c>
      <c r="V592" s="8">
        <v>354.53933947008335</v>
      </c>
      <c r="W592" s="8" t="s">
        <v>2656</v>
      </c>
      <c r="X592" s="8"/>
    </row>
    <row r="593" spans="1:24" x14ac:dyDescent="0.3">
      <c r="A593" s="1" t="s">
        <v>650</v>
      </c>
      <c r="B593" s="1" t="s">
        <v>2103</v>
      </c>
      <c r="C593" s="1" t="s">
        <v>1586</v>
      </c>
      <c r="D593" s="1" t="s">
        <v>12</v>
      </c>
      <c r="E593" s="1" t="s">
        <v>17</v>
      </c>
      <c r="F593" s="1">
        <v>2013</v>
      </c>
      <c r="G593" s="1" t="s">
        <v>19</v>
      </c>
      <c r="H593" s="1">
        <v>2022</v>
      </c>
      <c r="I593" s="1" t="s">
        <v>1818</v>
      </c>
      <c r="J593" s="6">
        <v>108169</v>
      </c>
      <c r="K593" s="6">
        <v>94786</v>
      </c>
      <c r="L593" s="21">
        <v>0.87627693701522613</v>
      </c>
      <c r="M593" s="1">
        <v>0</v>
      </c>
      <c r="N593" s="1" t="s">
        <v>1589</v>
      </c>
      <c r="O593" s="1">
        <v>9</v>
      </c>
      <c r="P593" s="1">
        <v>0.55000000000000004</v>
      </c>
      <c r="Q593" s="22">
        <v>43704</v>
      </c>
      <c r="R593" s="8">
        <v>312.17482365557601</v>
      </c>
      <c r="S593" s="9" t="s">
        <v>2656</v>
      </c>
      <c r="T593" s="8">
        <v>332.25913154415775</v>
      </c>
      <c r="U593" s="9" t="s">
        <v>2656</v>
      </c>
      <c r="V593" s="8">
        <v>349.12188334920359</v>
      </c>
      <c r="W593" s="8" t="s">
        <v>2656</v>
      </c>
      <c r="X593" s="8"/>
    </row>
    <row r="594" spans="1:24" x14ac:dyDescent="0.3">
      <c r="A594" s="1" t="s">
        <v>1325</v>
      </c>
      <c r="B594" s="1" t="s">
        <v>1326</v>
      </c>
      <c r="C594" s="1" t="s">
        <v>1586</v>
      </c>
      <c r="D594" s="1" t="s">
        <v>12</v>
      </c>
      <c r="E594" s="1" t="s">
        <v>17</v>
      </c>
      <c r="F594" s="1">
        <v>1980</v>
      </c>
      <c r="G594" s="1" t="s">
        <v>25</v>
      </c>
      <c r="H594" s="1">
        <v>2022</v>
      </c>
      <c r="I594" s="1" t="s">
        <v>1818</v>
      </c>
      <c r="J594" s="6">
        <v>25772</v>
      </c>
      <c r="K594" s="6">
        <v>23879</v>
      </c>
      <c r="L594" s="21">
        <v>0.92654819183610115</v>
      </c>
      <c r="M594" s="1">
        <v>0</v>
      </c>
      <c r="N594" s="1" t="s">
        <v>1589</v>
      </c>
      <c r="O594" s="1">
        <v>5</v>
      </c>
      <c r="P594" s="1">
        <v>0.68</v>
      </c>
      <c r="Q594" s="22">
        <v>42391</v>
      </c>
      <c r="R594" s="8">
        <v>339.11801878007134</v>
      </c>
      <c r="S594" s="9" t="s">
        <v>2656</v>
      </c>
      <c r="T594" s="8">
        <v>341.45705339127721</v>
      </c>
      <c r="U594" s="9" t="s">
        <v>2656</v>
      </c>
      <c r="V594" s="8">
        <v>342.8671449635263</v>
      </c>
      <c r="W594" s="8" t="s">
        <v>2656</v>
      </c>
      <c r="X594" s="8"/>
    </row>
    <row r="595" spans="1:24" x14ac:dyDescent="0.3">
      <c r="A595" s="1" t="s">
        <v>1345</v>
      </c>
      <c r="B595" s="1" t="s">
        <v>1346</v>
      </c>
      <c r="C595" s="1" t="s">
        <v>1586</v>
      </c>
      <c r="D595" s="1" t="s">
        <v>12</v>
      </c>
      <c r="E595" s="1" t="s">
        <v>17</v>
      </c>
      <c r="F595" s="1">
        <v>2009</v>
      </c>
      <c r="J595" s="6">
        <v>25642</v>
      </c>
      <c r="K595" s="6">
        <v>25642</v>
      </c>
      <c r="L595" s="21">
        <v>1</v>
      </c>
      <c r="M595" s="1">
        <v>0</v>
      </c>
      <c r="N595" s="1" t="s">
        <v>1589</v>
      </c>
      <c r="O595" s="1">
        <v>13</v>
      </c>
      <c r="P595" s="1" t="s">
        <v>18</v>
      </c>
      <c r="Q595" s="22" t="s">
        <v>18</v>
      </c>
      <c r="R595" s="8">
        <v>358.97795491771308</v>
      </c>
      <c r="S595" s="9" t="s">
        <v>2656</v>
      </c>
      <c r="T595" s="8">
        <v>354.97631619998435</v>
      </c>
      <c r="U595" s="9" t="s">
        <v>2656</v>
      </c>
      <c r="V595" s="8">
        <v>340.9273718898682</v>
      </c>
      <c r="W595" s="8" t="s">
        <v>2656</v>
      </c>
      <c r="X595" s="8"/>
    </row>
    <row r="596" spans="1:24" x14ac:dyDescent="0.3">
      <c r="A596" s="1" t="s">
        <v>191</v>
      </c>
      <c r="B596" s="1" t="s">
        <v>1901</v>
      </c>
      <c r="C596" s="1" t="s">
        <v>1586</v>
      </c>
      <c r="D596" s="1" t="s">
        <v>12</v>
      </c>
      <c r="E596" s="1" t="s">
        <v>17</v>
      </c>
      <c r="F596" s="1">
        <v>1986</v>
      </c>
      <c r="J596" s="6">
        <v>40063.660000000003</v>
      </c>
      <c r="K596" s="6">
        <v>38000</v>
      </c>
      <c r="L596" s="21">
        <v>0.94849047740520953</v>
      </c>
      <c r="M596" s="1">
        <v>0</v>
      </c>
      <c r="N596" s="1" t="s">
        <v>1589</v>
      </c>
      <c r="O596" s="1">
        <v>17</v>
      </c>
      <c r="P596" s="1">
        <v>0.82</v>
      </c>
      <c r="Q596" s="22">
        <v>41258</v>
      </c>
      <c r="R596" s="8">
        <v>301.03409274140205</v>
      </c>
      <c r="S596" s="9" t="s">
        <v>2656</v>
      </c>
      <c r="T596" s="8">
        <v>311.9121295957483</v>
      </c>
      <c r="U596" s="9" t="s">
        <v>2656</v>
      </c>
      <c r="V596" s="8">
        <v>340.43878167895792</v>
      </c>
      <c r="W596" s="8" t="s">
        <v>2656</v>
      </c>
      <c r="X596" s="8"/>
    </row>
    <row r="597" spans="1:24" x14ac:dyDescent="0.3">
      <c r="A597" s="1" t="s">
        <v>816</v>
      </c>
      <c r="B597" s="1" t="s">
        <v>817</v>
      </c>
      <c r="C597" s="1" t="s">
        <v>1586</v>
      </c>
      <c r="D597" s="1" t="s">
        <v>12</v>
      </c>
      <c r="E597" s="1" t="s">
        <v>17</v>
      </c>
      <c r="F597" s="1">
        <v>2005</v>
      </c>
      <c r="G597" s="1" t="s">
        <v>47</v>
      </c>
      <c r="H597" s="1">
        <v>2021</v>
      </c>
      <c r="I597" s="1" t="s">
        <v>1601</v>
      </c>
      <c r="J597" s="6">
        <v>94391</v>
      </c>
      <c r="K597" s="6">
        <v>79687</v>
      </c>
      <c r="L597" s="21">
        <v>0.84422243646110329</v>
      </c>
      <c r="M597" s="1">
        <v>0</v>
      </c>
      <c r="N597" s="1" t="s">
        <v>1589</v>
      </c>
      <c r="O597" s="1">
        <v>7</v>
      </c>
      <c r="P597" s="1">
        <v>0.68</v>
      </c>
      <c r="Q597" s="22">
        <v>43201</v>
      </c>
      <c r="R597" s="8">
        <v>321.01136231208483</v>
      </c>
      <c r="S597" s="9" t="s">
        <v>2656</v>
      </c>
      <c r="T597" s="8">
        <v>340.81127967708784</v>
      </c>
      <c r="U597" s="9" t="s">
        <v>2656</v>
      </c>
      <c r="V597" s="8">
        <v>329.87432594209196</v>
      </c>
      <c r="W597" s="8" t="s">
        <v>2656</v>
      </c>
      <c r="X597" s="8"/>
    </row>
    <row r="598" spans="1:24" x14ac:dyDescent="0.3">
      <c r="A598" s="1" t="s">
        <v>1556</v>
      </c>
      <c r="B598" s="1" t="s">
        <v>1557</v>
      </c>
      <c r="C598" s="1" t="s">
        <v>1586</v>
      </c>
      <c r="D598" s="1" t="s">
        <v>12</v>
      </c>
      <c r="E598" s="1" t="s">
        <v>17</v>
      </c>
      <c r="F598" s="1">
        <v>2002</v>
      </c>
      <c r="G598" s="1" t="s">
        <v>19</v>
      </c>
      <c r="H598" s="1">
        <v>2022</v>
      </c>
      <c r="I598" s="1" t="s">
        <v>1818</v>
      </c>
      <c r="J598" s="6">
        <v>30686</v>
      </c>
      <c r="K598" s="6">
        <v>27046</v>
      </c>
      <c r="L598" s="21">
        <v>0.88137913054813266</v>
      </c>
      <c r="M598" s="1">
        <v>0</v>
      </c>
      <c r="N598" s="1" t="s">
        <v>1589</v>
      </c>
      <c r="O598" s="1">
        <v>2009</v>
      </c>
      <c r="P598" s="1">
        <v>0.44</v>
      </c>
      <c r="Q598" s="22">
        <v>44901</v>
      </c>
      <c r="R598" s="8">
        <v>215.23601968324317</v>
      </c>
      <c r="S598" s="9" t="s">
        <v>2656</v>
      </c>
      <c r="T598" s="8">
        <v>283.09750374763735</v>
      </c>
      <c r="U598" s="9" t="s">
        <v>2656</v>
      </c>
      <c r="V598" s="8">
        <v>329.57924134784594</v>
      </c>
      <c r="W598" s="8" t="s">
        <v>2656</v>
      </c>
      <c r="X598" s="8"/>
    </row>
    <row r="599" spans="1:24" x14ac:dyDescent="0.3">
      <c r="A599" s="1" t="s">
        <v>828</v>
      </c>
      <c r="B599" s="1" t="s">
        <v>829</v>
      </c>
      <c r="C599" s="1" t="s">
        <v>1586</v>
      </c>
      <c r="D599" s="1" t="s">
        <v>12</v>
      </c>
      <c r="E599" s="1" t="s">
        <v>17</v>
      </c>
      <c r="F599" s="1">
        <v>2010</v>
      </c>
      <c r="G599" s="1" t="s">
        <v>19</v>
      </c>
      <c r="H599" s="1">
        <v>2020</v>
      </c>
      <c r="I599" s="1" t="s">
        <v>1603</v>
      </c>
      <c r="J599" s="6">
        <v>343000</v>
      </c>
      <c r="K599" s="6">
        <v>230000</v>
      </c>
      <c r="L599" s="21">
        <v>0.67055393586005829</v>
      </c>
      <c r="M599" s="1">
        <v>1612</v>
      </c>
      <c r="N599" s="1" t="s">
        <v>1821</v>
      </c>
      <c r="O599" s="1" t="s">
        <v>18</v>
      </c>
      <c r="P599" s="1" t="s">
        <v>18</v>
      </c>
      <c r="Q599" s="22" t="s">
        <v>18</v>
      </c>
      <c r="R599" s="8">
        <v>333.65013411078718</v>
      </c>
      <c r="S599" s="9"/>
      <c r="T599" s="8">
        <v>338.560193877551</v>
      </c>
      <c r="U599" s="9"/>
      <c r="V599" s="8">
        <v>328.87674052478133</v>
      </c>
      <c r="W599" s="8"/>
      <c r="X599" s="8"/>
    </row>
    <row r="600" spans="1:24" x14ac:dyDescent="0.3">
      <c r="A600" s="1" t="s">
        <v>2514</v>
      </c>
      <c r="B600" s="1" t="s">
        <v>619</v>
      </c>
      <c r="C600" s="1" t="s">
        <v>1586</v>
      </c>
      <c r="D600" s="1" t="s">
        <v>12</v>
      </c>
      <c r="E600" s="1" t="s">
        <v>17</v>
      </c>
      <c r="F600" s="1">
        <v>2005</v>
      </c>
      <c r="G600" s="1" t="s">
        <v>47</v>
      </c>
      <c r="H600" s="1">
        <v>2019</v>
      </c>
      <c r="I600" s="1" t="s">
        <v>1599</v>
      </c>
      <c r="J600" s="6">
        <v>34058</v>
      </c>
      <c r="K600" s="6">
        <v>24671</v>
      </c>
      <c r="L600" s="21">
        <v>0.72438193669622408</v>
      </c>
      <c r="M600" s="1">
        <v>0</v>
      </c>
      <c r="N600" s="1" t="s">
        <v>1589</v>
      </c>
      <c r="O600" s="1">
        <v>2005</v>
      </c>
      <c r="P600" s="1">
        <v>0.64800000000000002</v>
      </c>
      <c r="Q600" s="22">
        <v>44719</v>
      </c>
      <c r="R600" s="8">
        <v>529.65504433613251</v>
      </c>
      <c r="S600" s="9" t="s">
        <v>2654</v>
      </c>
      <c r="T600" s="8">
        <v>330.26092254389573</v>
      </c>
      <c r="U600" s="9" t="s">
        <v>2656</v>
      </c>
      <c r="V600" s="8">
        <v>314.02900933701335</v>
      </c>
      <c r="W600" s="8" t="s">
        <v>2656</v>
      </c>
      <c r="X600" s="8"/>
    </row>
    <row r="601" spans="1:24" x14ac:dyDescent="0.3">
      <c r="A601" s="1" t="s">
        <v>1061</v>
      </c>
      <c r="B601" s="1" t="s">
        <v>1062</v>
      </c>
      <c r="C601" s="1" t="s">
        <v>1586</v>
      </c>
      <c r="D601" s="1" t="s">
        <v>12</v>
      </c>
      <c r="E601" s="1" t="s">
        <v>17</v>
      </c>
      <c r="F601" s="1">
        <v>1982</v>
      </c>
      <c r="G601" s="1" t="s">
        <v>21</v>
      </c>
      <c r="H601" s="1">
        <v>2014</v>
      </c>
      <c r="I601" s="1" t="s">
        <v>1601</v>
      </c>
      <c r="J601" s="6">
        <v>40749</v>
      </c>
      <c r="K601" s="6">
        <v>38547</v>
      </c>
      <c r="L601" s="21">
        <v>0.94596186409482441</v>
      </c>
      <c r="M601" s="1">
        <v>0</v>
      </c>
      <c r="N601" s="1" t="s">
        <v>1589</v>
      </c>
      <c r="O601" s="1">
        <v>8</v>
      </c>
      <c r="P601" s="1">
        <v>0.62</v>
      </c>
      <c r="Q601" s="22">
        <v>44941</v>
      </c>
      <c r="R601" s="8">
        <v>292.08533951753412</v>
      </c>
      <c r="S601" s="9" t="s">
        <v>2656</v>
      </c>
      <c r="T601" s="8">
        <v>275.6541066038431</v>
      </c>
      <c r="U601" s="9" t="s">
        <v>2656</v>
      </c>
      <c r="V601" s="8">
        <v>300.63401752190236</v>
      </c>
      <c r="W601" s="8" t="s">
        <v>2656</v>
      </c>
      <c r="X601" s="8"/>
    </row>
    <row r="602" spans="1:24" x14ac:dyDescent="0.3">
      <c r="A602" s="1" t="s">
        <v>2094</v>
      </c>
      <c r="B602" s="1" t="s">
        <v>443</v>
      </c>
      <c r="C602" s="1" t="s">
        <v>1586</v>
      </c>
      <c r="D602" s="1" t="s">
        <v>12</v>
      </c>
      <c r="E602" s="1" t="s">
        <v>17</v>
      </c>
      <c r="F602" s="1">
        <v>1986</v>
      </c>
      <c r="G602" s="1" t="s">
        <v>25</v>
      </c>
      <c r="H602" s="1">
        <v>2022</v>
      </c>
      <c r="I602" s="1" t="s">
        <v>1783</v>
      </c>
      <c r="J602" s="6">
        <v>122022</v>
      </c>
      <c r="K602" s="6">
        <v>103485</v>
      </c>
      <c r="L602" s="21">
        <v>0.84808477159856421</v>
      </c>
      <c r="M602" s="1">
        <v>0</v>
      </c>
      <c r="N602" s="1" t="s">
        <v>1589</v>
      </c>
      <c r="O602" s="1">
        <v>15</v>
      </c>
      <c r="P602" s="1">
        <v>0.64500000000000002</v>
      </c>
      <c r="Q602" s="22">
        <v>44843</v>
      </c>
      <c r="R602" s="8">
        <v>255.52121624883617</v>
      </c>
      <c r="S602" s="9" t="s">
        <v>2656</v>
      </c>
      <c r="T602" s="8">
        <v>269.42127410523733</v>
      </c>
      <c r="U602" s="9" t="s">
        <v>2656</v>
      </c>
      <c r="V602" s="8">
        <v>297.74319708342432</v>
      </c>
      <c r="W602" s="8" t="s">
        <v>2656</v>
      </c>
      <c r="X602" s="8"/>
    </row>
    <row r="603" spans="1:24" x14ac:dyDescent="0.3">
      <c r="A603" s="1" t="s">
        <v>790</v>
      </c>
      <c r="B603" s="1" t="s">
        <v>1922</v>
      </c>
      <c r="C603" s="1" t="s">
        <v>1586</v>
      </c>
      <c r="D603" s="1" t="s">
        <v>12</v>
      </c>
      <c r="E603" s="1" t="s">
        <v>17</v>
      </c>
      <c r="F603" s="1">
        <v>1979</v>
      </c>
      <c r="G603" s="1" t="s">
        <v>19</v>
      </c>
      <c r="H603" s="1">
        <v>2022</v>
      </c>
      <c r="I603" s="1" t="s">
        <v>1601</v>
      </c>
      <c r="J603" s="6">
        <v>46816</v>
      </c>
      <c r="K603" s="6">
        <v>43903</v>
      </c>
      <c r="L603" s="21">
        <v>0.93777768284347229</v>
      </c>
      <c r="M603" s="1">
        <v>0</v>
      </c>
      <c r="N603" s="1" t="s">
        <v>1589</v>
      </c>
      <c r="O603" s="1">
        <v>8</v>
      </c>
      <c r="P603" s="1">
        <v>0.56999999999999995</v>
      </c>
      <c r="Q603" s="22">
        <v>42615</v>
      </c>
      <c r="R603" s="8">
        <v>286.59232548701317</v>
      </c>
      <c r="S603" s="9" t="s">
        <v>2656</v>
      </c>
      <c r="T603" s="8">
        <v>272.0842188568011</v>
      </c>
      <c r="U603" s="9" t="s">
        <v>2656</v>
      </c>
      <c r="V603" s="8">
        <v>296.80462448735477</v>
      </c>
      <c r="W603" s="8" t="s">
        <v>2656</v>
      </c>
      <c r="X603" s="8"/>
    </row>
    <row r="604" spans="1:24" x14ac:dyDescent="0.3">
      <c r="A604" s="1" t="s">
        <v>1827</v>
      </c>
      <c r="B604" s="1" t="s">
        <v>1001</v>
      </c>
      <c r="C604" s="1" t="s">
        <v>1586</v>
      </c>
      <c r="D604" s="1" t="s">
        <v>12</v>
      </c>
      <c r="E604" s="1" t="s">
        <v>17</v>
      </c>
      <c r="F604" s="1">
        <v>1998</v>
      </c>
      <c r="J604" s="6">
        <v>29132</v>
      </c>
      <c r="K604" s="6">
        <v>29179</v>
      </c>
      <c r="L604" s="21">
        <v>1.0016133461485652</v>
      </c>
      <c r="M604" s="1">
        <v>324</v>
      </c>
      <c r="N604" s="1" t="s">
        <v>1589</v>
      </c>
      <c r="O604" s="1">
        <v>4</v>
      </c>
      <c r="P604" s="1">
        <v>0.75</v>
      </c>
      <c r="Q604" s="22">
        <v>44927</v>
      </c>
      <c r="R604" s="8">
        <v>360.6765755869834</v>
      </c>
      <c r="S604" s="9" t="s">
        <v>2656</v>
      </c>
      <c r="T604" s="8">
        <v>266.56672387752297</v>
      </c>
      <c r="U604" s="9" t="s">
        <v>2656</v>
      </c>
      <c r="V604" s="8">
        <v>293.45061101194563</v>
      </c>
      <c r="W604" s="8" t="s">
        <v>2656</v>
      </c>
      <c r="X604" s="8"/>
    </row>
    <row r="605" spans="1:24" x14ac:dyDescent="0.3">
      <c r="A605" s="1" t="s">
        <v>561</v>
      </c>
      <c r="B605" s="1" t="s">
        <v>562</v>
      </c>
      <c r="C605" s="1" t="s">
        <v>1586</v>
      </c>
      <c r="D605" s="1" t="s">
        <v>12</v>
      </c>
      <c r="E605" s="1" t="s">
        <v>17</v>
      </c>
      <c r="F605" s="1">
        <v>2008</v>
      </c>
      <c r="J605" s="6">
        <v>30768</v>
      </c>
      <c r="K605" s="6">
        <v>27690</v>
      </c>
      <c r="L605" s="21">
        <v>0.8999609984399376</v>
      </c>
      <c r="M605" s="1">
        <v>0</v>
      </c>
      <c r="N605" s="1" t="s">
        <v>1589</v>
      </c>
      <c r="O605" s="1">
        <v>13</v>
      </c>
      <c r="P605" s="1" t="s">
        <v>18</v>
      </c>
      <c r="Q605" s="22" t="s">
        <v>18</v>
      </c>
      <c r="R605" s="8">
        <v>282.60610181730652</v>
      </c>
      <c r="S605" s="9" t="s">
        <v>2656</v>
      </c>
      <c r="T605" s="8">
        <v>270.45122758454687</v>
      </c>
      <c r="U605" s="9" t="s">
        <v>2656</v>
      </c>
      <c r="V605" s="8">
        <v>288.75424238777231</v>
      </c>
      <c r="W605" s="8" t="s">
        <v>2656</v>
      </c>
      <c r="X605" s="8"/>
    </row>
    <row r="606" spans="1:24" x14ac:dyDescent="0.3">
      <c r="A606" s="1" t="s">
        <v>264</v>
      </c>
      <c r="B606" s="1" t="s">
        <v>265</v>
      </c>
      <c r="C606" s="1" t="s">
        <v>1586</v>
      </c>
      <c r="D606" s="1" t="s">
        <v>12</v>
      </c>
      <c r="E606" s="1" t="s">
        <v>17</v>
      </c>
      <c r="F606" s="1">
        <v>1987</v>
      </c>
      <c r="G606" s="1" t="s">
        <v>25</v>
      </c>
      <c r="H606" s="1">
        <v>2022</v>
      </c>
      <c r="I606" s="1" t="s">
        <v>1783</v>
      </c>
      <c r="J606" s="6">
        <v>36325</v>
      </c>
      <c r="K606" s="6">
        <v>28453</v>
      </c>
      <c r="L606" s="21">
        <v>0.78328974535443907</v>
      </c>
      <c r="M606" s="1">
        <v>0</v>
      </c>
      <c r="N606" s="1" t="s">
        <v>1589</v>
      </c>
      <c r="O606" s="1">
        <v>8</v>
      </c>
      <c r="P606" s="1">
        <v>0.64</v>
      </c>
      <c r="Q606" s="22">
        <v>44713</v>
      </c>
      <c r="R606" s="8">
        <v>259.90542849277358</v>
      </c>
      <c r="S606" s="9" t="s">
        <v>2656</v>
      </c>
      <c r="T606" s="8">
        <v>287.21469015829319</v>
      </c>
      <c r="U606" s="9" t="s">
        <v>2656</v>
      </c>
      <c r="V606" s="8">
        <v>276.59927763248453</v>
      </c>
      <c r="W606" s="8" t="s">
        <v>2656</v>
      </c>
      <c r="X606" s="8"/>
    </row>
    <row r="607" spans="1:24" x14ac:dyDescent="0.3">
      <c r="A607" s="1" t="s">
        <v>1347</v>
      </c>
      <c r="B607" s="1" t="s">
        <v>2242</v>
      </c>
      <c r="C607" s="1" t="s">
        <v>1586</v>
      </c>
      <c r="D607" s="1" t="s">
        <v>12</v>
      </c>
      <c r="E607" s="1" t="s">
        <v>17</v>
      </c>
      <c r="F607" s="1">
        <v>1996</v>
      </c>
      <c r="G607" s="1" t="s">
        <v>25</v>
      </c>
      <c r="H607" s="1">
        <v>2022</v>
      </c>
      <c r="I607" s="1" t="s">
        <v>1818</v>
      </c>
      <c r="J607" s="6">
        <v>38276</v>
      </c>
      <c r="K607" s="6">
        <v>28985</v>
      </c>
      <c r="L607" s="21">
        <v>0.75726303688995711</v>
      </c>
      <c r="M607" s="1">
        <v>0</v>
      </c>
      <c r="N607" s="1" t="s">
        <v>1821</v>
      </c>
      <c r="O607" s="1" t="s">
        <v>18</v>
      </c>
      <c r="P607" s="1">
        <v>0.67</v>
      </c>
      <c r="Q607" s="22">
        <v>41353</v>
      </c>
      <c r="R607" s="8">
        <v>241.57569153449799</v>
      </c>
      <c r="S607" s="9"/>
      <c r="T607" s="8">
        <v>262.26515711523825</v>
      </c>
      <c r="U607" s="9"/>
      <c r="V607" s="8">
        <v>275.57195064342017</v>
      </c>
      <c r="W607" s="8"/>
      <c r="X607" s="8"/>
    </row>
    <row r="608" spans="1:24" x14ac:dyDescent="0.3">
      <c r="A608" s="1" t="s">
        <v>832</v>
      </c>
      <c r="B608" s="1" t="s">
        <v>833</v>
      </c>
      <c r="C608" s="1" t="s">
        <v>1586</v>
      </c>
      <c r="D608" s="1" t="s">
        <v>12</v>
      </c>
      <c r="E608" s="1" t="s">
        <v>17</v>
      </c>
      <c r="F608" s="1">
        <v>1983</v>
      </c>
      <c r="G608" s="1" t="s">
        <v>21</v>
      </c>
      <c r="H608" s="1">
        <v>2022</v>
      </c>
      <c r="I608" s="1" t="s">
        <v>1599</v>
      </c>
      <c r="J608" s="6">
        <v>55022</v>
      </c>
      <c r="K608" s="6">
        <v>43000</v>
      </c>
      <c r="L608" s="21">
        <v>0.78150557958634725</v>
      </c>
      <c r="M608" s="1">
        <v>0</v>
      </c>
      <c r="N608" s="1" t="s">
        <v>1589</v>
      </c>
      <c r="O608" s="1">
        <v>16</v>
      </c>
      <c r="P608" s="1" t="s">
        <v>18</v>
      </c>
      <c r="Q608" s="22" t="s">
        <v>18</v>
      </c>
      <c r="R608" s="8">
        <v>240.19704427319988</v>
      </c>
      <c r="S608" s="9" t="s">
        <v>2656</v>
      </c>
      <c r="T608" s="8">
        <v>271.20217076805636</v>
      </c>
      <c r="U608" s="9" t="s">
        <v>2656</v>
      </c>
      <c r="V608" s="8">
        <v>261.21072152956998</v>
      </c>
      <c r="W608" s="8" t="s">
        <v>2656</v>
      </c>
      <c r="X608" s="8"/>
    </row>
    <row r="609" spans="1:24" x14ac:dyDescent="0.3">
      <c r="A609" s="1" t="s">
        <v>740</v>
      </c>
      <c r="B609" s="1" t="s">
        <v>741</v>
      </c>
      <c r="C609" s="1" t="s">
        <v>1586</v>
      </c>
      <c r="D609" s="1" t="s">
        <v>12</v>
      </c>
      <c r="E609" s="1" t="s">
        <v>17</v>
      </c>
      <c r="F609" s="1">
        <v>1995</v>
      </c>
      <c r="G609" s="1" t="s">
        <v>25</v>
      </c>
      <c r="H609" s="1">
        <v>2022</v>
      </c>
      <c r="I609" s="1" t="s">
        <v>1783</v>
      </c>
      <c r="J609" s="6">
        <v>142032</v>
      </c>
      <c r="K609" s="6">
        <v>138405</v>
      </c>
      <c r="L609" s="21">
        <v>0.97446350118283209</v>
      </c>
      <c r="M609" s="1">
        <v>0</v>
      </c>
      <c r="N609" s="1" t="s">
        <v>1589</v>
      </c>
      <c r="O609" s="1">
        <v>9</v>
      </c>
      <c r="P609" s="1">
        <v>0.61</v>
      </c>
      <c r="Q609" s="22">
        <v>44659</v>
      </c>
      <c r="R609" s="8">
        <v>222.40847037185185</v>
      </c>
      <c r="S609" s="9" t="s">
        <v>2656</v>
      </c>
      <c r="T609" s="8">
        <v>216.24076793489922</v>
      </c>
      <c r="U609" s="9" t="s">
        <v>2656</v>
      </c>
      <c r="V609" s="8">
        <v>232.20557225812436</v>
      </c>
      <c r="W609" s="8" t="s">
        <v>2656</v>
      </c>
      <c r="X609" s="8"/>
    </row>
    <row r="610" spans="1:24" x14ac:dyDescent="0.3">
      <c r="A610" s="1" t="s">
        <v>1330</v>
      </c>
      <c r="B610" s="1" t="s">
        <v>2581</v>
      </c>
      <c r="C610" s="1" t="s">
        <v>1586</v>
      </c>
      <c r="D610" s="1" t="s">
        <v>12</v>
      </c>
      <c r="E610" s="1" t="s">
        <v>17</v>
      </c>
      <c r="F610" s="1">
        <v>1968</v>
      </c>
      <c r="J610" s="6">
        <v>44900</v>
      </c>
      <c r="K610" s="6">
        <v>20276</v>
      </c>
      <c r="L610" s="21">
        <v>0.45158129175946549</v>
      </c>
      <c r="M610" s="1">
        <v>0</v>
      </c>
      <c r="N610" s="1" t="s">
        <v>1589</v>
      </c>
      <c r="O610" s="1">
        <v>1</v>
      </c>
      <c r="Q610" s="22"/>
      <c r="R610" s="8">
        <v>214.07487505567931</v>
      </c>
      <c r="S610" s="9" t="s">
        <v>2656</v>
      </c>
      <c r="T610" s="8">
        <v>225.51983674832965</v>
      </c>
      <c r="U610" s="9" t="s">
        <v>2656</v>
      </c>
      <c r="V610" s="8">
        <v>224.38559643652559</v>
      </c>
      <c r="W610" s="8" t="s">
        <v>2656</v>
      </c>
      <c r="X610" s="8"/>
    </row>
    <row r="611" spans="1:24" x14ac:dyDescent="0.3">
      <c r="A611" s="1" t="s">
        <v>1113</v>
      </c>
      <c r="B611" s="1" t="s">
        <v>1114</v>
      </c>
      <c r="C611" s="1" t="s">
        <v>1586</v>
      </c>
      <c r="D611" s="1" t="s">
        <v>12</v>
      </c>
      <c r="E611" s="1" t="s">
        <v>17</v>
      </c>
      <c r="F611" s="1">
        <v>1994</v>
      </c>
      <c r="G611" s="1" t="s">
        <v>19</v>
      </c>
      <c r="H611" s="1">
        <v>2021</v>
      </c>
      <c r="I611" s="1" t="s">
        <v>1601</v>
      </c>
      <c r="J611" s="6">
        <v>82269</v>
      </c>
      <c r="K611" s="6">
        <v>62958</v>
      </c>
      <c r="L611" s="21">
        <v>0.76527002880793493</v>
      </c>
      <c r="M611" s="1">
        <v>0</v>
      </c>
      <c r="N611" s="1" t="s">
        <v>1589</v>
      </c>
      <c r="O611" s="1">
        <v>7</v>
      </c>
      <c r="P611" s="1">
        <v>0.59699999999999998</v>
      </c>
      <c r="Q611" s="22">
        <v>44642</v>
      </c>
      <c r="R611" s="8">
        <v>220.48799156978092</v>
      </c>
      <c r="S611" s="9" t="s">
        <v>2656</v>
      </c>
      <c r="T611" s="8">
        <v>225.7675089165779</v>
      </c>
      <c r="U611" s="9" t="s">
        <v>2656</v>
      </c>
      <c r="V611" s="8">
        <v>223.28352401686044</v>
      </c>
      <c r="W611" s="8" t="s">
        <v>2656</v>
      </c>
      <c r="X611" s="8"/>
    </row>
    <row r="612" spans="1:24" x14ac:dyDescent="0.3">
      <c r="A612" s="1" t="s">
        <v>798</v>
      </c>
      <c r="B612" s="1" t="s">
        <v>2598</v>
      </c>
      <c r="C612" s="1" t="s">
        <v>1586</v>
      </c>
      <c r="D612" s="1" t="s">
        <v>12</v>
      </c>
      <c r="E612" s="1" t="s">
        <v>17</v>
      </c>
      <c r="F612" s="1">
        <v>2002</v>
      </c>
      <c r="J612" s="6">
        <v>11035</v>
      </c>
      <c r="K612" s="6">
        <v>9985</v>
      </c>
      <c r="L612" s="21">
        <v>0.90484821024014495</v>
      </c>
      <c r="M612" s="1">
        <v>0</v>
      </c>
      <c r="N612" s="1" t="s">
        <v>1589</v>
      </c>
      <c r="O612" s="1">
        <v>3</v>
      </c>
      <c r="P612" s="1">
        <v>0.57999999999999996</v>
      </c>
      <c r="Q612" s="22">
        <v>43404</v>
      </c>
      <c r="R612" s="8">
        <v>228.82981029047511</v>
      </c>
      <c r="S612" s="9" t="s">
        <v>2656</v>
      </c>
      <c r="T612" s="8">
        <v>196.7271166403963</v>
      </c>
      <c r="U612" s="9" t="s">
        <v>2656</v>
      </c>
      <c r="V612" s="8">
        <v>221.72100878180589</v>
      </c>
      <c r="W612" s="8" t="s">
        <v>2656</v>
      </c>
      <c r="X612" s="8"/>
    </row>
    <row r="613" spans="1:24" x14ac:dyDescent="0.3">
      <c r="A613" s="1" t="s">
        <v>1448</v>
      </c>
      <c r="B613" s="1" t="s">
        <v>1449</v>
      </c>
      <c r="C613" s="1" t="s">
        <v>1586</v>
      </c>
      <c r="D613" s="1" t="s">
        <v>12</v>
      </c>
      <c r="E613" s="1" t="s">
        <v>17</v>
      </c>
      <c r="F613" s="1">
        <v>1991</v>
      </c>
      <c r="G613" s="1" t="s">
        <v>25</v>
      </c>
      <c r="H613" s="1">
        <v>2014</v>
      </c>
      <c r="I613" s="1" t="s">
        <v>1601</v>
      </c>
      <c r="J613" s="6">
        <v>16597.48</v>
      </c>
      <c r="K613" s="6">
        <v>49998</v>
      </c>
      <c r="L613" s="21">
        <v>3.012385012664573</v>
      </c>
      <c r="M613" s="1">
        <v>0</v>
      </c>
      <c r="N613" s="1" t="s">
        <v>1589</v>
      </c>
      <c r="O613" s="1">
        <v>1991</v>
      </c>
      <c r="P613" s="1">
        <v>0.65</v>
      </c>
      <c r="Q613" s="22">
        <v>45021</v>
      </c>
      <c r="R613" s="8">
        <v>221.25465853852506</v>
      </c>
      <c r="S613" s="9" t="s">
        <v>2656</v>
      </c>
      <c r="T613" s="8">
        <v>210.75883266616381</v>
      </c>
      <c r="U613" s="9" t="s">
        <v>2656</v>
      </c>
      <c r="V613" s="8">
        <v>219.54111588024205</v>
      </c>
      <c r="W613" s="8" t="s">
        <v>2656</v>
      </c>
      <c r="X613" s="8"/>
    </row>
    <row r="614" spans="1:24" x14ac:dyDescent="0.3">
      <c r="A614" s="1" t="s">
        <v>1793</v>
      </c>
      <c r="B614" s="1" t="s">
        <v>454</v>
      </c>
      <c r="C614" s="1" t="s">
        <v>1586</v>
      </c>
      <c r="D614" s="1" t="s">
        <v>12</v>
      </c>
      <c r="E614" s="1" t="s">
        <v>17</v>
      </c>
      <c r="F614" s="1">
        <v>2016</v>
      </c>
      <c r="J614" s="6">
        <v>19970</v>
      </c>
      <c r="K614" s="6">
        <v>16646</v>
      </c>
      <c r="L614" s="21">
        <v>0.83355032548823238</v>
      </c>
      <c r="M614" s="1">
        <v>0</v>
      </c>
      <c r="N614" s="1" t="s">
        <v>28</v>
      </c>
      <c r="O614" s="1" t="s">
        <v>18</v>
      </c>
      <c r="P614" s="1" t="s">
        <v>18</v>
      </c>
      <c r="Q614" s="22" t="s">
        <v>18</v>
      </c>
      <c r="R614" s="8">
        <v>186.64757135703556</v>
      </c>
      <c r="S614" s="9" t="s">
        <v>2657</v>
      </c>
      <c r="T614" s="8">
        <v>196.22864296444666</v>
      </c>
      <c r="U614" s="9" t="s">
        <v>2656</v>
      </c>
      <c r="V614" s="8">
        <v>216.93720580871306</v>
      </c>
      <c r="W614" s="8" t="s">
        <v>2656</v>
      </c>
      <c r="X614" s="8"/>
    </row>
    <row r="615" spans="1:24" x14ac:dyDescent="0.3">
      <c r="A615" s="1" t="s">
        <v>2293</v>
      </c>
      <c r="B615" s="1" t="s">
        <v>951</v>
      </c>
      <c r="C615" s="1" t="s">
        <v>1586</v>
      </c>
      <c r="D615" s="1" t="s">
        <v>12</v>
      </c>
      <c r="E615" s="1" t="s">
        <v>17</v>
      </c>
      <c r="F615" s="1">
        <v>2015</v>
      </c>
      <c r="G615" s="1" t="s">
        <v>19</v>
      </c>
      <c r="H615" s="1">
        <v>2012</v>
      </c>
      <c r="I615" s="1" t="s">
        <v>1603</v>
      </c>
      <c r="J615" s="6">
        <v>11892.97</v>
      </c>
      <c r="K615" s="6">
        <v>29991</v>
      </c>
      <c r="L615" s="21">
        <v>2.5217418357231205</v>
      </c>
      <c r="M615" s="1">
        <v>0</v>
      </c>
      <c r="N615" s="1" t="s">
        <v>1589</v>
      </c>
      <c r="O615" s="1">
        <v>7</v>
      </c>
      <c r="P615" s="1">
        <v>0.84</v>
      </c>
      <c r="Q615" s="22">
        <v>45107</v>
      </c>
      <c r="R615" s="8">
        <v>180.1741315705483</v>
      </c>
      <c r="S615" s="9" t="s">
        <v>2657</v>
      </c>
      <c r="T615" s="8">
        <v>193.50629559236651</v>
      </c>
      <c r="U615" s="9" t="s">
        <v>2657</v>
      </c>
      <c r="V615" s="8">
        <v>212.94531802434719</v>
      </c>
      <c r="W615" s="8" t="s">
        <v>2656</v>
      </c>
      <c r="X615" s="8"/>
    </row>
    <row r="616" spans="1:24" x14ac:dyDescent="0.3">
      <c r="A616" s="1" t="s">
        <v>186</v>
      </c>
      <c r="B616" s="1" t="s">
        <v>187</v>
      </c>
      <c r="C616" s="1" t="s">
        <v>1586</v>
      </c>
      <c r="D616" s="1" t="s">
        <v>12</v>
      </c>
      <c r="E616" s="1" t="s">
        <v>17</v>
      </c>
      <c r="F616" s="1">
        <v>1981</v>
      </c>
      <c r="J616" s="6">
        <v>23076</v>
      </c>
      <c r="K616" s="6">
        <v>21202</v>
      </c>
      <c r="L616" s="21">
        <v>0.91879008493673076</v>
      </c>
      <c r="M616" s="1">
        <v>0</v>
      </c>
      <c r="N616" s="1" t="s">
        <v>1589</v>
      </c>
      <c r="O616" s="1" t="s">
        <v>18</v>
      </c>
      <c r="P616" s="1" t="s">
        <v>18</v>
      </c>
      <c r="Q616" s="22" t="s">
        <v>18</v>
      </c>
      <c r="R616" s="8">
        <v>183.79834330039864</v>
      </c>
      <c r="S616" s="9" t="s">
        <v>2657</v>
      </c>
      <c r="T616" s="8">
        <v>192.34934910729763</v>
      </c>
      <c r="U616" s="9" t="s">
        <v>2657</v>
      </c>
      <c r="V616" s="8">
        <v>200.34215808632345</v>
      </c>
      <c r="W616" s="8" t="s">
        <v>2656</v>
      </c>
      <c r="X616" s="8"/>
    </row>
    <row r="617" spans="1:24" x14ac:dyDescent="0.3">
      <c r="A617" s="1" t="s">
        <v>200</v>
      </c>
      <c r="B617" s="1" t="s">
        <v>201</v>
      </c>
      <c r="C617" s="1" t="s">
        <v>1586</v>
      </c>
      <c r="D617" s="1" t="s">
        <v>12</v>
      </c>
      <c r="E617" s="1" t="s">
        <v>17</v>
      </c>
      <c r="F617" s="1">
        <v>1983</v>
      </c>
      <c r="G617" s="1" t="s">
        <v>25</v>
      </c>
      <c r="H617" s="1">
        <v>2020</v>
      </c>
      <c r="I617" s="1" t="s">
        <v>1601</v>
      </c>
      <c r="J617" s="6">
        <v>16747</v>
      </c>
      <c r="K617" s="6">
        <v>14500</v>
      </c>
      <c r="L617" s="21">
        <v>0.86582671523257893</v>
      </c>
      <c r="M617" s="1">
        <v>0</v>
      </c>
      <c r="N617" s="1" t="s">
        <v>1589</v>
      </c>
      <c r="O617" s="1">
        <v>3</v>
      </c>
      <c r="P617" s="1">
        <v>0.61</v>
      </c>
      <c r="Q617" s="22">
        <v>44750</v>
      </c>
      <c r="R617" s="8">
        <v>190.03987221591925</v>
      </c>
      <c r="S617" s="9" t="s">
        <v>2656</v>
      </c>
      <c r="T617" s="8">
        <v>193.33151489819079</v>
      </c>
      <c r="U617" s="9" t="s">
        <v>2657</v>
      </c>
      <c r="V617" s="8">
        <v>190.79320833582133</v>
      </c>
      <c r="W617" s="8" t="s">
        <v>2656</v>
      </c>
      <c r="X617" s="8"/>
    </row>
    <row r="618" spans="1:24" x14ac:dyDescent="0.3">
      <c r="A618" s="1" t="s">
        <v>1888</v>
      </c>
      <c r="B618" s="1" t="s">
        <v>901</v>
      </c>
      <c r="C618" s="1" t="s">
        <v>1586</v>
      </c>
      <c r="D618" s="1" t="s">
        <v>12</v>
      </c>
      <c r="E618" s="1" t="s">
        <v>17</v>
      </c>
      <c r="F618" s="1">
        <v>1982</v>
      </c>
      <c r="G618" s="1" t="s">
        <v>19</v>
      </c>
      <c r="H618" s="1">
        <v>2021</v>
      </c>
      <c r="I618" s="1" t="s">
        <v>1601</v>
      </c>
      <c r="J618" s="6">
        <v>25347</v>
      </c>
      <c r="K618" s="6">
        <v>24535</v>
      </c>
      <c r="L618" s="21">
        <v>0.96796465064899195</v>
      </c>
      <c r="M618" s="1">
        <v>0</v>
      </c>
      <c r="N618" s="1" t="s">
        <v>1589</v>
      </c>
      <c r="O618" s="1" t="s">
        <v>18</v>
      </c>
      <c r="P618" s="1" t="s">
        <v>18</v>
      </c>
      <c r="Q618" s="22" t="s">
        <v>18</v>
      </c>
      <c r="R618" s="8">
        <v>190.24797648636931</v>
      </c>
      <c r="S618" s="9" t="s">
        <v>2656</v>
      </c>
      <c r="T618" s="8">
        <v>191.67915848029352</v>
      </c>
      <c r="U618" s="9" t="s">
        <v>2657</v>
      </c>
      <c r="V618" s="8">
        <v>189.25778948198996</v>
      </c>
      <c r="W618" s="8" t="s">
        <v>2656</v>
      </c>
      <c r="X618" s="8"/>
    </row>
    <row r="619" spans="1:24" x14ac:dyDescent="0.3">
      <c r="A619" s="1" t="s">
        <v>74</v>
      </c>
      <c r="B619" s="1" t="s">
        <v>75</v>
      </c>
      <c r="C619" s="1" t="s">
        <v>1586</v>
      </c>
      <c r="D619" s="1" t="s">
        <v>12</v>
      </c>
      <c r="E619" s="1" t="s">
        <v>17</v>
      </c>
      <c r="F619" s="1">
        <v>1982</v>
      </c>
      <c r="G619" s="1" t="s">
        <v>21</v>
      </c>
      <c r="H619" s="1">
        <v>2021</v>
      </c>
      <c r="I619" s="1" t="s">
        <v>1601</v>
      </c>
      <c r="J619" s="6">
        <v>22331</v>
      </c>
      <c r="K619" s="6">
        <v>79421</v>
      </c>
      <c r="L619" s="21">
        <v>3.5565357574671981</v>
      </c>
      <c r="M619" s="1">
        <v>0</v>
      </c>
      <c r="N619" s="1" t="s">
        <v>1589</v>
      </c>
      <c r="O619" s="1">
        <v>7</v>
      </c>
      <c r="P619" s="1">
        <v>0.53</v>
      </c>
      <c r="Q619" s="22">
        <v>44278</v>
      </c>
      <c r="R619" s="8">
        <v>152.56850342573108</v>
      </c>
      <c r="S619" s="9" t="s">
        <v>2657</v>
      </c>
      <c r="T619" s="8">
        <v>149.60898661054139</v>
      </c>
      <c r="U619" s="9" t="s">
        <v>2657</v>
      </c>
      <c r="V619" s="8">
        <v>188.28017957099996</v>
      </c>
      <c r="W619" s="8" t="s">
        <v>2657</v>
      </c>
      <c r="X619" s="8"/>
    </row>
    <row r="620" spans="1:24" x14ac:dyDescent="0.3">
      <c r="A620" s="1" t="s">
        <v>609</v>
      </c>
      <c r="B620" s="1" t="s">
        <v>610</v>
      </c>
      <c r="C620" s="1" t="s">
        <v>1586</v>
      </c>
      <c r="D620" s="1" t="s">
        <v>12</v>
      </c>
      <c r="E620" s="1" t="s">
        <v>17</v>
      </c>
      <c r="F620" s="1">
        <v>1981</v>
      </c>
      <c r="G620" s="1" t="s">
        <v>25</v>
      </c>
      <c r="H620" s="1">
        <v>2022</v>
      </c>
      <c r="I620" s="1" t="s">
        <v>1599</v>
      </c>
      <c r="J620" s="6">
        <v>21003.54</v>
      </c>
      <c r="K620" s="6">
        <v>21000</v>
      </c>
      <c r="L620" s="21">
        <v>0.99983145698296572</v>
      </c>
      <c r="M620" s="1">
        <v>0</v>
      </c>
      <c r="N620" s="1" t="s">
        <v>1589</v>
      </c>
      <c r="O620" s="1">
        <v>3</v>
      </c>
      <c r="P620" s="1">
        <v>0.74</v>
      </c>
      <c r="Q620" s="22">
        <v>44593</v>
      </c>
      <c r="R620" s="8">
        <v>206.02332083067898</v>
      </c>
      <c r="S620" s="9" t="s">
        <v>2656</v>
      </c>
      <c r="T620" s="8">
        <v>174.78867752769295</v>
      </c>
      <c r="U620" s="9" t="s">
        <v>2657</v>
      </c>
      <c r="V620" s="8">
        <v>187.4948532485476</v>
      </c>
      <c r="W620" s="8" t="s">
        <v>2657</v>
      </c>
      <c r="X620" s="8"/>
    </row>
    <row r="621" spans="1:24" x14ac:dyDescent="0.3">
      <c r="A621" s="1" t="s">
        <v>2375</v>
      </c>
      <c r="B621" s="1" t="s">
        <v>625</v>
      </c>
      <c r="C621" s="1" t="s">
        <v>1586</v>
      </c>
      <c r="D621" s="1" t="s">
        <v>12</v>
      </c>
      <c r="E621" s="1" t="s">
        <v>17</v>
      </c>
      <c r="F621" s="1">
        <v>2012</v>
      </c>
      <c r="J621" s="6">
        <v>75000</v>
      </c>
      <c r="K621" s="6">
        <v>20000</v>
      </c>
      <c r="L621" s="21">
        <v>0.26666666666666666</v>
      </c>
      <c r="M621" s="1">
        <v>0</v>
      </c>
      <c r="N621" s="1" t="s">
        <v>28</v>
      </c>
      <c r="O621" s="1" t="s">
        <v>18</v>
      </c>
      <c r="P621" s="1" t="s">
        <v>18</v>
      </c>
      <c r="Q621" s="22" t="s">
        <v>18</v>
      </c>
      <c r="R621" s="8">
        <v>160.70071813333334</v>
      </c>
      <c r="S621" s="9" t="s">
        <v>2657</v>
      </c>
      <c r="T621" s="8">
        <v>192.11924440000001</v>
      </c>
      <c r="U621" s="9" t="s">
        <v>2657</v>
      </c>
      <c r="V621" s="8">
        <v>186.85195253333333</v>
      </c>
      <c r="W621" s="8" t="s">
        <v>2657</v>
      </c>
      <c r="X621" s="8"/>
    </row>
    <row r="622" spans="1:24" x14ac:dyDescent="0.3">
      <c r="A622" s="1" t="s">
        <v>1309</v>
      </c>
      <c r="B622" s="1" t="s">
        <v>2373</v>
      </c>
      <c r="C622" s="1" t="s">
        <v>1586</v>
      </c>
      <c r="D622" s="1" t="s">
        <v>12</v>
      </c>
      <c r="E622" s="1" t="s">
        <v>17</v>
      </c>
      <c r="F622" s="1">
        <v>2008</v>
      </c>
      <c r="J622" s="6">
        <v>22912.7</v>
      </c>
      <c r="K622" s="6">
        <v>0</v>
      </c>
      <c r="L622" s="21">
        <v>0</v>
      </c>
      <c r="M622" s="1">
        <v>0</v>
      </c>
      <c r="N622" s="1" t="s">
        <v>28</v>
      </c>
      <c r="O622" s="1" t="s">
        <v>18</v>
      </c>
      <c r="P622" s="1" t="s">
        <v>18</v>
      </c>
      <c r="Q622" s="22" t="s">
        <v>18</v>
      </c>
      <c r="R622" s="8">
        <v>169.06902809359005</v>
      </c>
      <c r="S622" s="9" t="s">
        <v>2657</v>
      </c>
      <c r="T622" s="8">
        <v>172.19353808150063</v>
      </c>
      <c r="U622" s="9" t="s">
        <v>2657</v>
      </c>
      <c r="V622" s="8">
        <v>178.90607174187241</v>
      </c>
      <c r="W622" s="8" t="s">
        <v>2657</v>
      </c>
      <c r="X622" s="8"/>
    </row>
    <row r="623" spans="1:24" x14ac:dyDescent="0.3">
      <c r="A623" s="1" t="s">
        <v>934</v>
      </c>
      <c r="B623" s="1" t="s">
        <v>935</v>
      </c>
      <c r="C623" s="1" t="s">
        <v>1586</v>
      </c>
      <c r="D623" s="1" t="s">
        <v>12</v>
      </c>
      <c r="E623" s="1" t="s">
        <v>17</v>
      </c>
      <c r="F623" s="1">
        <v>1983</v>
      </c>
      <c r="J623" s="6">
        <v>18841</v>
      </c>
      <c r="K623" s="6">
        <v>13352</v>
      </c>
      <c r="L623" s="21">
        <v>0.70866726819170955</v>
      </c>
      <c r="M623" s="1">
        <v>0</v>
      </c>
      <c r="N623" s="1" t="s">
        <v>1589</v>
      </c>
      <c r="O623" s="1">
        <v>19</v>
      </c>
      <c r="P623" s="1" t="s">
        <v>18</v>
      </c>
      <c r="Q623" s="22" t="s">
        <v>18</v>
      </c>
      <c r="R623" s="8">
        <v>144.89773472745611</v>
      </c>
      <c r="S623" s="9" t="s">
        <v>2657</v>
      </c>
      <c r="T623" s="8">
        <v>167.59115280505279</v>
      </c>
      <c r="U623" s="9" t="s">
        <v>2657</v>
      </c>
      <c r="V623" s="8">
        <v>163.15972612918634</v>
      </c>
      <c r="W623" s="8" t="s">
        <v>2657</v>
      </c>
      <c r="X623" s="8"/>
    </row>
    <row r="624" spans="1:24" x14ac:dyDescent="0.3">
      <c r="A624" s="1" t="s">
        <v>2122</v>
      </c>
      <c r="B624" s="1" t="s">
        <v>2123</v>
      </c>
      <c r="C624" s="1" t="s">
        <v>1586</v>
      </c>
      <c r="D624" s="1" t="s">
        <v>12</v>
      </c>
      <c r="E624" s="1" t="s">
        <v>17</v>
      </c>
      <c r="F624" s="1">
        <v>2002</v>
      </c>
      <c r="J624" s="6">
        <v>34684</v>
      </c>
      <c r="K624" s="6">
        <v>25164</v>
      </c>
      <c r="L624" s="21">
        <v>0.72552185445738671</v>
      </c>
      <c r="M624" s="1">
        <v>0</v>
      </c>
      <c r="N624" s="1" t="s">
        <v>1589</v>
      </c>
      <c r="O624" s="1">
        <v>21</v>
      </c>
      <c r="P624" s="1">
        <v>0.89</v>
      </c>
      <c r="Q624" s="22">
        <v>41224</v>
      </c>
      <c r="R624" s="8">
        <v>166.31268740629687</v>
      </c>
      <c r="S624" s="9" t="s">
        <v>2657</v>
      </c>
      <c r="T624" s="8">
        <v>153.28149925037485</v>
      </c>
      <c r="U624" s="9" t="s">
        <v>2657</v>
      </c>
      <c r="V624" s="8">
        <v>155.26020816514819</v>
      </c>
      <c r="W624" s="8" t="s">
        <v>2657</v>
      </c>
      <c r="X624" s="8"/>
    </row>
    <row r="625" spans="1:24" x14ac:dyDescent="0.3">
      <c r="A625" s="1" t="s">
        <v>37</v>
      </c>
      <c r="B625" s="1" t="s">
        <v>1795</v>
      </c>
      <c r="C625" s="1" t="s">
        <v>1586</v>
      </c>
      <c r="D625" s="1" t="s">
        <v>12</v>
      </c>
      <c r="E625" s="1" t="s">
        <v>17</v>
      </c>
      <c r="F625" s="1">
        <v>1983</v>
      </c>
      <c r="J625" s="6">
        <v>33781</v>
      </c>
      <c r="K625" s="6">
        <v>24602</v>
      </c>
      <c r="L625" s="21">
        <v>0.7282792102069211</v>
      </c>
      <c r="M625" s="1">
        <v>0</v>
      </c>
      <c r="N625" s="1" t="s">
        <v>1589</v>
      </c>
      <c r="O625" s="1">
        <v>16</v>
      </c>
      <c r="P625" s="1" t="s">
        <v>18</v>
      </c>
      <c r="Q625" s="22" t="s">
        <v>18</v>
      </c>
      <c r="R625" s="8">
        <v>141.81612622480097</v>
      </c>
      <c r="S625" s="9" t="s">
        <v>2657</v>
      </c>
      <c r="T625" s="8">
        <v>153.09776531186176</v>
      </c>
      <c r="U625" s="9" t="s">
        <v>2657</v>
      </c>
      <c r="V625" s="8">
        <v>154.10118794588675</v>
      </c>
      <c r="W625" s="8" t="s">
        <v>2657</v>
      </c>
      <c r="X625" s="8"/>
    </row>
    <row r="626" spans="1:24" x14ac:dyDescent="0.3">
      <c r="A626" s="1" t="s">
        <v>711</v>
      </c>
      <c r="B626" s="1" t="s">
        <v>712</v>
      </c>
      <c r="C626" s="1" t="s">
        <v>1586</v>
      </c>
      <c r="D626" s="1" t="s">
        <v>12</v>
      </c>
      <c r="E626" s="1" t="s">
        <v>17</v>
      </c>
      <c r="F626" s="1">
        <v>1990</v>
      </c>
      <c r="G626" s="1" t="s">
        <v>21</v>
      </c>
      <c r="H626" s="1">
        <v>2023</v>
      </c>
      <c r="I626" s="1" t="s">
        <v>1783</v>
      </c>
      <c r="J626" s="6">
        <v>9250</v>
      </c>
      <c r="K626" s="6">
        <v>8953</v>
      </c>
      <c r="L626" s="21">
        <v>0.96789189189189184</v>
      </c>
      <c r="M626" s="1">
        <v>0</v>
      </c>
      <c r="N626" s="1" t="s">
        <v>1589</v>
      </c>
      <c r="O626" s="1">
        <v>3</v>
      </c>
      <c r="P626" s="1">
        <v>0.62</v>
      </c>
      <c r="Q626" s="22">
        <v>45016</v>
      </c>
      <c r="R626" s="8">
        <v>169.7738951580011</v>
      </c>
      <c r="S626" s="9" t="s">
        <v>2657</v>
      </c>
      <c r="T626" s="8">
        <v>158.85193349777617</v>
      </c>
      <c r="U626" s="9" t="s">
        <v>2657</v>
      </c>
      <c r="V626" s="8">
        <v>150.27471594771495</v>
      </c>
      <c r="W626" s="8" t="s">
        <v>2657</v>
      </c>
      <c r="X626" s="8"/>
    </row>
    <row r="627" spans="1:24" x14ac:dyDescent="0.3">
      <c r="A627" s="1" t="s">
        <v>1154</v>
      </c>
      <c r="B627" s="1" t="s">
        <v>1155</v>
      </c>
      <c r="C627" s="1" t="s">
        <v>1586</v>
      </c>
      <c r="D627" s="1" t="s">
        <v>12</v>
      </c>
      <c r="E627" s="1" t="s">
        <v>17</v>
      </c>
      <c r="F627" s="1">
        <v>1990</v>
      </c>
      <c r="G627" s="1" t="s">
        <v>25</v>
      </c>
      <c r="H627" s="1">
        <v>2021</v>
      </c>
      <c r="I627" s="1" t="s">
        <v>1601</v>
      </c>
      <c r="J627" s="6">
        <v>79471</v>
      </c>
      <c r="K627" s="6">
        <v>39210</v>
      </c>
      <c r="L627" s="21">
        <v>0.49338752500912281</v>
      </c>
      <c r="M627" s="1">
        <v>576</v>
      </c>
      <c r="N627" s="1" t="s">
        <v>1589</v>
      </c>
      <c r="O627" s="1">
        <v>1.5</v>
      </c>
      <c r="P627" s="1" t="s">
        <v>18</v>
      </c>
      <c r="Q627" s="22" t="s">
        <v>18</v>
      </c>
      <c r="R627" s="8">
        <v>126.64284695045995</v>
      </c>
      <c r="S627" s="9" t="s">
        <v>2657</v>
      </c>
      <c r="T627" s="8">
        <v>129.82727925910078</v>
      </c>
      <c r="U627" s="9" t="s">
        <v>2657</v>
      </c>
      <c r="V627" s="8">
        <v>130.1908598104969</v>
      </c>
      <c r="W627" s="8" t="s">
        <v>2657</v>
      </c>
      <c r="X627" s="8"/>
    </row>
    <row r="628" spans="1:24" x14ac:dyDescent="0.3">
      <c r="A628" s="1" t="s">
        <v>1892</v>
      </c>
      <c r="B628" s="1" t="s">
        <v>1107</v>
      </c>
      <c r="C628" s="1" t="s">
        <v>1586</v>
      </c>
      <c r="D628" s="1" t="s">
        <v>12</v>
      </c>
      <c r="E628" s="1" t="s">
        <v>17</v>
      </c>
      <c r="F628" s="1">
        <v>2014</v>
      </c>
      <c r="J628" s="6">
        <v>16971</v>
      </c>
      <c r="K628" s="6">
        <v>16167</v>
      </c>
      <c r="L628" s="21">
        <v>0.95262506628955279</v>
      </c>
      <c r="M628" s="1">
        <v>0</v>
      </c>
      <c r="N628" s="1" t="s">
        <v>1589</v>
      </c>
      <c r="O628" s="1">
        <v>8</v>
      </c>
      <c r="P628" s="1">
        <v>0.79</v>
      </c>
      <c r="Q628" s="22">
        <v>42860</v>
      </c>
      <c r="R628" s="8">
        <v>111.50924341523775</v>
      </c>
      <c r="S628" s="9" t="s">
        <v>2657</v>
      </c>
      <c r="T628" s="8">
        <v>143.21436096871133</v>
      </c>
      <c r="U628" s="9" t="s">
        <v>2657</v>
      </c>
      <c r="V628" s="8">
        <v>129.86225561251547</v>
      </c>
      <c r="W628" s="8" t="s">
        <v>2657</v>
      </c>
      <c r="X628" s="8"/>
    </row>
    <row r="629" spans="1:24" x14ac:dyDescent="0.3">
      <c r="A629" s="1" t="s">
        <v>1937</v>
      </c>
      <c r="B629" s="1" t="s">
        <v>1938</v>
      </c>
      <c r="C629" s="1" t="s">
        <v>1586</v>
      </c>
      <c r="D629" s="1" t="s">
        <v>12</v>
      </c>
      <c r="E629" s="1" t="s">
        <v>17</v>
      </c>
      <c r="F629" s="1">
        <v>1980</v>
      </c>
      <c r="G629" s="1" t="s">
        <v>25</v>
      </c>
      <c r="H629" s="1">
        <v>2022</v>
      </c>
      <c r="I629" s="1" t="s">
        <v>1783</v>
      </c>
      <c r="J629" s="6">
        <v>29182</v>
      </c>
      <c r="K629" s="6">
        <v>0</v>
      </c>
      <c r="L629" s="21">
        <v>0</v>
      </c>
      <c r="M629" s="1">
        <v>0</v>
      </c>
      <c r="N629" s="1" t="s">
        <v>28</v>
      </c>
      <c r="O629" s="1" t="s">
        <v>18</v>
      </c>
      <c r="P629" s="1" t="s">
        <v>18</v>
      </c>
      <c r="Q629" s="22" t="s">
        <v>18</v>
      </c>
      <c r="R629" s="8">
        <v>122.15765643204713</v>
      </c>
      <c r="S629" s="9" t="s">
        <v>2657</v>
      </c>
      <c r="T629" s="8">
        <v>129.89587793845521</v>
      </c>
      <c r="U629" s="9" t="s">
        <v>2657</v>
      </c>
      <c r="V629" s="8">
        <v>129.00093208142005</v>
      </c>
      <c r="W629" s="8" t="s">
        <v>2657</v>
      </c>
      <c r="X629" s="8"/>
    </row>
    <row r="630" spans="1:24" x14ac:dyDescent="0.3">
      <c r="A630" s="1" t="s">
        <v>989</v>
      </c>
      <c r="B630" s="1" t="s">
        <v>990</v>
      </c>
      <c r="C630" s="1" t="s">
        <v>1586</v>
      </c>
      <c r="D630" s="1" t="s">
        <v>12</v>
      </c>
      <c r="E630" s="1" t="s">
        <v>17</v>
      </c>
      <c r="F630" s="1">
        <v>1983</v>
      </c>
      <c r="J630" s="6">
        <v>47478</v>
      </c>
      <c r="K630" s="6">
        <v>22804</v>
      </c>
      <c r="L630" s="21">
        <v>0.48030666835165758</v>
      </c>
      <c r="M630" s="1">
        <v>0</v>
      </c>
      <c r="N630" s="1" t="s">
        <v>1589</v>
      </c>
      <c r="O630" s="1">
        <v>6</v>
      </c>
      <c r="P630" s="1" t="s">
        <v>18</v>
      </c>
      <c r="Q630" s="22" t="s">
        <v>18</v>
      </c>
      <c r="R630" s="8">
        <v>124.12184253759639</v>
      </c>
      <c r="S630" s="9" t="s">
        <v>2657</v>
      </c>
      <c r="T630" s="8">
        <v>120.21771473103333</v>
      </c>
      <c r="U630" s="9" t="s">
        <v>2657</v>
      </c>
      <c r="V630" s="8">
        <v>121.07360946122415</v>
      </c>
      <c r="W630" s="8" t="s">
        <v>2657</v>
      </c>
      <c r="X630" s="8"/>
    </row>
    <row r="631" spans="1:24" x14ac:dyDescent="0.3">
      <c r="A631" s="1" t="s">
        <v>479</v>
      </c>
      <c r="B631" s="1" t="s">
        <v>1802</v>
      </c>
      <c r="C631" s="1" t="s">
        <v>1586</v>
      </c>
      <c r="D631" s="1" t="s">
        <v>12</v>
      </c>
      <c r="E631" s="1" t="s">
        <v>17</v>
      </c>
      <c r="F631" s="1">
        <v>1999</v>
      </c>
      <c r="G631" s="1" t="s">
        <v>19</v>
      </c>
      <c r="H631" s="1">
        <v>2022</v>
      </c>
      <c r="I631" s="1" t="s">
        <v>1783</v>
      </c>
      <c r="J631" s="6">
        <v>161545</v>
      </c>
      <c r="K631" s="6">
        <v>119109</v>
      </c>
      <c r="L631" s="21">
        <v>0.73731158500727356</v>
      </c>
      <c r="M631" s="1">
        <v>0</v>
      </c>
      <c r="N631" s="1" t="s">
        <v>1589</v>
      </c>
      <c r="O631" s="1">
        <v>5</v>
      </c>
      <c r="P631" s="1">
        <v>0.6</v>
      </c>
      <c r="Q631" s="22">
        <v>44958</v>
      </c>
      <c r="R631" s="8">
        <v>109.1991364635241</v>
      </c>
      <c r="S631" s="9" t="s">
        <v>2657</v>
      </c>
      <c r="T631" s="8">
        <v>70.282100962580088</v>
      </c>
      <c r="U631" s="9" t="s">
        <v>2657</v>
      </c>
      <c r="V631" s="8">
        <v>118.48220464885945</v>
      </c>
      <c r="W631" s="8" t="s">
        <v>2657</v>
      </c>
      <c r="X631" s="8"/>
    </row>
    <row r="632" spans="1:24" x14ac:dyDescent="0.3">
      <c r="A632" s="1" t="s">
        <v>2213</v>
      </c>
      <c r="B632" s="1" t="s">
        <v>727</v>
      </c>
      <c r="C632" s="1" t="s">
        <v>1586</v>
      </c>
      <c r="D632" s="1" t="s">
        <v>12</v>
      </c>
      <c r="E632" s="1" t="s">
        <v>17</v>
      </c>
      <c r="F632" s="1">
        <v>1999</v>
      </c>
      <c r="J632" s="6">
        <v>29798</v>
      </c>
      <c r="K632" s="6">
        <v>7800</v>
      </c>
      <c r="L632" s="21">
        <v>0.26176253439828179</v>
      </c>
      <c r="M632" s="1">
        <v>0</v>
      </c>
      <c r="N632" s="1" t="s">
        <v>28</v>
      </c>
      <c r="O632" s="1" t="s">
        <v>18</v>
      </c>
      <c r="P632" s="1" t="s">
        <v>18</v>
      </c>
      <c r="Q632" s="22" t="s">
        <v>18</v>
      </c>
      <c r="R632" s="8">
        <v>114.90452177998523</v>
      </c>
      <c r="S632" s="9" t="s">
        <v>2657</v>
      </c>
      <c r="T632" s="8">
        <v>117.85875461440367</v>
      </c>
      <c r="U632" s="9" t="s">
        <v>2657</v>
      </c>
      <c r="V632" s="8">
        <v>117.52576750117457</v>
      </c>
      <c r="W632" s="8" t="s">
        <v>2657</v>
      </c>
      <c r="X632" s="8"/>
    </row>
    <row r="633" spans="1:24" x14ac:dyDescent="0.3">
      <c r="A633" s="1" t="s">
        <v>38</v>
      </c>
      <c r="B633" s="1" t="s">
        <v>39</v>
      </c>
      <c r="C633" s="1" t="s">
        <v>1586</v>
      </c>
      <c r="D633" s="1" t="s">
        <v>12</v>
      </c>
      <c r="E633" s="1" t="s">
        <v>17</v>
      </c>
      <c r="F633" s="1">
        <v>1984</v>
      </c>
      <c r="G633" s="1" t="s">
        <v>21</v>
      </c>
      <c r="H633" s="1">
        <v>2018</v>
      </c>
      <c r="I633" s="1" t="s">
        <v>1601</v>
      </c>
      <c r="J633" s="6">
        <v>47840</v>
      </c>
      <c r="K633" s="6">
        <v>3827</v>
      </c>
      <c r="L633" s="21">
        <v>7.9995819397993315E-2</v>
      </c>
      <c r="M633" s="1">
        <v>0</v>
      </c>
      <c r="N633" s="1" t="s">
        <v>1589</v>
      </c>
      <c r="O633" s="1">
        <v>5</v>
      </c>
      <c r="P633" s="1">
        <v>0.56100000000000005</v>
      </c>
      <c r="Q633" s="22">
        <v>44784</v>
      </c>
      <c r="R633" s="8">
        <v>109.71788168896323</v>
      </c>
      <c r="S633" s="9" t="s">
        <v>2657</v>
      </c>
      <c r="T633" s="8">
        <v>115.52963001672242</v>
      </c>
      <c r="U633" s="9" t="s">
        <v>2657</v>
      </c>
      <c r="V633" s="8">
        <v>115.03502675585284</v>
      </c>
      <c r="W633" s="8" t="s">
        <v>2657</v>
      </c>
      <c r="X633" s="8"/>
    </row>
    <row r="634" spans="1:24" x14ac:dyDescent="0.3">
      <c r="A634" s="1" t="s">
        <v>1526</v>
      </c>
      <c r="B634" s="1" t="s">
        <v>1527</v>
      </c>
      <c r="C634" s="1" t="s">
        <v>1586</v>
      </c>
      <c r="D634" s="1" t="s">
        <v>12</v>
      </c>
      <c r="E634" s="1" t="s">
        <v>17</v>
      </c>
      <c r="F634" s="1">
        <v>1990</v>
      </c>
      <c r="J634" s="6">
        <v>26671</v>
      </c>
      <c r="K634" s="6">
        <v>24094</v>
      </c>
      <c r="L634" s="21">
        <v>0.90337820104233058</v>
      </c>
      <c r="M634" s="1">
        <v>88</v>
      </c>
      <c r="N634" s="1" t="s">
        <v>1589</v>
      </c>
      <c r="O634" s="1">
        <v>19</v>
      </c>
      <c r="P634" s="1" t="s">
        <v>18</v>
      </c>
      <c r="Q634" s="22" t="s">
        <v>18</v>
      </c>
      <c r="R634" s="8">
        <v>110.55892167522778</v>
      </c>
      <c r="S634" s="9" t="s">
        <v>2657</v>
      </c>
      <c r="T634" s="8">
        <v>115.79929511454388</v>
      </c>
      <c r="U634" s="9" t="s">
        <v>2657</v>
      </c>
      <c r="V634" s="8">
        <v>114.80158224288553</v>
      </c>
      <c r="W634" s="8" t="s">
        <v>2657</v>
      </c>
      <c r="X634" s="8"/>
    </row>
    <row r="635" spans="1:24" x14ac:dyDescent="0.3">
      <c r="A635" s="1" t="s">
        <v>2176</v>
      </c>
      <c r="B635" s="1" t="s">
        <v>2177</v>
      </c>
      <c r="C635" s="1" t="s">
        <v>1586</v>
      </c>
      <c r="D635" s="1" t="s">
        <v>12</v>
      </c>
      <c r="E635" s="1" t="s">
        <v>17</v>
      </c>
      <c r="F635" s="1">
        <v>1991</v>
      </c>
      <c r="J635" s="6">
        <v>24985</v>
      </c>
      <c r="K635" s="6">
        <v>21237</v>
      </c>
      <c r="L635" s="21">
        <v>0.84998999399639785</v>
      </c>
      <c r="M635" s="1">
        <v>0</v>
      </c>
      <c r="N635" s="1" t="s">
        <v>28</v>
      </c>
      <c r="O635" s="1" t="s">
        <v>18</v>
      </c>
      <c r="P635" s="1" t="s">
        <v>18</v>
      </c>
      <c r="Q635" s="22" t="s">
        <v>18</v>
      </c>
      <c r="R635" s="8">
        <v>70.680261356814086</v>
      </c>
      <c r="S635" s="9" t="s">
        <v>2657</v>
      </c>
      <c r="T635" s="8">
        <v>107.06485011006602</v>
      </c>
      <c r="U635" s="9" t="s">
        <v>2657</v>
      </c>
      <c r="V635" s="8">
        <v>98.310601961176715</v>
      </c>
      <c r="W635" s="8" t="s">
        <v>2657</v>
      </c>
      <c r="X635" s="8"/>
    </row>
    <row r="636" spans="1:24" x14ac:dyDescent="0.3">
      <c r="A636" s="1" t="s">
        <v>357</v>
      </c>
      <c r="B636" s="1" t="s">
        <v>358</v>
      </c>
      <c r="C636" s="1" t="s">
        <v>1586</v>
      </c>
      <c r="D636" s="1" t="s">
        <v>12</v>
      </c>
      <c r="E636" s="1" t="s">
        <v>17</v>
      </c>
      <c r="F636" s="1">
        <v>2014</v>
      </c>
      <c r="J636" s="6">
        <v>119287</v>
      </c>
      <c r="K636" s="6">
        <v>6882</v>
      </c>
      <c r="L636" s="21">
        <v>5.7692791335183215E-2</v>
      </c>
      <c r="M636" s="1">
        <v>0</v>
      </c>
      <c r="N636" s="1" t="s">
        <v>1590</v>
      </c>
      <c r="O636" s="1" t="s">
        <v>18</v>
      </c>
      <c r="P636" s="1" t="s">
        <v>18</v>
      </c>
      <c r="Q636" s="22" t="s">
        <v>18</v>
      </c>
      <c r="R636" s="8">
        <v>53.496766621677132</v>
      </c>
      <c r="S636" s="9" t="s">
        <v>2657</v>
      </c>
      <c r="T636" s="8">
        <v>56.849534316396593</v>
      </c>
      <c r="U636" s="9" t="s">
        <v>2657</v>
      </c>
      <c r="V636" s="8">
        <v>63.483263054649711</v>
      </c>
      <c r="W636" s="8" t="s">
        <v>2657</v>
      </c>
      <c r="X636" s="8"/>
    </row>
    <row r="637" spans="1:24" x14ac:dyDescent="0.3">
      <c r="A637" s="1" t="s">
        <v>1329</v>
      </c>
      <c r="B637" s="1" t="s">
        <v>2095</v>
      </c>
      <c r="C637" s="1" t="s">
        <v>1586</v>
      </c>
      <c r="D637" s="1" t="s">
        <v>12</v>
      </c>
      <c r="E637" s="1" t="s">
        <v>17</v>
      </c>
      <c r="F637" s="1">
        <v>2004</v>
      </c>
      <c r="G637" s="1" t="s">
        <v>25</v>
      </c>
      <c r="H637" s="1">
        <v>2021</v>
      </c>
      <c r="I637" s="1" t="s">
        <v>1597</v>
      </c>
      <c r="J637" s="6">
        <v>38235.919999999998</v>
      </c>
      <c r="K637" s="6">
        <v>0</v>
      </c>
      <c r="L637" s="21">
        <v>0</v>
      </c>
      <c r="M637" s="1">
        <v>0</v>
      </c>
      <c r="N637" s="1" t="s">
        <v>28</v>
      </c>
      <c r="O637" s="1" t="s">
        <v>18</v>
      </c>
      <c r="P637" s="1" t="s">
        <v>18</v>
      </c>
      <c r="Q637" s="22" t="s">
        <v>18</v>
      </c>
      <c r="R637" s="8">
        <v>37.179162159560953</v>
      </c>
      <c r="S637" s="9" t="s">
        <v>2657</v>
      </c>
      <c r="T637" s="8">
        <v>36.251923845431214</v>
      </c>
      <c r="U637" s="9" t="s">
        <v>2657</v>
      </c>
      <c r="V637" s="8">
        <v>39.585985115566729</v>
      </c>
      <c r="W637" s="8" t="s">
        <v>2657</v>
      </c>
      <c r="X637" s="8"/>
    </row>
    <row r="638" spans="1:24" x14ac:dyDescent="0.3">
      <c r="A638" s="1" t="s">
        <v>515</v>
      </c>
      <c r="B638" s="1" t="s">
        <v>1836</v>
      </c>
      <c r="C638" s="1" t="s">
        <v>1586</v>
      </c>
      <c r="D638" s="1" t="s">
        <v>12</v>
      </c>
      <c r="E638" s="1" t="s">
        <v>17</v>
      </c>
      <c r="F638" s="1">
        <v>2007</v>
      </c>
      <c r="J638" s="6">
        <v>51909</v>
      </c>
      <c r="K638" s="6">
        <v>51909</v>
      </c>
      <c r="L638" s="21">
        <v>1</v>
      </c>
      <c r="M638" s="1">
        <v>0</v>
      </c>
      <c r="N638" s="1" t="s">
        <v>1589</v>
      </c>
      <c r="O638" s="1">
        <v>15</v>
      </c>
      <c r="P638" s="1" t="s">
        <v>18</v>
      </c>
      <c r="Q638" s="22" t="s">
        <v>18</v>
      </c>
      <c r="R638" s="8">
        <v>30.768456337051379</v>
      </c>
      <c r="S638" s="9" t="s">
        <v>2657</v>
      </c>
      <c r="T638" s="8">
        <v>6.9794794736943491</v>
      </c>
      <c r="U638" s="9" t="s">
        <v>2657</v>
      </c>
      <c r="V638" s="8">
        <v>13.224134543142807</v>
      </c>
      <c r="W638" s="8" t="s">
        <v>2657</v>
      </c>
      <c r="X638" s="8"/>
    </row>
    <row r="639" spans="1:24" x14ac:dyDescent="0.3">
      <c r="A639" s="1" t="s">
        <v>2360</v>
      </c>
      <c r="B639" s="1" t="s">
        <v>2361</v>
      </c>
      <c r="C639" s="1" t="s">
        <v>1586</v>
      </c>
      <c r="D639" s="1" t="s">
        <v>12</v>
      </c>
      <c r="E639" s="1" t="s">
        <v>17</v>
      </c>
      <c r="F639" s="1">
        <v>2018</v>
      </c>
      <c r="J639" s="6">
        <v>614910</v>
      </c>
      <c r="K639" s="6">
        <v>202973</v>
      </c>
      <c r="L639" s="21">
        <v>0.33008570359890066</v>
      </c>
      <c r="M639" s="1">
        <v>0</v>
      </c>
      <c r="N639" s="1" t="s">
        <v>28</v>
      </c>
      <c r="O639" s="1" t="s">
        <v>18</v>
      </c>
      <c r="P639" s="1" t="s">
        <v>18</v>
      </c>
      <c r="Q639" s="22" t="s">
        <v>18</v>
      </c>
      <c r="R639" s="8">
        <v>1.1060492104535622</v>
      </c>
      <c r="S639" s="9" t="s">
        <v>2657</v>
      </c>
      <c r="T639" s="8">
        <v>1.2323720707095347</v>
      </c>
      <c r="U639" s="9" t="s">
        <v>2657</v>
      </c>
      <c r="V639" s="8">
        <v>1.3018074514969671</v>
      </c>
      <c r="W639" s="8" t="s">
        <v>2657</v>
      </c>
      <c r="X639" s="8"/>
    </row>
    <row r="640" spans="1:24" x14ac:dyDescent="0.3">
      <c r="A640" s="1" t="s">
        <v>573</v>
      </c>
      <c r="B640" s="1" t="s">
        <v>574</v>
      </c>
      <c r="C640" s="1" t="s">
        <v>1586</v>
      </c>
      <c r="D640" s="1" t="s">
        <v>12</v>
      </c>
      <c r="E640" s="1" t="s">
        <v>1588</v>
      </c>
      <c r="F640" s="1">
        <v>2014</v>
      </c>
      <c r="G640" s="1" t="s">
        <v>25</v>
      </c>
      <c r="H640" s="1">
        <v>2023</v>
      </c>
      <c r="I640" s="1" t="s">
        <v>1783</v>
      </c>
      <c r="J640" s="6">
        <v>11590.86</v>
      </c>
      <c r="K640" s="6">
        <v>11591</v>
      </c>
      <c r="L640" s="21">
        <v>1.0000120784825284</v>
      </c>
      <c r="M640" s="1">
        <v>0</v>
      </c>
      <c r="N640" s="1" t="s">
        <v>1589</v>
      </c>
      <c r="O640" s="1">
        <v>8</v>
      </c>
      <c r="P640" s="1">
        <v>0.63</v>
      </c>
      <c r="Q640" s="22">
        <v>44927</v>
      </c>
      <c r="R640" s="8">
        <v>1368.3704660396209</v>
      </c>
      <c r="S640" s="9" t="s">
        <v>2654</v>
      </c>
      <c r="T640" s="8">
        <v>1475.6650498755052</v>
      </c>
      <c r="U640" s="9" t="s">
        <v>2654</v>
      </c>
      <c r="V640" s="8">
        <v>1414.9932360497839</v>
      </c>
      <c r="W640" s="8" t="s">
        <v>2654</v>
      </c>
      <c r="X640" s="8"/>
    </row>
    <row r="641" spans="1:24" x14ac:dyDescent="0.3">
      <c r="A641" s="1" t="s">
        <v>20</v>
      </c>
      <c r="B641" s="1" t="s">
        <v>2559</v>
      </c>
      <c r="C641" s="1" t="s">
        <v>1586</v>
      </c>
      <c r="D641" s="1" t="s">
        <v>12</v>
      </c>
      <c r="E641" s="1" t="s">
        <v>1588</v>
      </c>
      <c r="F641" s="1">
        <v>2000</v>
      </c>
      <c r="G641" s="1" t="s">
        <v>21</v>
      </c>
      <c r="H641" s="1">
        <v>2020</v>
      </c>
      <c r="I641" s="1" t="s">
        <v>1599</v>
      </c>
      <c r="J641" s="6">
        <v>10249</v>
      </c>
      <c r="K641" s="6">
        <v>7541</v>
      </c>
      <c r="L641" s="21">
        <v>0.73577910040003902</v>
      </c>
      <c r="M641" s="1">
        <v>0</v>
      </c>
      <c r="N641" s="1" t="s">
        <v>1589</v>
      </c>
      <c r="O641" s="1" t="s">
        <v>18</v>
      </c>
      <c r="P641" s="1" t="s">
        <v>18</v>
      </c>
      <c r="Q641" s="22" t="s">
        <v>18</v>
      </c>
      <c r="R641" s="8">
        <v>753.13068299346287</v>
      </c>
      <c r="S641" s="9" t="s">
        <v>2654</v>
      </c>
      <c r="T641" s="8">
        <v>803.26235144892178</v>
      </c>
      <c r="U641" s="9" t="s">
        <v>2654</v>
      </c>
      <c r="V641" s="8">
        <v>820.68887110937658</v>
      </c>
      <c r="W641" s="8" t="s">
        <v>2654</v>
      </c>
      <c r="X641" s="8"/>
    </row>
    <row r="642" spans="1:24" x14ac:dyDescent="0.3">
      <c r="A642" s="1" t="s">
        <v>991</v>
      </c>
      <c r="B642" s="1" t="s">
        <v>1837</v>
      </c>
      <c r="C642" s="1" t="s">
        <v>1586</v>
      </c>
      <c r="D642" s="1" t="s">
        <v>12</v>
      </c>
      <c r="E642" s="1" t="s">
        <v>1588</v>
      </c>
      <c r="F642" s="1">
        <v>2010</v>
      </c>
      <c r="J642" s="6">
        <v>5312</v>
      </c>
      <c r="K642" s="6">
        <v>2433</v>
      </c>
      <c r="L642" s="21">
        <v>0.45801957831325302</v>
      </c>
      <c r="M642" s="1">
        <v>0</v>
      </c>
      <c r="N642" s="1" t="s">
        <v>28</v>
      </c>
      <c r="O642" s="1" t="s">
        <v>18</v>
      </c>
      <c r="P642" s="1" t="s">
        <v>18</v>
      </c>
      <c r="Q642" s="22" t="s">
        <v>18</v>
      </c>
      <c r="R642" s="8">
        <v>735.40950489457828</v>
      </c>
      <c r="S642" s="9" t="s">
        <v>2654</v>
      </c>
      <c r="T642" s="8">
        <v>741.57609186746993</v>
      </c>
      <c r="U642" s="9" t="s">
        <v>2654</v>
      </c>
      <c r="V642" s="8">
        <v>723.44072289156634</v>
      </c>
      <c r="W642" s="8" t="s">
        <v>2654</v>
      </c>
      <c r="X642" s="8"/>
    </row>
    <row r="643" spans="1:24" x14ac:dyDescent="0.3">
      <c r="A643" s="1" t="s">
        <v>327</v>
      </c>
      <c r="B643" s="1" t="s">
        <v>2597</v>
      </c>
      <c r="C643" s="1" t="s">
        <v>1586</v>
      </c>
      <c r="D643" s="1" t="s">
        <v>12</v>
      </c>
      <c r="E643" s="1" t="s">
        <v>1588</v>
      </c>
      <c r="F643" s="1">
        <v>1996</v>
      </c>
      <c r="J643" s="6">
        <v>5659</v>
      </c>
      <c r="K643" s="6">
        <v>2115</v>
      </c>
      <c r="L643" s="21">
        <v>0.37374094362961652</v>
      </c>
      <c r="M643" s="1">
        <v>0</v>
      </c>
      <c r="N643" s="1" t="s">
        <v>28</v>
      </c>
      <c r="Q643" s="22"/>
      <c r="R643" s="8">
        <v>136.2666177769924</v>
      </c>
      <c r="S643" s="9" t="s">
        <v>2657</v>
      </c>
      <c r="T643" s="8">
        <v>693.67779289627151</v>
      </c>
      <c r="U643" s="9" t="s">
        <v>2654</v>
      </c>
      <c r="V643" s="8">
        <v>692.58762325499208</v>
      </c>
      <c r="W643" s="8" t="s">
        <v>2654</v>
      </c>
      <c r="X643" s="8"/>
    </row>
    <row r="644" spans="1:24" x14ac:dyDescent="0.3">
      <c r="A644" s="1" t="s">
        <v>1782</v>
      </c>
      <c r="B644" s="1" t="s">
        <v>1427</v>
      </c>
      <c r="C644" s="1" t="s">
        <v>1586</v>
      </c>
      <c r="D644" s="1" t="s">
        <v>12</v>
      </c>
      <c r="E644" s="1" t="s">
        <v>1588</v>
      </c>
      <c r="F644" s="1">
        <v>1996</v>
      </c>
      <c r="J644" s="6">
        <v>9900</v>
      </c>
      <c r="K644" s="6">
        <v>99</v>
      </c>
      <c r="L644" s="21">
        <v>0.01</v>
      </c>
      <c r="M644" s="1">
        <v>0</v>
      </c>
      <c r="N644" s="1" t="s">
        <v>28</v>
      </c>
      <c r="O644" s="1" t="s">
        <v>18</v>
      </c>
      <c r="P644" s="1" t="s">
        <v>18</v>
      </c>
      <c r="Q644" s="22" t="s">
        <v>18</v>
      </c>
      <c r="R644" s="8">
        <v>512.27944242424246</v>
      </c>
      <c r="S644" s="9" t="s">
        <v>2654</v>
      </c>
      <c r="T644" s="8">
        <v>662.76753838383843</v>
      </c>
      <c r="U644" s="9" t="s">
        <v>2654</v>
      </c>
      <c r="V644" s="8">
        <v>675.29959090909097</v>
      </c>
      <c r="W644" s="8" t="s">
        <v>2654</v>
      </c>
      <c r="X644" s="8"/>
    </row>
    <row r="645" spans="1:24" x14ac:dyDescent="0.3">
      <c r="A645" s="1" t="s">
        <v>2181</v>
      </c>
      <c r="B645" s="1" t="s">
        <v>2182</v>
      </c>
      <c r="C645" s="1" t="s">
        <v>1586</v>
      </c>
      <c r="D645" s="1" t="s">
        <v>12</v>
      </c>
      <c r="E645" s="1" t="s">
        <v>1588</v>
      </c>
      <c r="F645" s="1">
        <v>2018</v>
      </c>
      <c r="J645" s="6">
        <v>2026</v>
      </c>
      <c r="K645" s="6">
        <v>1600</v>
      </c>
      <c r="L645" s="21">
        <v>0.7897334649555775</v>
      </c>
      <c r="M645" s="1">
        <v>0</v>
      </c>
      <c r="N645" s="1" t="s">
        <v>28</v>
      </c>
      <c r="O645" s="1" t="s">
        <v>18</v>
      </c>
      <c r="P645" s="1" t="s">
        <v>18</v>
      </c>
      <c r="Q645" s="22" t="s">
        <v>18</v>
      </c>
      <c r="R645" s="8">
        <v>577.85401283316878</v>
      </c>
      <c r="S645" s="9" t="s">
        <v>2654</v>
      </c>
      <c r="T645" s="8">
        <v>697.08098716683128</v>
      </c>
      <c r="U645" s="9" t="s">
        <v>2654</v>
      </c>
      <c r="V645" s="8">
        <v>660.08662882527153</v>
      </c>
      <c r="W645" s="8" t="s">
        <v>2654</v>
      </c>
      <c r="X645" s="8"/>
    </row>
    <row r="646" spans="1:24" x14ac:dyDescent="0.3">
      <c r="A646" s="1" t="s">
        <v>2324</v>
      </c>
      <c r="B646" s="1" t="s">
        <v>528</v>
      </c>
      <c r="C646" s="1" t="s">
        <v>1586</v>
      </c>
      <c r="D646" s="1" t="s">
        <v>12</v>
      </c>
      <c r="E646" s="1" t="s">
        <v>1588</v>
      </c>
      <c r="F646" s="1">
        <v>1984</v>
      </c>
      <c r="J646" s="6">
        <v>11402</v>
      </c>
      <c r="K646" s="6">
        <v>11302</v>
      </c>
      <c r="L646" s="21">
        <v>0.99122960884055433</v>
      </c>
      <c r="M646" s="1">
        <v>0</v>
      </c>
      <c r="N646" s="1" t="s">
        <v>28</v>
      </c>
      <c r="O646" s="1" t="s">
        <v>18</v>
      </c>
      <c r="P646" s="1" t="s">
        <v>18</v>
      </c>
      <c r="Q646" s="22" t="s">
        <v>18</v>
      </c>
      <c r="R646" s="8">
        <v>608.69518768637079</v>
      </c>
      <c r="S646" s="9" t="s">
        <v>2654</v>
      </c>
      <c r="T646" s="8">
        <v>660.31351692685496</v>
      </c>
      <c r="U646" s="9" t="s">
        <v>2654</v>
      </c>
      <c r="V646" s="8">
        <v>649.23231187510964</v>
      </c>
      <c r="W646" s="8" t="s">
        <v>2654</v>
      </c>
      <c r="X646" s="8"/>
    </row>
    <row r="647" spans="1:24" x14ac:dyDescent="0.3">
      <c r="A647" s="1" t="s">
        <v>1439</v>
      </c>
      <c r="B647" s="1" t="s">
        <v>1440</v>
      </c>
      <c r="C647" s="1" t="s">
        <v>1586</v>
      </c>
      <c r="D647" s="1" t="s">
        <v>12</v>
      </c>
      <c r="E647" s="1" t="s">
        <v>1588</v>
      </c>
      <c r="F647" s="1">
        <v>2008</v>
      </c>
      <c r="G647" s="1" t="s">
        <v>47</v>
      </c>
      <c r="H647" s="1">
        <v>2020</v>
      </c>
      <c r="I647" s="1" t="s">
        <v>1601</v>
      </c>
      <c r="J647" s="6">
        <v>10880</v>
      </c>
      <c r="K647" s="6">
        <v>7490</v>
      </c>
      <c r="L647" s="21">
        <v>0.68841911764705888</v>
      </c>
      <c r="M647" s="1">
        <v>0</v>
      </c>
      <c r="N647" s="1" t="s">
        <v>1589</v>
      </c>
      <c r="O647" s="1">
        <v>12</v>
      </c>
      <c r="P647" s="1" t="s">
        <v>18</v>
      </c>
      <c r="Q647" s="22" t="s">
        <v>18</v>
      </c>
      <c r="R647" s="8">
        <v>599.42878676470593</v>
      </c>
      <c r="S647" s="9" t="s">
        <v>2654</v>
      </c>
      <c r="T647" s="8">
        <v>594.62014705882359</v>
      </c>
      <c r="U647" s="9" t="s">
        <v>2654</v>
      </c>
      <c r="V647" s="8">
        <v>593.12832720588233</v>
      </c>
      <c r="W647" s="8" t="s">
        <v>2654</v>
      </c>
      <c r="X647" s="8"/>
    </row>
    <row r="648" spans="1:24" x14ac:dyDescent="0.3">
      <c r="A648" s="1" t="s">
        <v>295</v>
      </c>
      <c r="B648" s="1" t="s">
        <v>296</v>
      </c>
      <c r="C648" s="1" t="s">
        <v>1586</v>
      </c>
      <c r="D648" s="1" t="s">
        <v>12</v>
      </c>
      <c r="E648" s="1" t="s">
        <v>1588</v>
      </c>
      <c r="F648" s="1">
        <v>1992</v>
      </c>
      <c r="J648" s="6">
        <v>5574</v>
      </c>
      <c r="K648" s="6">
        <v>5017</v>
      </c>
      <c r="L648" s="21">
        <v>0.90007176175098669</v>
      </c>
      <c r="M648" s="1">
        <v>0</v>
      </c>
      <c r="N648" s="1" t="s">
        <v>28</v>
      </c>
      <c r="O648" s="1" t="s">
        <v>18</v>
      </c>
      <c r="P648" s="1" t="s">
        <v>18</v>
      </c>
      <c r="Q648" s="22" t="s">
        <v>18</v>
      </c>
      <c r="R648" s="8">
        <v>433.6282274847506</v>
      </c>
      <c r="S648" s="9" t="s">
        <v>2655</v>
      </c>
      <c r="T648" s="8">
        <v>533.00991747398643</v>
      </c>
      <c r="U648" s="9" t="s">
        <v>2654</v>
      </c>
      <c r="V648" s="8">
        <v>553.22312881234302</v>
      </c>
      <c r="W648" s="8" t="s">
        <v>2654</v>
      </c>
      <c r="X648" s="8"/>
    </row>
    <row r="649" spans="1:24" x14ac:dyDescent="0.3">
      <c r="A649" s="1" t="s">
        <v>1248</v>
      </c>
      <c r="B649" s="1" t="s">
        <v>1249</v>
      </c>
      <c r="C649" s="1" t="s">
        <v>1586</v>
      </c>
      <c r="D649" s="1" t="s">
        <v>12</v>
      </c>
      <c r="E649" s="1" t="s">
        <v>1588</v>
      </c>
      <c r="F649" s="1">
        <v>2017</v>
      </c>
      <c r="G649" s="1" t="s">
        <v>21</v>
      </c>
      <c r="H649" s="1">
        <v>2022</v>
      </c>
      <c r="I649" s="1" t="s">
        <v>1818</v>
      </c>
      <c r="J649" s="6">
        <v>8657</v>
      </c>
      <c r="K649" s="6">
        <v>6047</v>
      </c>
      <c r="L649" s="21">
        <v>0.69850987640060069</v>
      </c>
      <c r="M649" s="1">
        <v>300</v>
      </c>
      <c r="N649" s="1" t="s">
        <v>1589</v>
      </c>
      <c r="O649" s="1" t="s">
        <v>18</v>
      </c>
      <c r="P649" s="1" t="s">
        <v>18</v>
      </c>
      <c r="Q649" s="22" t="s">
        <v>18</v>
      </c>
      <c r="R649" s="8">
        <v>441.84723345269725</v>
      </c>
      <c r="S649" s="9" t="s">
        <v>2654</v>
      </c>
      <c r="T649" s="8">
        <v>479.35318239574912</v>
      </c>
      <c r="U649" s="9" t="s">
        <v>2655</v>
      </c>
      <c r="V649" s="8">
        <v>543.46245812637176</v>
      </c>
      <c r="W649" s="8" t="s">
        <v>2654</v>
      </c>
      <c r="X649" s="8"/>
    </row>
    <row r="650" spans="1:24" x14ac:dyDescent="0.3">
      <c r="A650" s="1" t="s">
        <v>1543</v>
      </c>
      <c r="B650" s="1" t="s">
        <v>2596</v>
      </c>
      <c r="C650" s="1" t="s">
        <v>1586</v>
      </c>
      <c r="D650" s="1" t="s">
        <v>12</v>
      </c>
      <c r="E650" s="1" t="s">
        <v>1588</v>
      </c>
      <c r="F650" s="1">
        <v>2012</v>
      </c>
      <c r="J650" s="6">
        <v>5729</v>
      </c>
      <c r="K650" s="6">
        <v>3836</v>
      </c>
      <c r="L650" s="21">
        <v>0.66957584220631872</v>
      </c>
      <c r="M650" s="1">
        <v>0</v>
      </c>
      <c r="N650" s="1" t="s">
        <v>28</v>
      </c>
      <c r="Q650" s="22"/>
      <c r="R650" s="8">
        <v>434.12614417873976</v>
      </c>
      <c r="S650" s="9" t="s">
        <v>2654</v>
      </c>
      <c r="T650" s="8">
        <v>493.9200610926863</v>
      </c>
      <c r="U650" s="9" t="s">
        <v>2655</v>
      </c>
      <c r="V650" s="8">
        <v>539.91543026706233</v>
      </c>
      <c r="W650" s="8" t="s">
        <v>2654</v>
      </c>
      <c r="X650" s="8"/>
    </row>
    <row r="651" spans="1:24" x14ac:dyDescent="0.3">
      <c r="A651" s="1" t="s">
        <v>494</v>
      </c>
      <c r="B651" s="1" t="s">
        <v>495</v>
      </c>
      <c r="C651" s="1" t="s">
        <v>1586</v>
      </c>
      <c r="D651" s="1" t="s">
        <v>12</v>
      </c>
      <c r="E651" s="1" t="s">
        <v>1588</v>
      </c>
      <c r="F651" s="1">
        <v>2018</v>
      </c>
      <c r="J651" s="6">
        <v>6011</v>
      </c>
      <c r="K651" s="6">
        <v>4900</v>
      </c>
      <c r="L651" s="21">
        <v>0.81517218432873062</v>
      </c>
      <c r="M651" s="1">
        <v>0</v>
      </c>
      <c r="N651" s="1" t="s">
        <v>1589</v>
      </c>
      <c r="O651" s="1">
        <v>7</v>
      </c>
      <c r="P651" s="1">
        <v>0.72699999999999998</v>
      </c>
      <c r="Q651" s="22">
        <v>45107</v>
      </c>
      <c r="R651" s="8">
        <v>463.57152387289972</v>
      </c>
      <c r="S651" s="9" t="s">
        <v>2654</v>
      </c>
      <c r="T651" s="8">
        <v>448.18296123773081</v>
      </c>
      <c r="U651" s="9" t="s">
        <v>2655</v>
      </c>
      <c r="V651" s="8">
        <v>514.45595075694564</v>
      </c>
      <c r="W651" s="8" t="s">
        <v>2654</v>
      </c>
      <c r="X651" s="8"/>
    </row>
    <row r="652" spans="1:24" x14ac:dyDescent="0.3">
      <c r="A652" s="1" t="s">
        <v>1480</v>
      </c>
      <c r="B652" s="1" t="s">
        <v>2321</v>
      </c>
      <c r="C652" s="1" t="s">
        <v>1586</v>
      </c>
      <c r="D652" s="1" t="s">
        <v>12</v>
      </c>
      <c r="E652" s="1" t="s">
        <v>1588</v>
      </c>
      <c r="F652" s="1">
        <v>2014</v>
      </c>
      <c r="J652" s="6">
        <v>11263</v>
      </c>
      <c r="K652" s="6">
        <v>11259</v>
      </c>
      <c r="L652" s="21">
        <v>0.99964485483441357</v>
      </c>
      <c r="M652" s="1">
        <v>0</v>
      </c>
      <c r="N652" s="1" t="s">
        <v>28</v>
      </c>
      <c r="O652" s="1" t="s">
        <v>18</v>
      </c>
      <c r="P652" s="1" t="s">
        <v>18</v>
      </c>
      <c r="Q652" s="22" t="s">
        <v>18</v>
      </c>
      <c r="R652" s="8">
        <v>446.7995365355589</v>
      </c>
      <c r="S652" s="9" t="s">
        <v>2654</v>
      </c>
      <c r="T652" s="8">
        <v>467.86461511142682</v>
      </c>
      <c r="U652" s="9" t="s">
        <v>2655</v>
      </c>
      <c r="V652" s="8">
        <v>510.87151291840536</v>
      </c>
      <c r="W652" s="8" t="s">
        <v>2654</v>
      </c>
      <c r="X652" s="8"/>
    </row>
    <row r="653" spans="1:24" x14ac:dyDescent="0.3">
      <c r="A653" s="1" t="s">
        <v>1445</v>
      </c>
      <c r="B653" s="1" t="s">
        <v>1446</v>
      </c>
      <c r="C653" s="1" t="s">
        <v>1586</v>
      </c>
      <c r="D653" s="1" t="s">
        <v>12</v>
      </c>
      <c r="E653" s="1" t="s">
        <v>1588</v>
      </c>
      <c r="F653" s="1">
        <v>1997</v>
      </c>
      <c r="J653" s="6">
        <v>9544</v>
      </c>
      <c r="K653" s="6">
        <v>8924</v>
      </c>
      <c r="L653" s="21">
        <v>0.93503772003352892</v>
      </c>
      <c r="M653" s="1">
        <v>0</v>
      </c>
      <c r="N653" s="1" t="s">
        <v>1589</v>
      </c>
      <c r="O653" s="1" t="s">
        <v>18</v>
      </c>
      <c r="P653" s="1" t="s">
        <v>18</v>
      </c>
      <c r="Q653" s="22" t="s">
        <v>18</v>
      </c>
      <c r="R653" s="8">
        <v>489.05947820620275</v>
      </c>
      <c r="S653" s="9" t="s">
        <v>2654</v>
      </c>
      <c r="T653" s="8">
        <v>491.62694991617775</v>
      </c>
      <c r="U653" s="9" t="s">
        <v>2655</v>
      </c>
      <c r="V653" s="8">
        <v>503.03119132439235</v>
      </c>
      <c r="W653" s="8" t="s">
        <v>2654</v>
      </c>
      <c r="X653" s="8"/>
    </row>
    <row r="654" spans="1:24" x14ac:dyDescent="0.3">
      <c r="A654" s="1" t="s">
        <v>771</v>
      </c>
      <c r="B654" s="1" t="s">
        <v>2364</v>
      </c>
      <c r="C654" s="1" t="s">
        <v>1586</v>
      </c>
      <c r="D654" s="1" t="s">
        <v>12</v>
      </c>
      <c r="E654" s="1" t="s">
        <v>1588</v>
      </c>
      <c r="F654" s="1">
        <v>2016</v>
      </c>
      <c r="J654" s="6">
        <v>5535</v>
      </c>
      <c r="K654" s="6">
        <v>3000</v>
      </c>
      <c r="L654" s="21">
        <v>0.54200542005420049</v>
      </c>
      <c r="M654" s="1">
        <v>0</v>
      </c>
      <c r="N654" s="1" t="s">
        <v>28</v>
      </c>
      <c r="O654" s="1" t="s">
        <v>18</v>
      </c>
      <c r="P654" s="1" t="s">
        <v>18</v>
      </c>
      <c r="Q654" s="22" t="s">
        <v>18</v>
      </c>
      <c r="R654" s="8">
        <v>419.84715989159889</v>
      </c>
      <c r="S654" s="9" t="s">
        <v>2655</v>
      </c>
      <c r="T654" s="8">
        <v>475.72986991869914</v>
      </c>
      <c r="U654" s="9" t="s">
        <v>2655</v>
      </c>
      <c r="V654" s="8">
        <v>483.41340921409216</v>
      </c>
      <c r="W654" s="8" t="s">
        <v>2654</v>
      </c>
      <c r="X654" s="8"/>
    </row>
    <row r="655" spans="1:24" x14ac:dyDescent="0.3">
      <c r="A655" s="1" t="s">
        <v>2348</v>
      </c>
      <c r="B655" s="1" t="s">
        <v>2349</v>
      </c>
      <c r="C655" s="1" t="s">
        <v>1586</v>
      </c>
      <c r="D655" s="1" t="s">
        <v>12</v>
      </c>
      <c r="E655" s="1" t="s">
        <v>1588</v>
      </c>
      <c r="F655" s="1">
        <v>2019</v>
      </c>
      <c r="J655" s="6">
        <v>11000</v>
      </c>
      <c r="K655" s="6">
        <v>9800</v>
      </c>
      <c r="L655" s="21">
        <v>0.89090909090909087</v>
      </c>
      <c r="M655" s="1">
        <v>0</v>
      </c>
      <c r="N655" s="1" t="s">
        <v>1589</v>
      </c>
      <c r="O655" s="1">
        <v>3</v>
      </c>
      <c r="P655" s="1">
        <v>0.5</v>
      </c>
      <c r="Q655" s="22">
        <v>45139</v>
      </c>
      <c r="R655" s="8">
        <v>19.204727272727272</v>
      </c>
      <c r="S655" s="9" t="s">
        <v>2657</v>
      </c>
      <c r="T655" s="8">
        <v>447.13630818181821</v>
      </c>
      <c r="U655" s="9" t="s">
        <v>2655</v>
      </c>
      <c r="V655" s="8">
        <v>480.45750636363641</v>
      </c>
      <c r="W655" s="8" t="s">
        <v>2654</v>
      </c>
      <c r="X655" s="8"/>
    </row>
    <row r="656" spans="1:24" x14ac:dyDescent="0.3">
      <c r="A656" s="1" t="s">
        <v>728</v>
      </c>
      <c r="B656" s="1" t="s">
        <v>2130</v>
      </c>
      <c r="C656" s="1" t="s">
        <v>1586</v>
      </c>
      <c r="D656" s="1" t="s">
        <v>12</v>
      </c>
      <c r="E656" s="1" t="s">
        <v>1588</v>
      </c>
      <c r="F656" s="1">
        <v>2014</v>
      </c>
      <c r="J656" s="6">
        <v>8677</v>
      </c>
      <c r="K656" s="6">
        <v>1758</v>
      </c>
      <c r="L656" s="21">
        <v>0.20260458683876917</v>
      </c>
      <c r="M656" s="1">
        <v>0</v>
      </c>
      <c r="N656" s="1" t="s">
        <v>1589</v>
      </c>
      <c r="O656" s="1">
        <v>8</v>
      </c>
      <c r="P656" s="1">
        <v>0.63</v>
      </c>
      <c r="Q656" s="22">
        <v>44855</v>
      </c>
      <c r="R656" s="8">
        <v>516.42230263916099</v>
      </c>
      <c r="S656" s="9" t="s">
        <v>2654</v>
      </c>
      <c r="T656" s="8">
        <v>477.78713841189341</v>
      </c>
      <c r="U656" s="9" t="s">
        <v>2655</v>
      </c>
      <c r="V656" s="8">
        <v>478.49308401521267</v>
      </c>
      <c r="W656" s="8" t="s">
        <v>2655</v>
      </c>
      <c r="X656" s="8"/>
    </row>
    <row r="657" spans="1:24" x14ac:dyDescent="0.3">
      <c r="A657" s="1" t="s">
        <v>1328</v>
      </c>
      <c r="B657" s="1" t="s">
        <v>1826</v>
      </c>
      <c r="C657" s="1" t="s">
        <v>1586</v>
      </c>
      <c r="D657" s="1" t="s">
        <v>12</v>
      </c>
      <c r="E657" s="1" t="s">
        <v>1588</v>
      </c>
      <c r="F657" s="1">
        <v>1999</v>
      </c>
      <c r="G657" s="1" t="s">
        <v>25</v>
      </c>
      <c r="H657" s="1">
        <v>2011</v>
      </c>
      <c r="I657" s="1" t="s">
        <v>1605</v>
      </c>
      <c r="J657" s="6">
        <v>11260</v>
      </c>
      <c r="K657" s="6">
        <v>3000</v>
      </c>
      <c r="L657" s="21">
        <v>0.26642984014209592</v>
      </c>
      <c r="M657" s="1">
        <v>0</v>
      </c>
      <c r="N657" s="1" t="s">
        <v>28</v>
      </c>
      <c r="O657" s="1" t="s">
        <v>18</v>
      </c>
      <c r="P657" s="1" t="s">
        <v>18</v>
      </c>
      <c r="Q657" s="22" t="s">
        <v>18</v>
      </c>
      <c r="R657" s="8">
        <v>459.86852309058617</v>
      </c>
      <c r="S657" s="9" t="s">
        <v>2654</v>
      </c>
      <c r="T657" s="8">
        <v>456.20925399644761</v>
      </c>
      <c r="U657" s="9" t="s">
        <v>2655</v>
      </c>
      <c r="V657" s="8">
        <v>475.62365452930726</v>
      </c>
      <c r="W657" s="8" t="s">
        <v>2655</v>
      </c>
      <c r="X657" s="8"/>
    </row>
    <row r="658" spans="1:24" x14ac:dyDescent="0.3">
      <c r="A658" s="1" t="s">
        <v>2125</v>
      </c>
      <c r="B658" s="1" t="s">
        <v>2126</v>
      </c>
      <c r="C658" s="1" t="s">
        <v>1586</v>
      </c>
      <c r="D658" s="1" t="s">
        <v>12</v>
      </c>
      <c r="E658" s="1" t="s">
        <v>1588</v>
      </c>
      <c r="F658" s="1">
        <v>2001</v>
      </c>
      <c r="G658" s="1" t="s">
        <v>25</v>
      </c>
      <c r="H658" s="1">
        <v>2022</v>
      </c>
      <c r="I658" s="1" t="s">
        <v>1599</v>
      </c>
      <c r="J658" s="6">
        <v>6227</v>
      </c>
      <c r="K658" s="6">
        <v>6227</v>
      </c>
      <c r="L658" s="21">
        <v>1</v>
      </c>
      <c r="M658" s="1">
        <v>0</v>
      </c>
      <c r="N658" s="1" t="s">
        <v>28</v>
      </c>
      <c r="O658" s="1" t="s">
        <v>18</v>
      </c>
      <c r="P658" s="1">
        <v>0.88</v>
      </c>
      <c r="Q658" s="22">
        <v>44977</v>
      </c>
      <c r="R658" s="8">
        <v>439.09726834751888</v>
      </c>
      <c r="S658" s="9" t="s">
        <v>2654</v>
      </c>
      <c r="T658" s="8">
        <v>428.25365665649593</v>
      </c>
      <c r="U658" s="9" t="s">
        <v>2655</v>
      </c>
      <c r="V658" s="8">
        <v>434.5128745784487</v>
      </c>
      <c r="W658" s="8" t="s">
        <v>2655</v>
      </c>
      <c r="X658" s="8"/>
    </row>
    <row r="659" spans="1:24" x14ac:dyDescent="0.3">
      <c r="A659" s="1" t="s">
        <v>2568</v>
      </c>
      <c r="B659" s="1" t="s">
        <v>1380</v>
      </c>
      <c r="C659" s="1" t="s">
        <v>1586</v>
      </c>
      <c r="D659" s="1" t="s">
        <v>12</v>
      </c>
      <c r="E659" s="1" t="s">
        <v>1588</v>
      </c>
      <c r="F659" s="1">
        <v>2010</v>
      </c>
      <c r="J659" s="6">
        <v>12153.916999999999</v>
      </c>
      <c r="K659" s="6">
        <v>11588</v>
      </c>
      <c r="L659" s="21">
        <v>0.95343748027899156</v>
      </c>
      <c r="M659" s="1">
        <v>0</v>
      </c>
      <c r="N659" s="1" t="s">
        <v>1589</v>
      </c>
      <c r="O659" s="1" t="s">
        <v>18</v>
      </c>
      <c r="P659" s="1" t="s">
        <v>18</v>
      </c>
      <c r="Q659" s="22" t="s">
        <v>18</v>
      </c>
      <c r="R659" s="8">
        <v>430.71871397509136</v>
      </c>
      <c r="S659" s="9" t="s">
        <v>2655</v>
      </c>
      <c r="T659" s="8">
        <v>433.69281689187119</v>
      </c>
      <c r="U659" s="9" t="s">
        <v>2655</v>
      </c>
      <c r="V659" s="8">
        <v>423.62194838092114</v>
      </c>
      <c r="W659" s="8" t="s">
        <v>2655</v>
      </c>
      <c r="X659" s="8"/>
    </row>
    <row r="660" spans="1:24" x14ac:dyDescent="0.3">
      <c r="A660" s="1" t="s">
        <v>2557</v>
      </c>
      <c r="B660" s="1" t="s">
        <v>2558</v>
      </c>
      <c r="C660" s="1" t="s">
        <v>1586</v>
      </c>
      <c r="D660" s="1" t="s">
        <v>12</v>
      </c>
      <c r="E660" s="1" t="s">
        <v>1588</v>
      </c>
      <c r="F660" s="1">
        <v>2024</v>
      </c>
      <c r="G660" s="1" t="s">
        <v>47</v>
      </c>
      <c r="H660" s="1">
        <v>2022</v>
      </c>
      <c r="I660" s="1" t="s">
        <v>1599</v>
      </c>
      <c r="J660" s="6">
        <v>9904.5299999999988</v>
      </c>
      <c r="K660" s="6">
        <v>18357</v>
      </c>
      <c r="L660" s="21">
        <v>1.8533943559159296</v>
      </c>
      <c r="M660" s="1">
        <v>0</v>
      </c>
      <c r="N660" s="1" t="s">
        <v>1589</v>
      </c>
      <c r="O660" s="1" t="s">
        <v>18</v>
      </c>
      <c r="P660" s="1" t="s">
        <v>18</v>
      </c>
      <c r="Q660" s="22" t="s">
        <v>18</v>
      </c>
      <c r="R660" s="8" t="s">
        <v>18</v>
      </c>
      <c r="S660" s="9" t="s">
        <v>2654</v>
      </c>
      <c r="T660" s="8" t="s">
        <v>18</v>
      </c>
      <c r="U660" s="9" t="s">
        <v>2654</v>
      </c>
      <c r="V660" s="8">
        <v>416.20269311113202</v>
      </c>
      <c r="W660" s="8" t="s">
        <v>2655</v>
      </c>
      <c r="X660" s="8"/>
    </row>
    <row r="661" spans="1:24" x14ac:dyDescent="0.3">
      <c r="A661" s="1" t="s">
        <v>621</v>
      </c>
      <c r="B661" s="1" t="s">
        <v>1829</v>
      </c>
      <c r="C661" s="1" t="s">
        <v>1586</v>
      </c>
      <c r="D661" s="1" t="s">
        <v>12</v>
      </c>
      <c r="E661" s="1" t="s">
        <v>1588</v>
      </c>
      <c r="F661" s="1">
        <v>2010</v>
      </c>
      <c r="G661" s="1" t="s">
        <v>21</v>
      </c>
      <c r="H661" s="1">
        <v>2022</v>
      </c>
      <c r="I661" s="1" t="s">
        <v>1601</v>
      </c>
      <c r="J661" s="6">
        <v>5345</v>
      </c>
      <c r="K661" s="6">
        <v>0</v>
      </c>
      <c r="L661" s="21">
        <v>0</v>
      </c>
      <c r="M661" s="1">
        <v>0</v>
      </c>
      <c r="N661" s="1" t="s">
        <v>28</v>
      </c>
      <c r="O661" s="1" t="s">
        <v>18</v>
      </c>
      <c r="P661" s="1">
        <v>5</v>
      </c>
      <c r="Q661" s="22">
        <v>44835</v>
      </c>
      <c r="R661" s="8">
        <v>405.70082507015894</v>
      </c>
      <c r="S661" s="9" t="s">
        <v>2655</v>
      </c>
      <c r="T661" s="8">
        <v>397.02455940130966</v>
      </c>
      <c r="U661" s="9" t="s">
        <v>2655</v>
      </c>
      <c r="V661" s="8">
        <v>411.93669597754916</v>
      </c>
      <c r="W661" s="8" t="s">
        <v>2655</v>
      </c>
      <c r="X661" s="8"/>
    </row>
    <row r="662" spans="1:24" x14ac:dyDescent="0.3">
      <c r="A662" s="1" t="s">
        <v>863</v>
      </c>
      <c r="B662" s="1" t="s">
        <v>864</v>
      </c>
      <c r="C662" s="1" t="s">
        <v>1586</v>
      </c>
      <c r="D662" s="1" t="s">
        <v>12</v>
      </c>
      <c r="E662" s="1" t="s">
        <v>1588</v>
      </c>
      <c r="F662" s="1">
        <v>2008</v>
      </c>
      <c r="J662" s="6">
        <v>4102</v>
      </c>
      <c r="K662" s="6">
        <v>4012</v>
      </c>
      <c r="L662" s="21">
        <v>0.97805948317893709</v>
      </c>
      <c r="M662" s="1">
        <v>0</v>
      </c>
      <c r="N662" s="1" t="s">
        <v>1589</v>
      </c>
      <c r="O662" s="1">
        <v>1</v>
      </c>
      <c r="P662" s="1" t="s">
        <v>18</v>
      </c>
      <c r="Q662" s="22" t="s">
        <v>18</v>
      </c>
      <c r="R662" s="8">
        <v>324.97206728425164</v>
      </c>
      <c r="S662" s="9" t="s">
        <v>2655</v>
      </c>
      <c r="T662" s="8">
        <v>389.06113846903952</v>
      </c>
      <c r="U662" s="9" t="s">
        <v>2655</v>
      </c>
      <c r="V662" s="8">
        <v>383.91498049731837</v>
      </c>
      <c r="W662" s="8" t="s">
        <v>2655</v>
      </c>
      <c r="X662" s="8"/>
    </row>
    <row r="663" spans="1:24" x14ac:dyDescent="0.3">
      <c r="A663" s="1" t="s">
        <v>955</v>
      </c>
      <c r="B663" s="1" t="s">
        <v>956</v>
      </c>
      <c r="C663" s="1" t="s">
        <v>1586</v>
      </c>
      <c r="D663" s="1" t="s">
        <v>12</v>
      </c>
      <c r="E663" s="1" t="s">
        <v>1588</v>
      </c>
      <c r="F663" s="1">
        <v>1996</v>
      </c>
      <c r="G663" s="1" t="s">
        <v>25</v>
      </c>
      <c r="H663" s="1">
        <v>2013</v>
      </c>
      <c r="I663" s="1" t="s">
        <v>1597</v>
      </c>
      <c r="J663" s="6">
        <v>11820</v>
      </c>
      <c r="K663" s="6">
        <v>7656</v>
      </c>
      <c r="L663" s="21">
        <v>0.64771573604060917</v>
      </c>
      <c r="M663" s="1">
        <v>0</v>
      </c>
      <c r="N663" s="1" t="s">
        <v>28</v>
      </c>
      <c r="O663" s="1" t="s">
        <v>18</v>
      </c>
      <c r="P663" s="1" t="s">
        <v>18</v>
      </c>
      <c r="Q663" s="22" t="s">
        <v>18</v>
      </c>
      <c r="R663" s="8">
        <v>381.69998561759712</v>
      </c>
      <c r="S663" s="9" t="s">
        <v>2655</v>
      </c>
      <c r="T663" s="8">
        <v>387.4017614213198</v>
      </c>
      <c r="U663" s="9" t="s">
        <v>2655</v>
      </c>
      <c r="V663" s="8">
        <v>375.29742216582065</v>
      </c>
      <c r="W663" s="8" t="s">
        <v>2655</v>
      </c>
      <c r="X663" s="8"/>
    </row>
    <row r="664" spans="1:24" x14ac:dyDescent="0.3">
      <c r="A664" s="1" t="s">
        <v>1531</v>
      </c>
      <c r="B664" s="1" t="s">
        <v>2584</v>
      </c>
      <c r="C664" s="1" t="s">
        <v>1586</v>
      </c>
      <c r="D664" s="1" t="s">
        <v>12</v>
      </c>
      <c r="E664" s="1" t="s">
        <v>1588</v>
      </c>
      <c r="F664" s="1">
        <v>1972</v>
      </c>
      <c r="J664" s="6">
        <v>7403</v>
      </c>
      <c r="K664" s="6">
        <v>7200</v>
      </c>
      <c r="L664" s="21">
        <v>0.97257868431716876</v>
      </c>
      <c r="M664" s="1">
        <v>0</v>
      </c>
      <c r="N664" s="1" t="s">
        <v>1787</v>
      </c>
      <c r="Q664" s="22"/>
      <c r="R664" s="8">
        <v>380.2342604349588</v>
      </c>
      <c r="S664" s="9" t="s">
        <v>2655</v>
      </c>
      <c r="T664" s="8">
        <v>349.56582196406868</v>
      </c>
      <c r="U664" s="9" t="s">
        <v>2655</v>
      </c>
      <c r="V664" s="8">
        <v>374.36435228961227</v>
      </c>
      <c r="W664" s="8" t="s">
        <v>2655</v>
      </c>
      <c r="X664" s="8"/>
    </row>
    <row r="665" spans="1:24" x14ac:dyDescent="0.3">
      <c r="A665" s="1" t="s">
        <v>778</v>
      </c>
      <c r="B665" s="1" t="s">
        <v>779</v>
      </c>
      <c r="C665" s="1" t="s">
        <v>1586</v>
      </c>
      <c r="D665" s="1" t="s">
        <v>12</v>
      </c>
      <c r="E665" s="1" t="s">
        <v>1588</v>
      </c>
      <c r="F665" s="1">
        <v>2001</v>
      </c>
      <c r="J665" s="6">
        <v>9429</v>
      </c>
      <c r="K665" s="6">
        <v>5600</v>
      </c>
      <c r="L665" s="21">
        <v>0.59391239792130657</v>
      </c>
      <c r="M665" s="1">
        <v>0</v>
      </c>
      <c r="N665" s="1" t="s">
        <v>28</v>
      </c>
      <c r="O665" s="1" t="s">
        <v>18</v>
      </c>
      <c r="P665" s="1" t="s">
        <v>18</v>
      </c>
      <c r="Q665" s="22" t="s">
        <v>18</v>
      </c>
      <c r="R665" s="8">
        <v>362.94146781206911</v>
      </c>
      <c r="S665" s="9" t="s">
        <v>2655</v>
      </c>
      <c r="T665" s="8">
        <v>369.88184749178066</v>
      </c>
      <c r="U665" s="9" t="s">
        <v>2655</v>
      </c>
      <c r="V665" s="8">
        <v>373.36525506416376</v>
      </c>
      <c r="W665" s="8" t="s">
        <v>2655</v>
      </c>
      <c r="X665" s="8"/>
    </row>
    <row r="666" spans="1:24" x14ac:dyDescent="0.3">
      <c r="A666" s="1" t="s">
        <v>1366</v>
      </c>
      <c r="B666" s="1" t="s">
        <v>2055</v>
      </c>
      <c r="C666" s="1" t="s">
        <v>1586</v>
      </c>
      <c r="D666" s="1" t="s">
        <v>12</v>
      </c>
      <c r="E666" s="1" t="s">
        <v>1588</v>
      </c>
      <c r="F666" s="1">
        <v>2000</v>
      </c>
      <c r="J666" s="6">
        <v>10000</v>
      </c>
      <c r="K666" s="6">
        <v>6000</v>
      </c>
      <c r="L666" s="21">
        <v>0.6</v>
      </c>
      <c r="M666" s="1">
        <v>0</v>
      </c>
      <c r="N666" s="1" t="s">
        <v>28</v>
      </c>
      <c r="O666" s="1" t="s">
        <v>18</v>
      </c>
      <c r="P666" s="1" t="s">
        <v>18</v>
      </c>
      <c r="Q666" s="22" t="s">
        <v>18</v>
      </c>
      <c r="R666" s="8">
        <v>347.13597899999996</v>
      </c>
      <c r="S666" s="9" t="s">
        <v>2655</v>
      </c>
      <c r="T666" s="8">
        <v>349.91612099999998</v>
      </c>
      <c r="U666" s="9" t="s">
        <v>2655</v>
      </c>
      <c r="V666" s="8">
        <v>359.30265200000002</v>
      </c>
      <c r="W666" s="8" t="s">
        <v>2655</v>
      </c>
      <c r="X666" s="8"/>
    </row>
    <row r="667" spans="1:24" x14ac:dyDescent="0.3">
      <c r="A667" s="1" t="s">
        <v>2380</v>
      </c>
      <c r="B667" s="1" t="s">
        <v>2381</v>
      </c>
      <c r="C667" s="1" t="s">
        <v>1586</v>
      </c>
      <c r="D667" s="1" t="s">
        <v>12</v>
      </c>
      <c r="E667" s="1" t="s">
        <v>1588</v>
      </c>
      <c r="F667" s="1">
        <v>2011</v>
      </c>
      <c r="J667" s="6">
        <v>5096</v>
      </c>
      <c r="K667" s="6">
        <v>4777</v>
      </c>
      <c r="L667" s="21">
        <v>0.93740188383045531</v>
      </c>
      <c r="M667" s="1">
        <v>0</v>
      </c>
      <c r="N667" s="1" t="s">
        <v>1787</v>
      </c>
      <c r="P667" s="1" t="s">
        <v>18</v>
      </c>
      <c r="Q667" s="22" t="s">
        <v>18</v>
      </c>
      <c r="R667" s="8">
        <v>365.78430141287288</v>
      </c>
      <c r="S667" s="9" t="s">
        <v>2655</v>
      </c>
      <c r="T667" s="8">
        <v>362.90958202511774</v>
      </c>
      <c r="U667" s="9" t="s">
        <v>2655</v>
      </c>
      <c r="V667" s="8">
        <v>338.19780612244898</v>
      </c>
      <c r="W667" s="8" t="s">
        <v>2655</v>
      </c>
      <c r="X667" s="8"/>
    </row>
    <row r="668" spans="1:24" x14ac:dyDescent="0.3">
      <c r="A668" s="1" t="s">
        <v>1494</v>
      </c>
      <c r="B668" s="1" t="s">
        <v>2418</v>
      </c>
      <c r="C668" s="1" t="s">
        <v>1586</v>
      </c>
      <c r="D668" s="1" t="s">
        <v>12</v>
      </c>
      <c r="E668" s="1" t="s">
        <v>1588</v>
      </c>
      <c r="F668" s="1">
        <v>2016</v>
      </c>
      <c r="J668" s="6">
        <v>9921</v>
      </c>
      <c r="K668" s="6">
        <v>7374</v>
      </c>
      <c r="L668" s="21">
        <v>0.74327184759600851</v>
      </c>
      <c r="M668" s="1">
        <v>0</v>
      </c>
      <c r="N668" s="1" t="s">
        <v>1589</v>
      </c>
      <c r="O668" s="1">
        <v>7</v>
      </c>
      <c r="P668" s="1">
        <v>0</v>
      </c>
      <c r="Q668" s="22">
        <v>45132</v>
      </c>
      <c r="R668" s="8">
        <v>266.74522729563557</v>
      </c>
      <c r="S668" s="9" t="s">
        <v>2656</v>
      </c>
      <c r="T668" s="8">
        <v>311.30549138191719</v>
      </c>
      <c r="U668" s="9" t="s">
        <v>2656</v>
      </c>
      <c r="V668" s="8">
        <v>333.39637032557204</v>
      </c>
      <c r="W668" s="8" t="s">
        <v>2655</v>
      </c>
      <c r="X668" s="8"/>
    </row>
    <row r="669" spans="1:24" x14ac:dyDescent="0.3">
      <c r="A669" s="1" t="s">
        <v>210</v>
      </c>
      <c r="B669" s="1" t="s">
        <v>2379</v>
      </c>
      <c r="C669" s="1" t="s">
        <v>1586</v>
      </c>
      <c r="D669" s="1" t="s">
        <v>12</v>
      </c>
      <c r="E669" s="1" t="s">
        <v>1588</v>
      </c>
      <c r="F669" s="1">
        <v>2015</v>
      </c>
      <c r="G669" s="1" t="s">
        <v>19</v>
      </c>
      <c r="H669" s="1">
        <v>2015</v>
      </c>
      <c r="I669" s="1" t="s">
        <v>1598</v>
      </c>
      <c r="J669" s="6">
        <v>7564</v>
      </c>
      <c r="K669" s="6">
        <v>6564</v>
      </c>
      <c r="L669" s="21">
        <v>0.86779481755684817</v>
      </c>
      <c r="M669" s="1">
        <v>0</v>
      </c>
      <c r="N669" s="1" t="s">
        <v>1589</v>
      </c>
      <c r="O669" s="1">
        <v>7</v>
      </c>
      <c r="P669" s="1">
        <v>119</v>
      </c>
      <c r="Q669" s="22">
        <v>43725</v>
      </c>
      <c r="R669" s="8">
        <v>249.76407059756741</v>
      </c>
      <c r="S669" s="9" t="s">
        <v>2656</v>
      </c>
      <c r="T669" s="8">
        <v>267.75227128503434</v>
      </c>
      <c r="U669" s="9" t="s">
        <v>2656</v>
      </c>
      <c r="V669" s="8">
        <v>330.62065441565306</v>
      </c>
      <c r="W669" s="8" t="s">
        <v>2656</v>
      </c>
      <c r="X669" s="8"/>
    </row>
    <row r="670" spans="1:24" x14ac:dyDescent="0.3">
      <c r="A670" s="1" t="s">
        <v>468</v>
      </c>
      <c r="B670" s="1" t="s">
        <v>469</v>
      </c>
      <c r="C670" s="1" t="s">
        <v>1586</v>
      </c>
      <c r="D670" s="1" t="s">
        <v>12</v>
      </c>
      <c r="E670" s="1" t="s">
        <v>1588</v>
      </c>
      <c r="F670" s="1">
        <v>1993</v>
      </c>
      <c r="J670" s="6">
        <v>5992</v>
      </c>
      <c r="K670" s="6">
        <v>3534</v>
      </c>
      <c r="L670" s="21">
        <v>0.58978638184245658</v>
      </c>
      <c r="M670" s="1">
        <v>0</v>
      </c>
      <c r="N670" s="1" t="s">
        <v>1590</v>
      </c>
      <c r="O670" s="1" t="s">
        <v>18</v>
      </c>
      <c r="P670" s="1" t="s">
        <v>18</v>
      </c>
      <c r="Q670" s="22" t="s">
        <v>18</v>
      </c>
      <c r="R670" s="8">
        <v>293.9727419893191</v>
      </c>
      <c r="S670" s="9" t="s">
        <v>2656</v>
      </c>
      <c r="T670" s="8">
        <v>305.72114152202943</v>
      </c>
      <c r="U670" s="9" t="s">
        <v>2656</v>
      </c>
      <c r="V670" s="8">
        <v>316.22520527369824</v>
      </c>
      <c r="W670" s="8" t="s">
        <v>2656</v>
      </c>
      <c r="X670" s="8"/>
    </row>
    <row r="671" spans="1:24" x14ac:dyDescent="0.3">
      <c r="A671" s="1" t="s">
        <v>774</v>
      </c>
      <c r="B671" s="1" t="s">
        <v>2579</v>
      </c>
      <c r="C671" s="1" t="s">
        <v>1586</v>
      </c>
      <c r="D671" s="1" t="s">
        <v>12</v>
      </c>
      <c r="E671" s="1" t="s">
        <v>1588</v>
      </c>
      <c r="F671" s="1">
        <v>2013</v>
      </c>
      <c r="J671" s="6">
        <v>5103</v>
      </c>
      <c r="K671" s="6">
        <v>4500</v>
      </c>
      <c r="L671" s="21">
        <v>0.88183421516754845</v>
      </c>
      <c r="M671" s="1">
        <v>0</v>
      </c>
      <c r="N671" s="1" t="s">
        <v>1589</v>
      </c>
      <c r="O671" s="1">
        <v>6</v>
      </c>
      <c r="P671" s="1">
        <v>0.8</v>
      </c>
      <c r="Q671" s="22">
        <v>42194</v>
      </c>
      <c r="R671" s="8">
        <v>343.44797961983147</v>
      </c>
      <c r="S671" s="9" t="s">
        <v>2655</v>
      </c>
      <c r="T671" s="8">
        <v>392.85292181069957</v>
      </c>
      <c r="U671" s="9" t="s">
        <v>2655</v>
      </c>
      <c r="V671" s="8">
        <v>315.85197922790513</v>
      </c>
      <c r="W671" s="8" t="s">
        <v>2656</v>
      </c>
      <c r="X671" s="8"/>
    </row>
    <row r="672" spans="1:24" x14ac:dyDescent="0.3">
      <c r="A672" s="1" t="s">
        <v>1867</v>
      </c>
      <c r="B672" s="1" t="s">
        <v>980</v>
      </c>
      <c r="C672" s="1" t="s">
        <v>1586</v>
      </c>
      <c r="D672" s="1" t="s">
        <v>12</v>
      </c>
      <c r="E672" s="1" t="s">
        <v>1588</v>
      </c>
      <c r="F672" s="1">
        <v>2014</v>
      </c>
      <c r="G672" s="1" t="s">
        <v>25</v>
      </c>
      <c r="H672" s="1">
        <v>2022</v>
      </c>
      <c r="I672" s="1" t="s">
        <v>1603</v>
      </c>
      <c r="J672" s="6">
        <v>9733</v>
      </c>
      <c r="K672" s="6">
        <v>8363</v>
      </c>
      <c r="L672" s="21">
        <v>0.85924175485461829</v>
      </c>
      <c r="M672" s="1">
        <v>0</v>
      </c>
      <c r="N672" s="1" t="s">
        <v>1590</v>
      </c>
      <c r="O672" s="1" t="s">
        <v>18</v>
      </c>
      <c r="P672" s="1" t="s">
        <v>18</v>
      </c>
      <c r="Q672" s="22" t="s">
        <v>18</v>
      </c>
      <c r="R672" s="8">
        <v>263.60153601150722</v>
      </c>
      <c r="S672" s="9" t="s">
        <v>2656</v>
      </c>
      <c r="T672" s="8">
        <v>288.4306739956848</v>
      </c>
      <c r="U672" s="9" t="s">
        <v>2656</v>
      </c>
      <c r="V672" s="8">
        <v>315.11512380560976</v>
      </c>
      <c r="W672" s="8" t="s">
        <v>2656</v>
      </c>
      <c r="X672" s="8"/>
    </row>
    <row r="673" spans="1:24" x14ac:dyDescent="0.3">
      <c r="A673" s="1" t="s">
        <v>1940</v>
      </c>
      <c r="B673" s="1" t="s">
        <v>199</v>
      </c>
      <c r="C673" s="1" t="s">
        <v>1586</v>
      </c>
      <c r="D673" s="1" t="s">
        <v>12</v>
      </c>
      <c r="E673" s="1" t="s">
        <v>1588</v>
      </c>
      <c r="F673" s="1">
        <v>1974</v>
      </c>
      <c r="J673" s="6">
        <v>12977</v>
      </c>
      <c r="K673" s="6">
        <v>7925</v>
      </c>
      <c r="L673" s="21">
        <v>0.61069584649764974</v>
      </c>
      <c r="M673" s="1">
        <v>0</v>
      </c>
      <c r="N673" s="1" t="s">
        <v>1589</v>
      </c>
      <c r="O673" s="1">
        <v>24</v>
      </c>
      <c r="P673" s="1" t="s">
        <v>18</v>
      </c>
      <c r="Q673" s="22" t="s">
        <v>18</v>
      </c>
      <c r="R673" s="8">
        <v>298.90591893349762</v>
      </c>
      <c r="S673" s="9" t="s">
        <v>2655</v>
      </c>
      <c r="T673" s="8">
        <v>310.42825306311158</v>
      </c>
      <c r="U673" s="9" t="s">
        <v>2656</v>
      </c>
      <c r="V673" s="8">
        <v>310.13556677198119</v>
      </c>
      <c r="W673" s="8" t="s">
        <v>2656</v>
      </c>
      <c r="X673" s="8"/>
    </row>
    <row r="674" spans="1:24" x14ac:dyDescent="0.3">
      <c r="A674" s="1" t="s">
        <v>1254</v>
      </c>
      <c r="B674" s="1" t="s">
        <v>2585</v>
      </c>
      <c r="C674" s="1" t="s">
        <v>1586</v>
      </c>
      <c r="D674" s="1" t="s">
        <v>12</v>
      </c>
      <c r="E674" s="1" t="s">
        <v>1588</v>
      </c>
      <c r="F674" s="1">
        <v>1984</v>
      </c>
      <c r="J674" s="6">
        <v>6188</v>
      </c>
      <c r="K674" s="6">
        <v>4800</v>
      </c>
      <c r="L674" s="21">
        <v>0.77569489334195219</v>
      </c>
      <c r="M674" s="1">
        <v>0</v>
      </c>
      <c r="N674" s="1" t="s">
        <v>28</v>
      </c>
      <c r="Q674" s="22"/>
      <c r="R674" s="8">
        <v>248.72013897866842</v>
      </c>
      <c r="S674" s="9" t="s">
        <v>2656</v>
      </c>
      <c r="T674" s="8">
        <v>246.83280219780221</v>
      </c>
      <c r="U674" s="9" t="s">
        <v>2656</v>
      </c>
      <c r="V674" s="8">
        <v>297.45038461538462</v>
      </c>
      <c r="W674" s="8" t="s">
        <v>2656</v>
      </c>
      <c r="X674" s="8"/>
    </row>
    <row r="675" spans="1:24" x14ac:dyDescent="0.3">
      <c r="A675" s="1" t="s">
        <v>1416</v>
      </c>
      <c r="B675" s="1" t="s">
        <v>1417</v>
      </c>
      <c r="C675" s="1" t="s">
        <v>1586</v>
      </c>
      <c r="D675" s="1" t="s">
        <v>12</v>
      </c>
      <c r="E675" s="1" t="s">
        <v>1588</v>
      </c>
      <c r="F675" s="1">
        <v>1988</v>
      </c>
      <c r="J675" s="6">
        <v>6154</v>
      </c>
      <c r="K675" s="6">
        <v>4315</v>
      </c>
      <c r="L675" s="21">
        <v>0.70116997075073129</v>
      </c>
      <c r="M675" s="1">
        <v>0</v>
      </c>
      <c r="N675" s="1" t="s">
        <v>1590</v>
      </c>
      <c r="O675" s="1" t="s">
        <v>18</v>
      </c>
      <c r="P675" s="1" t="s">
        <v>18</v>
      </c>
      <c r="Q675" s="22" t="s">
        <v>18</v>
      </c>
      <c r="R675" s="8">
        <v>303.60411114722137</v>
      </c>
      <c r="S675" s="9" t="s">
        <v>2655</v>
      </c>
      <c r="T675" s="8">
        <v>316.38981962950919</v>
      </c>
      <c r="U675" s="9" t="s">
        <v>2656</v>
      </c>
      <c r="V675" s="8">
        <v>291.68561260968477</v>
      </c>
      <c r="W675" s="8" t="s">
        <v>2656</v>
      </c>
      <c r="X675" s="8"/>
    </row>
    <row r="676" spans="1:24" x14ac:dyDescent="0.3">
      <c r="A676" s="1" t="s">
        <v>1981</v>
      </c>
      <c r="B676" s="1" t="s">
        <v>1982</v>
      </c>
      <c r="C676" s="1" t="s">
        <v>1586</v>
      </c>
      <c r="D676" s="1" t="s">
        <v>12</v>
      </c>
      <c r="E676" s="1" t="s">
        <v>1588</v>
      </c>
      <c r="F676" s="1">
        <v>2012</v>
      </c>
      <c r="J676" s="6">
        <v>9821</v>
      </c>
      <c r="K676" s="6">
        <v>8500</v>
      </c>
      <c r="L676" s="21">
        <v>0.86549231239181346</v>
      </c>
      <c r="M676" s="1">
        <v>0</v>
      </c>
      <c r="N676" s="1" t="s">
        <v>1590</v>
      </c>
      <c r="O676" s="1" t="s">
        <v>18</v>
      </c>
      <c r="P676" s="1" t="s">
        <v>18</v>
      </c>
      <c r="Q676" s="22" t="s">
        <v>18</v>
      </c>
      <c r="R676" s="8">
        <v>889.98511149577428</v>
      </c>
      <c r="S676" s="9" t="s">
        <v>2654</v>
      </c>
      <c r="T676" s="8">
        <v>796.02719071377658</v>
      </c>
      <c r="U676" s="9" t="s">
        <v>2654</v>
      </c>
      <c r="V676" s="8">
        <v>285.24186946339478</v>
      </c>
      <c r="W676" s="8" t="s">
        <v>2656</v>
      </c>
      <c r="X676" s="8"/>
    </row>
    <row r="677" spans="1:24" x14ac:dyDescent="0.3">
      <c r="A677" s="1" t="s">
        <v>2356</v>
      </c>
      <c r="B677" s="1" t="s">
        <v>2357</v>
      </c>
      <c r="C677" s="1" t="s">
        <v>1586</v>
      </c>
      <c r="D677" s="1" t="s">
        <v>12</v>
      </c>
      <c r="E677" s="1" t="s">
        <v>1588</v>
      </c>
      <c r="F677" s="1">
        <v>2016</v>
      </c>
      <c r="J677" s="6">
        <v>6359</v>
      </c>
      <c r="K677" s="6">
        <v>87</v>
      </c>
      <c r="L677" s="21">
        <v>1.3681396445982073E-2</v>
      </c>
      <c r="M677" s="1">
        <v>0</v>
      </c>
      <c r="N677" s="1" t="s">
        <v>28</v>
      </c>
      <c r="O677" s="1" t="s">
        <v>18</v>
      </c>
      <c r="P677" s="1">
        <v>2</v>
      </c>
      <c r="Q677" s="22">
        <v>45013</v>
      </c>
      <c r="R677" s="8">
        <v>228.4735791791162</v>
      </c>
      <c r="S677" s="9" t="s">
        <v>2656</v>
      </c>
      <c r="T677" s="8">
        <v>259.35923572888811</v>
      </c>
      <c r="U677" s="9" t="s">
        <v>2656</v>
      </c>
      <c r="V677" s="8">
        <v>283.07884415788646</v>
      </c>
      <c r="W677" s="8" t="s">
        <v>2656</v>
      </c>
      <c r="X677" s="8"/>
    </row>
    <row r="678" spans="1:24" x14ac:dyDescent="0.3">
      <c r="A678" s="1" t="s">
        <v>1684</v>
      </c>
      <c r="B678" s="1" t="s">
        <v>1018</v>
      </c>
      <c r="C678" s="1" t="s">
        <v>1586</v>
      </c>
      <c r="D678" s="1" t="s">
        <v>12</v>
      </c>
      <c r="E678" s="1" t="s">
        <v>1588</v>
      </c>
      <c r="F678" s="1">
        <v>2018</v>
      </c>
      <c r="J678" s="6">
        <v>5300</v>
      </c>
      <c r="K678" s="6">
        <v>5000</v>
      </c>
      <c r="L678" s="21">
        <v>0.94339622641509435</v>
      </c>
      <c r="M678" s="1">
        <v>0</v>
      </c>
      <c r="N678" s="1" t="s">
        <v>28</v>
      </c>
      <c r="Q678" s="22"/>
      <c r="R678" s="8">
        <v>244.26050943396226</v>
      </c>
      <c r="S678" s="9" t="s">
        <v>2656</v>
      </c>
      <c r="T678" s="8">
        <v>293.11222641509437</v>
      </c>
      <c r="U678" s="9" t="s">
        <v>2656</v>
      </c>
      <c r="V678" s="8">
        <v>282.57639622641506</v>
      </c>
      <c r="W678" s="8" t="s">
        <v>2656</v>
      </c>
      <c r="X678" s="8"/>
    </row>
    <row r="679" spans="1:24" x14ac:dyDescent="0.3">
      <c r="A679" s="1" t="s">
        <v>78</v>
      </c>
      <c r="B679" s="1" t="s">
        <v>1973</v>
      </c>
      <c r="C679" s="1" t="s">
        <v>1586</v>
      </c>
      <c r="D679" s="1" t="s">
        <v>12</v>
      </c>
      <c r="E679" s="1" t="s">
        <v>1588</v>
      </c>
      <c r="F679" s="1">
        <v>2009</v>
      </c>
      <c r="G679" s="1" t="s">
        <v>47</v>
      </c>
      <c r="H679" s="1">
        <v>2007</v>
      </c>
      <c r="I679" s="1" t="s">
        <v>1606</v>
      </c>
      <c r="J679" s="6">
        <v>13000</v>
      </c>
      <c r="K679" s="6">
        <v>7508</v>
      </c>
      <c r="L679" s="21">
        <v>0.57753846153846156</v>
      </c>
      <c r="M679" s="1">
        <v>0</v>
      </c>
      <c r="N679" s="1" t="s">
        <v>1589</v>
      </c>
      <c r="O679" s="1">
        <v>14</v>
      </c>
      <c r="P679" s="1" t="s">
        <v>18</v>
      </c>
      <c r="Q679" s="22" t="s">
        <v>18</v>
      </c>
      <c r="R679" s="8">
        <v>242.54334615384616</v>
      </c>
      <c r="S679" s="9" t="s">
        <v>2656</v>
      </c>
      <c r="T679" s="8">
        <v>253.80134615384614</v>
      </c>
      <c r="U679" s="9" t="s">
        <v>2656</v>
      </c>
      <c r="V679" s="8">
        <v>281.18407692307693</v>
      </c>
      <c r="W679" s="8" t="s">
        <v>2656</v>
      </c>
      <c r="X679" s="8"/>
    </row>
    <row r="680" spans="1:24" x14ac:dyDescent="0.3">
      <c r="A680" s="1" t="s">
        <v>1324</v>
      </c>
      <c r="B680" s="1" t="s">
        <v>1964</v>
      </c>
      <c r="C680" s="1" t="s">
        <v>1586</v>
      </c>
      <c r="D680" s="1" t="s">
        <v>12</v>
      </c>
      <c r="E680" s="1" t="s">
        <v>1588</v>
      </c>
      <c r="F680" s="1">
        <v>1984</v>
      </c>
      <c r="J680" s="6">
        <v>5369</v>
      </c>
      <c r="K680" s="6">
        <v>5321</v>
      </c>
      <c r="L680" s="21">
        <v>0.99105978766995717</v>
      </c>
      <c r="M680" s="1">
        <v>0</v>
      </c>
      <c r="N680" s="1" t="s">
        <v>28</v>
      </c>
      <c r="O680" s="1" t="s">
        <v>18</v>
      </c>
      <c r="P680" s="1">
        <v>1.34</v>
      </c>
      <c r="Q680" s="22">
        <v>42636</v>
      </c>
      <c r="R680" s="8">
        <v>313.49361519836094</v>
      </c>
      <c r="S680" s="9" t="s">
        <v>2655</v>
      </c>
      <c r="T680" s="8">
        <v>316.08850623952321</v>
      </c>
      <c r="U680" s="9" t="s">
        <v>2656</v>
      </c>
      <c r="V680" s="8">
        <v>275.5082007822686</v>
      </c>
      <c r="W680" s="8" t="s">
        <v>2656</v>
      </c>
      <c r="X680" s="8"/>
    </row>
    <row r="681" spans="1:24" x14ac:dyDescent="0.3">
      <c r="A681" s="1" t="s">
        <v>1491</v>
      </c>
      <c r="B681" s="1" t="s">
        <v>2301</v>
      </c>
      <c r="C681" s="1" t="s">
        <v>1586</v>
      </c>
      <c r="D681" s="1" t="s">
        <v>12</v>
      </c>
      <c r="E681" s="1" t="s">
        <v>1588</v>
      </c>
      <c r="F681" s="1">
        <v>1990</v>
      </c>
      <c r="J681" s="6">
        <v>12349</v>
      </c>
      <c r="K681" s="6">
        <v>7732</v>
      </c>
      <c r="L681" s="21">
        <v>0.62612357275892783</v>
      </c>
      <c r="M681" s="1">
        <v>0</v>
      </c>
      <c r="N681" s="1" t="s">
        <v>1787</v>
      </c>
      <c r="O681" s="1" t="s">
        <v>18</v>
      </c>
      <c r="P681" s="1" t="s">
        <v>18</v>
      </c>
      <c r="Q681" s="22" t="s">
        <v>18</v>
      </c>
      <c r="R681" s="8">
        <v>188.44021135314603</v>
      </c>
      <c r="S681" s="9" t="s">
        <v>2657</v>
      </c>
      <c r="T681" s="8">
        <v>202.36249979755448</v>
      </c>
      <c r="U681" s="9" t="s">
        <v>2657</v>
      </c>
      <c r="V681" s="8">
        <v>242.7789116527654</v>
      </c>
      <c r="W681" s="8" t="s">
        <v>2657</v>
      </c>
      <c r="X681" s="8"/>
    </row>
    <row r="682" spans="1:24" x14ac:dyDescent="0.3">
      <c r="A682" s="1" t="s">
        <v>544</v>
      </c>
      <c r="B682" s="1" t="s">
        <v>545</v>
      </c>
      <c r="C682" s="1" t="s">
        <v>1586</v>
      </c>
      <c r="D682" s="1" t="s">
        <v>12</v>
      </c>
      <c r="E682" s="1" t="s">
        <v>1588</v>
      </c>
      <c r="F682" s="1">
        <v>1983</v>
      </c>
      <c r="J682" s="6">
        <v>14571</v>
      </c>
      <c r="K682" s="6">
        <v>8000</v>
      </c>
      <c r="L682" s="21">
        <v>0.54903575595360643</v>
      </c>
      <c r="M682" s="1">
        <v>0</v>
      </c>
      <c r="N682" s="1" t="s">
        <v>1589</v>
      </c>
      <c r="O682" s="1">
        <v>22</v>
      </c>
      <c r="P682" s="1">
        <v>0.65</v>
      </c>
      <c r="Q682" s="22">
        <v>41463</v>
      </c>
      <c r="R682" s="8">
        <v>228.95700775512998</v>
      </c>
      <c r="S682" s="9" t="s">
        <v>2656</v>
      </c>
      <c r="T682" s="8">
        <v>212.68065335254957</v>
      </c>
      <c r="U682" s="9" t="s">
        <v>2657</v>
      </c>
      <c r="V682" s="8">
        <v>238.18050923066366</v>
      </c>
      <c r="W682" s="8" t="s">
        <v>2657</v>
      </c>
      <c r="X682" s="8"/>
    </row>
    <row r="683" spans="1:24" x14ac:dyDescent="0.3">
      <c r="A683" s="1" t="s">
        <v>174</v>
      </c>
      <c r="B683" s="1" t="s">
        <v>175</v>
      </c>
      <c r="C683" s="1" t="s">
        <v>1586</v>
      </c>
      <c r="D683" s="1" t="s">
        <v>12</v>
      </c>
      <c r="E683" s="1" t="s">
        <v>1588</v>
      </c>
      <c r="F683" s="1">
        <v>1980</v>
      </c>
      <c r="J683" s="6">
        <v>5411</v>
      </c>
      <c r="K683" s="6">
        <v>3589</v>
      </c>
      <c r="L683" s="21">
        <v>0.66327850674551836</v>
      </c>
      <c r="M683" s="1">
        <v>0</v>
      </c>
      <c r="N683" s="1" t="s">
        <v>1589</v>
      </c>
      <c r="O683" s="1">
        <v>34</v>
      </c>
      <c r="P683" s="1" t="s">
        <v>18</v>
      </c>
      <c r="Q683" s="22" t="s">
        <v>18</v>
      </c>
      <c r="R683" s="8">
        <v>215.92111439659951</v>
      </c>
      <c r="S683" s="9" t="s">
        <v>2657</v>
      </c>
      <c r="T683" s="8">
        <v>226.81536314914064</v>
      </c>
      <c r="U683" s="9" t="s">
        <v>2657</v>
      </c>
      <c r="V683" s="8">
        <v>230.27824801330624</v>
      </c>
      <c r="W683" s="8" t="s">
        <v>2657</v>
      </c>
      <c r="X683" s="8"/>
    </row>
    <row r="684" spans="1:24" x14ac:dyDescent="0.3">
      <c r="A684" s="1" t="s">
        <v>1438</v>
      </c>
      <c r="B684" s="1" t="s">
        <v>2578</v>
      </c>
      <c r="C684" s="1" t="s">
        <v>1586</v>
      </c>
      <c r="D684" s="1" t="s">
        <v>12</v>
      </c>
      <c r="E684" s="1" t="s">
        <v>1588</v>
      </c>
      <c r="F684" s="1">
        <v>1984</v>
      </c>
      <c r="J684" s="6">
        <v>8199</v>
      </c>
      <c r="K684" s="6">
        <v>3304</v>
      </c>
      <c r="L684" s="21">
        <v>0.40297597267959506</v>
      </c>
      <c r="M684" s="1">
        <v>0</v>
      </c>
      <c r="N684" s="1" t="s">
        <v>1787</v>
      </c>
      <c r="Q684" s="22"/>
      <c r="R684" s="8">
        <v>220.36148066837418</v>
      </c>
      <c r="S684" s="9" t="s">
        <v>2656</v>
      </c>
      <c r="T684" s="8">
        <v>214.70191120868395</v>
      </c>
      <c r="U684" s="9" t="s">
        <v>2657</v>
      </c>
      <c r="V684" s="8">
        <v>214.14383705329919</v>
      </c>
      <c r="W684" s="8" t="s">
        <v>2657</v>
      </c>
      <c r="X684" s="8"/>
    </row>
    <row r="685" spans="1:24" x14ac:dyDescent="0.3">
      <c r="A685" s="1" t="s">
        <v>819</v>
      </c>
      <c r="B685" s="1" t="s">
        <v>2072</v>
      </c>
      <c r="C685" s="1" t="s">
        <v>1586</v>
      </c>
      <c r="D685" s="1" t="s">
        <v>12</v>
      </c>
      <c r="E685" s="1" t="s">
        <v>1588</v>
      </c>
      <c r="F685" s="1">
        <v>2015</v>
      </c>
      <c r="J685" s="6">
        <v>5003</v>
      </c>
      <c r="K685" s="6">
        <v>4800</v>
      </c>
      <c r="L685" s="21">
        <v>0.95942434539276433</v>
      </c>
      <c r="M685" s="1">
        <v>0</v>
      </c>
      <c r="N685" s="1" t="s">
        <v>1787</v>
      </c>
      <c r="O685" s="1" t="s">
        <v>18</v>
      </c>
      <c r="P685" s="1" t="s">
        <v>18</v>
      </c>
      <c r="Q685" s="22" t="s">
        <v>18</v>
      </c>
      <c r="R685" s="8">
        <v>165.16148311013393</v>
      </c>
      <c r="S685" s="9" t="s">
        <v>2657</v>
      </c>
      <c r="T685" s="8">
        <v>177.84702778333002</v>
      </c>
      <c r="U685" s="9" t="s">
        <v>2657</v>
      </c>
      <c r="V685" s="8">
        <v>203.4838896662003</v>
      </c>
      <c r="W685" s="8" t="s">
        <v>2657</v>
      </c>
      <c r="X685" s="8"/>
    </row>
    <row r="686" spans="1:24" x14ac:dyDescent="0.3">
      <c r="A686" s="1" t="s">
        <v>1497</v>
      </c>
      <c r="B686" s="1" t="s">
        <v>1498</v>
      </c>
      <c r="C686" s="1" t="s">
        <v>1586</v>
      </c>
      <c r="D686" s="1" t="s">
        <v>12</v>
      </c>
      <c r="E686" s="1" t="s">
        <v>1588</v>
      </c>
      <c r="F686" s="1">
        <v>2003</v>
      </c>
      <c r="J686" s="6">
        <v>12439</v>
      </c>
      <c r="K686" s="6">
        <v>11430</v>
      </c>
      <c r="L686" s="21">
        <v>0.9188841546748131</v>
      </c>
      <c r="M686" s="1">
        <v>0</v>
      </c>
      <c r="N686" s="1" t="s">
        <v>1589</v>
      </c>
      <c r="O686" s="1">
        <v>20</v>
      </c>
      <c r="P686" s="1" t="s">
        <v>18</v>
      </c>
      <c r="Q686" s="22" t="s">
        <v>18</v>
      </c>
      <c r="R686" s="8">
        <v>179.59110459040116</v>
      </c>
      <c r="S686" s="9" t="s">
        <v>2657</v>
      </c>
      <c r="T686" s="8">
        <v>203.77393681164079</v>
      </c>
      <c r="U686" s="9" t="s">
        <v>2657</v>
      </c>
      <c r="V686" s="8">
        <v>199.69065037382427</v>
      </c>
      <c r="W686" s="8" t="s">
        <v>2657</v>
      </c>
      <c r="X686" s="8"/>
    </row>
    <row r="687" spans="1:24" x14ac:dyDescent="0.3">
      <c r="A687" s="1" t="s">
        <v>2315</v>
      </c>
      <c r="B687" s="1" t="s">
        <v>770</v>
      </c>
      <c r="C687" s="1" t="s">
        <v>1586</v>
      </c>
      <c r="D687" s="1" t="s">
        <v>12</v>
      </c>
      <c r="E687" s="1" t="s">
        <v>1588</v>
      </c>
      <c r="F687" s="1">
        <v>2017</v>
      </c>
      <c r="J687" s="6">
        <v>5800</v>
      </c>
      <c r="K687" s="6">
        <v>4000</v>
      </c>
      <c r="L687" s="21">
        <v>0.68965517241379315</v>
      </c>
      <c r="M687" s="1">
        <v>0</v>
      </c>
      <c r="N687" s="1" t="s">
        <v>28</v>
      </c>
      <c r="O687" s="1" t="s">
        <v>18</v>
      </c>
      <c r="P687" s="1">
        <v>107</v>
      </c>
      <c r="Q687" s="22">
        <v>43251</v>
      </c>
      <c r="R687" s="8">
        <v>121.72271206896552</v>
      </c>
      <c r="S687" s="9" t="s">
        <v>2657</v>
      </c>
      <c r="T687" s="8">
        <v>160.99870862068968</v>
      </c>
      <c r="U687" s="9" t="s">
        <v>2657</v>
      </c>
      <c r="V687" s="8">
        <v>190.88208103448278</v>
      </c>
      <c r="W687" s="8" t="s">
        <v>2657</v>
      </c>
      <c r="X687" s="8"/>
    </row>
    <row r="688" spans="1:24" x14ac:dyDescent="0.3">
      <c r="A688" s="1" t="s">
        <v>999</v>
      </c>
      <c r="B688" s="1" t="s">
        <v>1000</v>
      </c>
      <c r="C688" s="1" t="s">
        <v>1586</v>
      </c>
      <c r="D688" s="1" t="s">
        <v>12</v>
      </c>
      <c r="E688" s="1" t="s">
        <v>1588</v>
      </c>
      <c r="F688" s="1">
        <v>1992</v>
      </c>
      <c r="G688" s="1" t="s">
        <v>25</v>
      </c>
      <c r="H688" s="1">
        <v>2019</v>
      </c>
      <c r="I688" s="1" t="s">
        <v>1601</v>
      </c>
      <c r="J688" s="6">
        <v>5907</v>
      </c>
      <c r="K688" s="6">
        <v>4726</v>
      </c>
      <c r="L688" s="21">
        <v>0.80006771626883355</v>
      </c>
      <c r="M688" s="1">
        <v>0</v>
      </c>
      <c r="N688" s="1" t="s">
        <v>1589</v>
      </c>
      <c r="O688" s="1">
        <v>5</v>
      </c>
      <c r="P688" s="1">
        <v>0.67500000000000004</v>
      </c>
      <c r="Q688" s="22">
        <v>44369</v>
      </c>
      <c r="R688" s="8">
        <v>215.03436600643303</v>
      </c>
      <c r="S688" s="9" t="s">
        <v>2657</v>
      </c>
      <c r="T688" s="8">
        <v>179.46097850008465</v>
      </c>
      <c r="U688" s="9" t="s">
        <v>2657</v>
      </c>
      <c r="V688" s="8">
        <v>189.25050787201624</v>
      </c>
      <c r="W688" s="8" t="s">
        <v>2657</v>
      </c>
      <c r="X688" s="8"/>
    </row>
    <row r="689" spans="1:24" x14ac:dyDescent="0.3">
      <c r="A689" s="1" t="s">
        <v>2106</v>
      </c>
      <c r="B689" s="1" t="s">
        <v>793</v>
      </c>
      <c r="C689" s="1" t="s">
        <v>1586</v>
      </c>
      <c r="D689" s="1" t="s">
        <v>12</v>
      </c>
      <c r="E689" s="1" t="s">
        <v>1588</v>
      </c>
      <c r="F689" s="1">
        <v>2010</v>
      </c>
      <c r="G689" s="1" t="s">
        <v>25</v>
      </c>
      <c r="H689" s="1">
        <v>2021</v>
      </c>
      <c r="I689" s="1" t="s">
        <v>1601</v>
      </c>
      <c r="J689" s="6">
        <v>13102</v>
      </c>
      <c r="K689" s="6">
        <v>8608</v>
      </c>
      <c r="L689" s="21">
        <v>0.65699893146084565</v>
      </c>
      <c r="M689" s="1">
        <v>0</v>
      </c>
      <c r="N689" s="1" t="s">
        <v>28</v>
      </c>
      <c r="O689" s="1" t="s">
        <v>18</v>
      </c>
      <c r="P689" s="1" t="s">
        <v>18</v>
      </c>
      <c r="Q689" s="22" t="s">
        <v>18</v>
      </c>
      <c r="R689" s="8">
        <v>232.35354831323463</v>
      </c>
      <c r="S689" s="9" t="s">
        <v>2656</v>
      </c>
      <c r="T689" s="8">
        <v>215.37942985803696</v>
      </c>
      <c r="U689" s="9" t="s">
        <v>2657</v>
      </c>
      <c r="V689" s="8">
        <v>175.97515493817738</v>
      </c>
      <c r="W689" s="8" t="s">
        <v>2657</v>
      </c>
      <c r="X689" s="8"/>
    </row>
    <row r="690" spans="1:24" x14ac:dyDescent="0.3">
      <c r="A690" s="1" t="s">
        <v>493</v>
      </c>
      <c r="B690" s="1" t="s">
        <v>1834</v>
      </c>
      <c r="C690" s="1" t="s">
        <v>1586</v>
      </c>
      <c r="D690" s="1" t="s">
        <v>12</v>
      </c>
      <c r="E690" s="1" t="s">
        <v>1588</v>
      </c>
      <c r="F690" s="1">
        <v>1982</v>
      </c>
      <c r="G690" s="1" t="s">
        <v>25</v>
      </c>
      <c r="H690" s="1">
        <v>2017</v>
      </c>
      <c r="I690" s="1" t="s">
        <v>1601</v>
      </c>
      <c r="J690" s="6">
        <v>12969</v>
      </c>
      <c r="K690" s="6">
        <v>12000</v>
      </c>
      <c r="L690" s="21">
        <v>0.92528336803145961</v>
      </c>
      <c r="M690" s="1">
        <v>0</v>
      </c>
      <c r="N690" s="1" t="s">
        <v>1589</v>
      </c>
      <c r="O690" s="1">
        <v>2</v>
      </c>
      <c r="P690" s="1">
        <v>0.625</v>
      </c>
      <c r="Q690" s="22">
        <v>43341</v>
      </c>
      <c r="R690" s="8">
        <v>130.02997763898526</v>
      </c>
      <c r="S690" s="9" t="s">
        <v>2657</v>
      </c>
      <c r="T690" s="8">
        <v>147.78077029840387</v>
      </c>
      <c r="U690" s="9" t="s">
        <v>2657</v>
      </c>
      <c r="V690" s="8">
        <v>153.81520703215358</v>
      </c>
      <c r="W690" s="8" t="s">
        <v>2657</v>
      </c>
      <c r="X690" s="8"/>
    </row>
    <row r="691" spans="1:24" x14ac:dyDescent="0.3">
      <c r="A691" s="1" t="s">
        <v>570</v>
      </c>
      <c r="B691" s="1" t="s">
        <v>1786</v>
      </c>
      <c r="C691" s="1" t="s">
        <v>1586</v>
      </c>
      <c r="D691" s="1" t="s">
        <v>12</v>
      </c>
      <c r="E691" s="1" t="s">
        <v>1588</v>
      </c>
      <c r="F691" s="1">
        <v>1984</v>
      </c>
      <c r="J691" s="6">
        <v>11608</v>
      </c>
      <c r="K691" s="6">
        <v>11608</v>
      </c>
      <c r="L691" s="21">
        <v>1</v>
      </c>
      <c r="M691" s="1">
        <v>0</v>
      </c>
      <c r="N691" s="1" t="s">
        <v>1787</v>
      </c>
      <c r="O691" s="1" t="s">
        <v>18</v>
      </c>
      <c r="P691" s="1" t="s">
        <v>18</v>
      </c>
      <c r="Q691" s="22" t="s">
        <v>18</v>
      </c>
      <c r="R691" s="8">
        <v>151.6948716402481</v>
      </c>
      <c r="S691" s="9" t="s">
        <v>2657</v>
      </c>
      <c r="T691" s="8">
        <v>152.32794796691934</v>
      </c>
      <c r="U691" s="9" t="s">
        <v>2657</v>
      </c>
      <c r="V691" s="8">
        <v>149.20697880771883</v>
      </c>
      <c r="W691" s="8" t="s">
        <v>2657</v>
      </c>
      <c r="X691" s="8"/>
    </row>
    <row r="692" spans="1:24" x14ac:dyDescent="0.3">
      <c r="A692" s="1" t="s">
        <v>680</v>
      </c>
      <c r="B692" s="1" t="s">
        <v>681</v>
      </c>
      <c r="C692" s="1" t="s">
        <v>1586</v>
      </c>
      <c r="D692" s="1" t="s">
        <v>12</v>
      </c>
      <c r="E692" s="1" t="s">
        <v>1588</v>
      </c>
      <c r="F692" s="1">
        <v>1996</v>
      </c>
      <c r="G692" s="1" t="s">
        <v>19</v>
      </c>
      <c r="H692" s="1">
        <v>2022</v>
      </c>
      <c r="I692" s="1" t="s">
        <v>1599</v>
      </c>
      <c r="J692" s="6">
        <v>11329</v>
      </c>
      <c r="K692" s="6">
        <v>10551</v>
      </c>
      <c r="L692" s="21">
        <v>0.93132668373201521</v>
      </c>
      <c r="M692" s="1">
        <v>0</v>
      </c>
      <c r="N692" s="1" t="s">
        <v>1589</v>
      </c>
      <c r="O692" s="1">
        <v>1</v>
      </c>
      <c r="P692" s="1">
        <v>0.6</v>
      </c>
      <c r="Q692" s="22">
        <v>44935</v>
      </c>
      <c r="R692" s="8">
        <v>162.34619119074941</v>
      </c>
      <c r="S692" s="9" t="s">
        <v>2657</v>
      </c>
      <c r="T692" s="8">
        <v>219.4735660693795</v>
      </c>
      <c r="U692" s="9" t="s">
        <v>2657</v>
      </c>
      <c r="V692" s="8">
        <v>147.28881366404801</v>
      </c>
      <c r="W692" s="8" t="s">
        <v>2657</v>
      </c>
      <c r="X692" s="8"/>
    </row>
    <row r="693" spans="1:24" x14ac:dyDescent="0.3">
      <c r="A693" s="1" t="s">
        <v>1375</v>
      </c>
      <c r="B693" s="1" t="s">
        <v>1376</v>
      </c>
      <c r="C693" s="1" t="s">
        <v>1586</v>
      </c>
      <c r="D693" s="1" t="s">
        <v>12</v>
      </c>
      <c r="E693" s="1" t="s">
        <v>1588</v>
      </c>
      <c r="F693" s="1">
        <v>1982</v>
      </c>
      <c r="G693" s="1" t="s">
        <v>25</v>
      </c>
      <c r="H693" s="1">
        <v>2016</v>
      </c>
      <c r="I693" s="1" t="s">
        <v>1601</v>
      </c>
      <c r="J693" s="6">
        <v>11356</v>
      </c>
      <c r="K693" s="6">
        <v>11070</v>
      </c>
      <c r="L693" s="21">
        <v>0.97481507573089121</v>
      </c>
      <c r="M693" s="1">
        <v>0</v>
      </c>
      <c r="N693" s="1" t="s">
        <v>1589</v>
      </c>
      <c r="O693" s="1" t="s">
        <v>18</v>
      </c>
      <c r="P693" s="1" t="s">
        <v>18</v>
      </c>
      <c r="Q693" s="22" t="s">
        <v>18</v>
      </c>
      <c r="R693" s="8">
        <v>144.91653663261712</v>
      </c>
      <c r="S693" s="9" t="s">
        <v>2657</v>
      </c>
      <c r="T693" s="8">
        <v>155.3721239873195</v>
      </c>
      <c r="U693" s="9" t="s">
        <v>2657</v>
      </c>
      <c r="V693" s="8">
        <v>140.03907802042974</v>
      </c>
      <c r="W693" s="8" t="s">
        <v>2657</v>
      </c>
      <c r="X693" s="8"/>
    </row>
    <row r="694" spans="1:24" x14ac:dyDescent="0.3">
      <c r="A694" s="1" t="s">
        <v>676</v>
      </c>
      <c r="B694" s="1" t="s">
        <v>1807</v>
      </c>
      <c r="C694" s="1" t="s">
        <v>1586</v>
      </c>
      <c r="D694" s="1" t="s">
        <v>12</v>
      </c>
      <c r="E694" s="1" t="s">
        <v>1588</v>
      </c>
      <c r="F694" s="1">
        <v>1983</v>
      </c>
      <c r="J694" s="6">
        <v>5338</v>
      </c>
      <c r="K694" s="6">
        <v>5000</v>
      </c>
      <c r="L694" s="21">
        <v>0.93668040464593483</v>
      </c>
      <c r="M694" s="1">
        <v>0</v>
      </c>
      <c r="N694" s="1" t="s">
        <v>1590</v>
      </c>
      <c r="O694" s="1" t="s">
        <v>18</v>
      </c>
      <c r="P694" s="1" t="s">
        <v>18</v>
      </c>
      <c r="Q694" s="22" t="s">
        <v>18</v>
      </c>
      <c r="R694" s="8">
        <v>167.0418902210566</v>
      </c>
      <c r="S694" s="9" t="s">
        <v>2657</v>
      </c>
      <c r="T694" s="8">
        <v>137.57496253278379</v>
      </c>
      <c r="U694" s="9" t="s">
        <v>2657</v>
      </c>
      <c r="V694" s="8">
        <v>137.92984263769202</v>
      </c>
      <c r="W694" s="8" t="s">
        <v>2657</v>
      </c>
      <c r="X694" s="8"/>
    </row>
    <row r="695" spans="1:24" x14ac:dyDescent="0.3">
      <c r="A695" s="1" t="s">
        <v>718</v>
      </c>
      <c r="B695" s="1" t="s">
        <v>719</v>
      </c>
      <c r="C695" s="1" t="s">
        <v>1586</v>
      </c>
      <c r="D695" s="1" t="s">
        <v>12</v>
      </c>
      <c r="E695" s="1" t="s">
        <v>1588</v>
      </c>
      <c r="F695" s="1">
        <v>2011</v>
      </c>
      <c r="G695" s="1" t="s">
        <v>25</v>
      </c>
      <c r="H695" s="1">
        <v>2009</v>
      </c>
      <c r="I695" s="1" t="s">
        <v>1608</v>
      </c>
      <c r="J695" s="6">
        <v>8599</v>
      </c>
      <c r="K695" s="6">
        <v>6523</v>
      </c>
      <c r="L695" s="21">
        <v>0.75857657867193862</v>
      </c>
      <c r="M695" s="1">
        <v>0</v>
      </c>
      <c r="N695" s="1" t="s">
        <v>1821</v>
      </c>
      <c r="O695" s="1" t="s">
        <v>18</v>
      </c>
      <c r="P695" s="1" t="s">
        <v>18</v>
      </c>
      <c r="Q695" s="22" t="s">
        <v>18</v>
      </c>
      <c r="R695" s="8">
        <v>103.94673799278986</v>
      </c>
      <c r="S695" s="9"/>
      <c r="T695" s="8">
        <v>116.3053843470171</v>
      </c>
      <c r="U695" s="9"/>
      <c r="V695" s="8">
        <v>125.26700779160367</v>
      </c>
      <c r="W695" s="8"/>
      <c r="X695" s="8"/>
    </row>
    <row r="696" spans="1:24" x14ac:dyDescent="0.3">
      <c r="A696" s="1" t="s">
        <v>1011</v>
      </c>
      <c r="B696" s="1" t="s">
        <v>1012</v>
      </c>
      <c r="C696" s="1" t="s">
        <v>1586</v>
      </c>
      <c r="D696" s="1" t="s">
        <v>12</v>
      </c>
      <c r="E696" s="1" t="s">
        <v>1588</v>
      </c>
      <c r="F696" s="1">
        <v>1984</v>
      </c>
      <c r="J696" s="6">
        <v>4305.3999999999996</v>
      </c>
      <c r="K696" s="6">
        <v>2310</v>
      </c>
      <c r="L696" s="21">
        <v>0.53653551354113449</v>
      </c>
      <c r="M696" s="1">
        <v>0</v>
      </c>
      <c r="N696" s="1" t="s">
        <v>28</v>
      </c>
      <c r="O696" s="1" t="s">
        <v>18</v>
      </c>
      <c r="P696" s="1" t="s">
        <v>18</v>
      </c>
      <c r="Q696" s="22" t="s">
        <v>18</v>
      </c>
      <c r="R696" s="8">
        <v>102.03392716123939</v>
      </c>
      <c r="S696" s="9" t="s">
        <v>2657</v>
      </c>
      <c r="T696" s="8">
        <v>100.88074743345567</v>
      </c>
      <c r="U696" s="9" t="s">
        <v>2657</v>
      </c>
      <c r="V696" s="8">
        <v>89.957952803456124</v>
      </c>
      <c r="W696" s="8" t="s">
        <v>2657</v>
      </c>
      <c r="X696" s="8"/>
    </row>
    <row r="697" spans="1:24" x14ac:dyDescent="0.3">
      <c r="A697" s="1" t="s">
        <v>335</v>
      </c>
      <c r="B697" s="1" t="s">
        <v>2264</v>
      </c>
      <c r="C697" s="1" t="s">
        <v>1586</v>
      </c>
      <c r="D697" s="1" t="s">
        <v>12</v>
      </c>
      <c r="E697" s="1" t="s">
        <v>1588</v>
      </c>
      <c r="F697" s="1">
        <v>1996</v>
      </c>
      <c r="G697" s="1" t="s">
        <v>47</v>
      </c>
      <c r="H697" s="1">
        <v>2019</v>
      </c>
      <c r="I697" s="1" t="s">
        <v>1599</v>
      </c>
      <c r="J697" s="6">
        <v>6431</v>
      </c>
      <c r="K697" s="6">
        <v>6100</v>
      </c>
      <c r="L697" s="21">
        <v>0.94853055512361995</v>
      </c>
      <c r="M697" s="1">
        <v>0</v>
      </c>
      <c r="N697" s="1" t="s">
        <v>1589</v>
      </c>
      <c r="O697" s="1">
        <v>7</v>
      </c>
      <c r="P697" s="1">
        <v>0.65</v>
      </c>
      <c r="Q697" s="22">
        <v>44902</v>
      </c>
      <c r="R697" s="8">
        <v>48.755075415953975</v>
      </c>
      <c r="S697" s="9" t="s">
        <v>2657</v>
      </c>
      <c r="T697" s="8">
        <v>46.859549059244287</v>
      </c>
      <c r="U697" s="9" t="s">
        <v>2657</v>
      </c>
      <c r="V697" s="8">
        <v>40.851811537863476</v>
      </c>
      <c r="W697" s="8" t="s">
        <v>2657</v>
      </c>
      <c r="X697" s="8"/>
    </row>
    <row r="698" spans="1:24" x14ac:dyDescent="0.3">
      <c r="A698" s="1" t="s">
        <v>657</v>
      </c>
      <c r="B698" s="1" t="s">
        <v>658</v>
      </c>
      <c r="C698" s="1" t="s">
        <v>1586</v>
      </c>
      <c r="D698" s="1" t="s">
        <v>12</v>
      </c>
      <c r="F698" s="1">
        <v>2013</v>
      </c>
      <c r="J698" s="6">
        <v>14794</v>
      </c>
      <c r="K698" s="6">
        <v>10826</v>
      </c>
      <c r="L698" s="21">
        <v>0.73178315533324323</v>
      </c>
      <c r="M698" s="1">
        <v>13</v>
      </c>
      <c r="N698" s="1" t="s">
        <v>1590</v>
      </c>
      <c r="O698" s="1" t="s">
        <v>18</v>
      </c>
      <c r="P698" s="1" t="s">
        <v>18</v>
      </c>
      <c r="Q698" s="22" t="s">
        <v>18</v>
      </c>
      <c r="R698" s="8"/>
      <c r="S698" s="9"/>
      <c r="T698" s="8"/>
      <c r="U698" s="9"/>
      <c r="V698" s="8"/>
      <c r="W698" s="8"/>
      <c r="X698" s="8"/>
    </row>
    <row r="699" spans="1:24" x14ac:dyDescent="0.3">
      <c r="A699" s="1" t="s">
        <v>1919</v>
      </c>
      <c r="B699" s="1" t="s">
        <v>1920</v>
      </c>
      <c r="C699" s="1" t="s">
        <v>1586</v>
      </c>
      <c r="D699" s="1" t="s">
        <v>12</v>
      </c>
      <c r="F699" s="1">
        <v>2003</v>
      </c>
      <c r="J699" s="6">
        <v>1763</v>
      </c>
      <c r="K699" s="6">
        <v>1263</v>
      </c>
      <c r="L699" s="21">
        <v>0.71639251276233695</v>
      </c>
      <c r="M699" s="1">
        <v>0</v>
      </c>
      <c r="N699" s="1" t="s">
        <v>1590</v>
      </c>
      <c r="O699" s="1" t="s">
        <v>18</v>
      </c>
      <c r="P699" s="1" t="s">
        <v>18</v>
      </c>
      <c r="Q699" s="22" t="s">
        <v>18</v>
      </c>
      <c r="R699" s="8"/>
      <c r="S699" s="9"/>
      <c r="T699" s="8"/>
      <c r="U699" s="9"/>
      <c r="V699" s="8"/>
      <c r="W699" s="8"/>
      <c r="X699" s="8"/>
    </row>
    <row r="700" spans="1:24" x14ac:dyDescent="0.3">
      <c r="A700" s="1" t="s">
        <v>1104</v>
      </c>
      <c r="B700" s="1" t="s">
        <v>1105</v>
      </c>
      <c r="C700" s="1" t="s">
        <v>1586</v>
      </c>
      <c r="D700" s="1" t="s">
        <v>12</v>
      </c>
      <c r="F700" s="1">
        <v>2011</v>
      </c>
      <c r="G700" s="1" t="s">
        <v>25</v>
      </c>
      <c r="H700" s="1">
        <v>2019</v>
      </c>
      <c r="I700" s="1" t="s">
        <v>1601</v>
      </c>
      <c r="J700" s="6">
        <v>277</v>
      </c>
      <c r="K700" s="6">
        <v>276</v>
      </c>
      <c r="L700" s="21">
        <v>0.99638989169675085</v>
      </c>
      <c r="M700" s="1">
        <v>0</v>
      </c>
      <c r="N700" s="1" t="s">
        <v>1589</v>
      </c>
      <c r="O700" s="1">
        <v>11</v>
      </c>
      <c r="P700" s="1" t="s">
        <v>18</v>
      </c>
      <c r="Q700" s="22" t="s">
        <v>18</v>
      </c>
      <c r="R700" s="8"/>
      <c r="S700" s="9"/>
      <c r="T700" s="8"/>
      <c r="U700" s="9"/>
      <c r="V700" s="8"/>
      <c r="W700" s="8"/>
      <c r="X700" s="8"/>
    </row>
    <row r="701" spans="1:24" x14ac:dyDescent="0.3">
      <c r="A701" s="1" t="s">
        <v>1102</v>
      </c>
      <c r="B701" s="1" t="s">
        <v>1103</v>
      </c>
      <c r="C701" s="1" t="s">
        <v>1586</v>
      </c>
      <c r="D701" s="1" t="s">
        <v>12</v>
      </c>
      <c r="F701" s="1">
        <v>2011</v>
      </c>
      <c r="G701" s="1" t="s">
        <v>25</v>
      </c>
      <c r="H701" s="1">
        <v>2019</v>
      </c>
      <c r="I701" s="1" t="s">
        <v>1601</v>
      </c>
      <c r="J701" s="6">
        <v>1549</v>
      </c>
      <c r="K701" s="6">
        <v>1089</v>
      </c>
      <c r="L701" s="21">
        <v>0.70303421562298252</v>
      </c>
      <c r="M701" s="1">
        <v>0</v>
      </c>
      <c r="N701" s="1" t="s">
        <v>1589</v>
      </c>
      <c r="O701" s="1">
        <v>11</v>
      </c>
      <c r="P701" s="1" t="s">
        <v>18</v>
      </c>
      <c r="Q701" s="22" t="s">
        <v>18</v>
      </c>
      <c r="R701" s="8"/>
      <c r="S701" s="9"/>
      <c r="T701" s="8"/>
      <c r="U701" s="9"/>
      <c r="V701" s="8"/>
      <c r="W701" s="8"/>
      <c r="X701" s="8"/>
    </row>
    <row r="702" spans="1:24" x14ac:dyDescent="0.3">
      <c r="A702" s="1" t="s">
        <v>207</v>
      </c>
      <c r="B702" s="1" t="s">
        <v>208</v>
      </c>
      <c r="C702" s="1" t="s">
        <v>1586</v>
      </c>
      <c r="D702" s="1" t="s">
        <v>12</v>
      </c>
      <c r="F702" s="1">
        <v>2009</v>
      </c>
      <c r="G702" s="1" t="s">
        <v>19</v>
      </c>
      <c r="H702" s="1">
        <v>2020</v>
      </c>
      <c r="I702" s="1" t="s">
        <v>1601</v>
      </c>
      <c r="J702" s="6">
        <v>7700</v>
      </c>
      <c r="K702" s="6">
        <v>7700</v>
      </c>
      <c r="L702" s="21">
        <v>1</v>
      </c>
      <c r="M702" s="1">
        <v>0</v>
      </c>
      <c r="N702" s="1" t="s">
        <v>1821</v>
      </c>
      <c r="O702" s="1" t="s">
        <v>18</v>
      </c>
      <c r="P702" s="1" t="s">
        <v>18</v>
      </c>
      <c r="Q702" s="22" t="s">
        <v>18</v>
      </c>
      <c r="R702" s="8"/>
      <c r="S702" s="9"/>
      <c r="T702" s="8"/>
      <c r="U702" s="9"/>
      <c r="V702" s="8"/>
      <c r="W702" s="8"/>
      <c r="X702" s="8"/>
    </row>
    <row r="703" spans="1:24" x14ac:dyDescent="0.3">
      <c r="A703" s="1" t="s">
        <v>798</v>
      </c>
      <c r="B703" s="1" t="s">
        <v>797</v>
      </c>
      <c r="C703" s="1" t="s">
        <v>1586</v>
      </c>
      <c r="D703" s="1" t="s">
        <v>12</v>
      </c>
      <c r="F703" s="1">
        <v>2002</v>
      </c>
      <c r="G703" s="1" t="s">
        <v>19</v>
      </c>
      <c r="H703" s="1">
        <v>2022</v>
      </c>
      <c r="I703" s="1" t="s">
        <v>1599</v>
      </c>
      <c r="J703" s="6">
        <v>11135.43</v>
      </c>
      <c r="K703" s="6">
        <v>9985</v>
      </c>
      <c r="L703" s="21">
        <v>0.89668742024331338</v>
      </c>
      <c r="M703" s="1">
        <v>0</v>
      </c>
      <c r="N703" s="1" t="s">
        <v>1589</v>
      </c>
      <c r="O703" s="1">
        <v>6</v>
      </c>
      <c r="P703" s="1" t="s">
        <v>18</v>
      </c>
      <c r="Q703" s="22" t="s">
        <v>18</v>
      </c>
      <c r="R703" s="8"/>
      <c r="S703" s="9"/>
      <c r="T703" s="8"/>
      <c r="U703" s="9"/>
      <c r="V703" s="8"/>
      <c r="W703" s="8"/>
      <c r="X703" s="8"/>
    </row>
    <row r="704" spans="1:24" x14ac:dyDescent="0.3">
      <c r="A704" s="1" t="s">
        <v>971</v>
      </c>
      <c r="B704" s="1" t="s">
        <v>2082</v>
      </c>
      <c r="C704" s="1" t="s">
        <v>1586</v>
      </c>
      <c r="D704" s="1" t="s">
        <v>12</v>
      </c>
      <c r="F704" s="1">
        <v>2011</v>
      </c>
      <c r="G704" s="1" t="s">
        <v>25</v>
      </c>
      <c r="H704" s="1">
        <v>2020</v>
      </c>
      <c r="I704" s="1" t="s">
        <v>1597</v>
      </c>
      <c r="J704" s="6">
        <v>18250</v>
      </c>
      <c r="K704" s="6">
        <v>15000</v>
      </c>
      <c r="L704" s="21">
        <v>0.82191780821917804</v>
      </c>
      <c r="M704" s="1">
        <v>0</v>
      </c>
      <c r="N704" s="1" t="s">
        <v>1589</v>
      </c>
      <c r="O704" s="1">
        <v>13</v>
      </c>
      <c r="P704" s="1" t="s">
        <v>18</v>
      </c>
      <c r="Q704" s="22" t="s">
        <v>18</v>
      </c>
      <c r="R704" s="8"/>
      <c r="S704" s="9"/>
      <c r="T704" s="8"/>
      <c r="U704" s="9"/>
      <c r="V704" s="8"/>
      <c r="W704" s="8"/>
      <c r="X704" s="8"/>
    </row>
    <row r="705" spans="1:24" x14ac:dyDescent="0.3">
      <c r="A705" s="1" t="s">
        <v>1113</v>
      </c>
      <c r="B705" s="1" t="s">
        <v>1513</v>
      </c>
      <c r="C705" s="1" t="s">
        <v>1586</v>
      </c>
      <c r="D705" s="1" t="s">
        <v>12</v>
      </c>
      <c r="F705" s="1">
        <v>1994</v>
      </c>
      <c r="G705" s="1" t="s">
        <v>19</v>
      </c>
      <c r="H705" s="1">
        <v>2021</v>
      </c>
      <c r="I705" s="1" t="s">
        <v>1601</v>
      </c>
      <c r="J705" s="6">
        <v>53607</v>
      </c>
      <c r="K705" s="6">
        <v>43000</v>
      </c>
      <c r="L705" s="21">
        <v>0.80213404965769397</v>
      </c>
      <c r="M705" s="1">
        <v>0</v>
      </c>
      <c r="N705" s="1" t="s">
        <v>1589</v>
      </c>
      <c r="O705" s="1">
        <v>10</v>
      </c>
      <c r="P705" s="1">
        <v>0.63700000000000001</v>
      </c>
      <c r="Q705" s="22">
        <v>44396</v>
      </c>
      <c r="R705" s="8"/>
      <c r="S705" s="9"/>
      <c r="T705" s="8"/>
      <c r="U705" s="9"/>
      <c r="V705" s="8"/>
      <c r="W705" s="8"/>
      <c r="X705" s="8"/>
    </row>
    <row r="706" spans="1:24" x14ac:dyDescent="0.3">
      <c r="A706" s="1" t="s">
        <v>329</v>
      </c>
      <c r="B706" s="1" t="s">
        <v>330</v>
      </c>
      <c r="C706" s="1" t="s">
        <v>1586</v>
      </c>
      <c r="D706" s="1" t="s">
        <v>12</v>
      </c>
      <c r="F706" s="1">
        <v>2013</v>
      </c>
      <c r="G706" s="1" t="s">
        <v>19</v>
      </c>
      <c r="H706" s="1">
        <v>2022</v>
      </c>
      <c r="I706" s="1" t="s">
        <v>1598</v>
      </c>
      <c r="J706" s="6">
        <v>55178</v>
      </c>
      <c r="K706" s="6">
        <v>35580</v>
      </c>
      <c r="L706" s="21">
        <v>0.64482221175106025</v>
      </c>
      <c r="M706" s="1">
        <v>0</v>
      </c>
      <c r="N706" s="1" t="s">
        <v>1589</v>
      </c>
      <c r="O706" s="1">
        <v>9</v>
      </c>
      <c r="P706" s="1">
        <v>0.54</v>
      </c>
      <c r="Q706" s="22">
        <v>42627</v>
      </c>
      <c r="R706" s="8"/>
      <c r="S706" s="9"/>
      <c r="T706" s="8"/>
      <c r="U706" s="9"/>
      <c r="V706" s="8"/>
      <c r="W706" s="8"/>
      <c r="X706" s="8"/>
    </row>
    <row r="707" spans="1:24" x14ac:dyDescent="0.3">
      <c r="A707" s="1" t="s">
        <v>169</v>
      </c>
      <c r="B707" s="1" t="s">
        <v>171</v>
      </c>
      <c r="C707" s="1" t="s">
        <v>1586</v>
      </c>
      <c r="D707" s="1" t="s">
        <v>12</v>
      </c>
      <c r="F707" s="1">
        <v>2010</v>
      </c>
      <c r="G707" s="1" t="s">
        <v>19</v>
      </c>
      <c r="H707" s="1">
        <v>2021</v>
      </c>
      <c r="I707" s="1" t="s">
        <v>1601</v>
      </c>
      <c r="J707" s="6">
        <v>28373</v>
      </c>
      <c r="K707" s="6">
        <v>28373</v>
      </c>
      <c r="L707" s="21">
        <v>1</v>
      </c>
      <c r="M707" s="1">
        <v>0</v>
      </c>
      <c r="N707" s="1" t="s">
        <v>1821</v>
      </c>
      <c r="O707" s="1" t="s">
        <v>18</v>
      </c>
      <c r="P707" s="1" t="s">
        <v>18</v>
      </c>
      <c r="Q707" s="22" t="s">
        <v>18</v>
      </c>
      <c r="R707" s="8"/>
      <c r="S707" s="9"/>
      <c r="T707" s="8"/>
      <c r="U707" s="9"/>
      <c r="V707" s="8"/>
      <c r="W707" s="8"/>
      <c r="X707" s="8"/>
    </row>
    <row r="708" spans="1:24" x14ac:dyDescent="0.3">
      <c r="A708" s="1" t="s">
        <v>169</v>
      </c>
      <c r="B708" s="1" t="s">
        <v>172</v>
      </c>
      <c r="C708" s="1" t="s">
        <v>1586</v>
      </c>
      <c r="D708" s="1" t="s">
        <v>12</v>
      </c>
      <c r="F708" s="1">
        <v>2010</v>
      </c>
      <c r="G708" s="1" t="s">
        <v>19</v>
      </c>
      <c r="H708" s="1">
        <v>2021</v>
      </c>
      <c r="I708" s="1" t="s">
        <v>1601</v>
      </c>
      <c r="J708" s="6">
        <v>60996</v>
      </c>
      <c r="K708" s="6">
        <v>60996</v>
      </c>
      <c r="L708" s="21">
        <v>1</v>
      </c>
      <c r="M708" s="1">
        <v>0</v>
      </c>
      <c r="N708" s="1" t="s">
        <v>1821</v>
      </c>
      <c r="O708" s="1" t="s">
        <v>18</v>
      </c>
      <c r="P708" s="1" t="s">
        <v>18</v>
      </c>
      <c r="Q708" s="22" t="s">
        <v>18</v>
      </c>
      <c r="R708" s="8"/>
      <c r="S708" s="9"/>
      <c r="T708" s="8"/>
      <c r="U708" s="9"/>
      <c r="V708" s="8"/>
      <c r="W708" s="8"/>
      <c r="X708" s="8"/>
    </row>
    <row r="709" spans="1:24" x14ac:dyDescent="0.3">
      <c r="A709" s="1" t="s">
        <v>169</v>
      </c>
      <c r="B709" s="1" t="s">
        <v>173</v>
      </c>
      <c r="C709" s="1" t="s">
        <v>1586</v>
      </c>
      <c r="D709" s="1" t="s">
        <v>12</v>
      </c>
      <c r="F709" s="1">
        <v>2010</v>
      </c>
      <c r="G709" s="1" t="s">
        <v>19</v>
      </c>
      <c r="H709" s="1">
        <v>2021</v>
      </c>
      <c r="I709" s="1" t="s">
        <v>1601</v>
      </c>
      <c r="J709" s="6">
        <v>231462</v>
      </c>
      <c r="K709" s="6">
        <v>231462</v>
      </c>
      <c r="L709" s="21">
        <v>1</v>
      </c>
      <c r="M709" s="1">
        <v>0</v>
      </c>
      <c r="N709" s="1" t="s">
        <v>1821</v>
      </c>
      <c r="O709" s="1" t="s">
        <v>18</v>
      </c>
      <c r="P709" s="1" t="s">
        <v>18</v>
      </c>
      <c r="Q709" s="22" t="s">
        <v>18</v>
      </c>
      <c r="R709" s="8"/>
      <c r="S709" s="9"/>
      <c r="T709" s="8"/>
      <c r="U709" s="9"/>
      <c r="V709" s="8"/>
      <c r="W709" s="8"/>
      <c r="X709" s="8"/>
    </row>
    <row r="710" spans="1:24" x14ac:dyDescent="0.3">
      <c r="A710" s="1" t="s">
        <v>2239</v>
      </c>
      <c r="B710" s="1" t="s">
        <v>782</v>
      </c>
      <c r="C710" s="1" t="s">
        <v>1586</v>
      </c>
      <c r="D710" s="1" t="s">
        <v>12</v>
      </c>
      <c r="F710" s="1">
        <v>1991</v>
      </c>
      <c r="G710" s="1" t="s">
        <v>25</v>
      </c>
      <c r="H710" s="1">
        <v>2022</v>
      </c>
      <c r="I710" s="1" t="s">
        <v>1783</v>
      </c>
      <c r="J710" s="6">
        <v>60281.97</v>
      </c>
      <c r="K710" s="6">
        <v>58261</v>
      </c>
      <c r="L710" s="21">
        <v>0.96647471872601376</v>
      </c>
      <c r="M710" s="1">
        <v>0</v>
      </c>
      <c r="N710" s="1" t="s">
        <v>1787</v>
      </c>
      <c r="O710" s="1" t="s">
        <v>18</v>
      </c>
      <c r="P710" s="1" t="s">
        <v>18</v>
      </c>
      <c r="Q710" s="22" t="s">
        <v>18</v>
      </c>
      <c r="R710" s="8"/>
      <c r="S710" s="9"/>
      <c r="T710" s="8"/>
      <c r="U710" s="9"/>
      <c r="V710" s="8"/>
      <c r="W710" s="8"/>
      <c r="X710" s="8"/>
    </row>
    <row r="711" spans="1:24" x14ac:dyDescent="0.3">
      <c r="A711" s="1" t="s">
        <v>2430</v>
      </c>
      <c r="B711" s="1" t="s">
        <v>416</v>
      </c>
      <c r="C711" s="1" t="s">
        <v>1586</v>
      </c>
      <c r="D711" s="1" t="s">
        <v>12</v>
      </c>
      <c r="F711" s="1">
        <v>1982</v>
      </c>
      <c r="G711" s="1" t="s">
        <v>25</v>
      </c>
      <c r="H711" s="1">
        <v>2021</v>
      </c>
      <c r="I711" s="1" t="s">
        <v>1601</v>
      </c>
      <c r="J711" s="6">
        <v>17505</v>
      </c>
      <c r="K711" s="6">
        <v>16423</v>
      </c>
      <c r="L711" s="21">
        <v>0.93818908883176233</v>
      </c>
      <c r="M711" s="1">
        <v>0</v>
      </c>
      <c r="N711" s="1" t="s">
        <v>1589</v>
      </c>
      <c r="O711" s="1">
        <v>10</v>
      </c>
      <c r="P711" s="1">
        <v>0.65</v>
      </c>
      <c r="Q711" s="22">
        <v>40817</v>
      </c>
      <c r="R711" s="8"/>
      <c r="S711" s="9"/>
      <c r="T711" s="8"/>
      <c r="U711" s="9"/>
      <c r="V711" s="8"/>
      <c r="W711" s="8"/>
      <c r="X711" s="8"/>
    </row>
    <row r="712" spans="1:24" x14ac:dyDescent="0.3">
      <c r="A712" s="1" t="s">
        <v>1687</v>
      </c>
      <c r="B712" s="1" t="s">
        <v>949</v>
      </c>
      <c r="C712" s="1" t="s">
        <v>1586</v>
      </c>
      <c r="D712" s="1" t="s">
        <v>12</v>
      </c>
      <c r="F712" s="1">
        <v>2015</v>
      </c>
      <c r="J712" s="6">
        <v>1394</v>
      </c>
      <c r="K712" s="6">
        <v>643</v>
      </c>
      <c r="L712" s="21">
        <v>0.46126255380200859</v>
      </c>
      <c r="M712" s="1">
        <v>0</v>
      </c>
      <c r="N712" s="1" t="s">
        <v>1589</v>
      </c>
      <c r="O712" s="1">
        <v>2</v>
      </c>
      <c r="P712" s="1">
        <v>0.65</v>
      </c>
      <c r="Q712" s="22"/>
      <c r="R712" s="8"/>
      <c r="S712" s="9"/>
      <c r="T712" s="8"/>
      <c r="U712" s="9"/>
      <c r="V712" s="8"/>
      <c r="W712" s="8"/>
      <c r="X712" s="8"/>
    </row>
    <row r="713" spans="1:24" x14ac:dyDescent="0.3">
      <c r="A713" s="1" t="s">
        <v>2439</v>
      </c>
      <c r="B713" s="1" t="s">
        <v>2440</v>
      </c>
      <c r="C713" s="1" t="s">
        <v>1586</v>
      </c>
      <c r="D713" s="1" t="s">
        <v>8</v>
      </c>
      <c r="F713" s="1">
        <v>2019</v>
      </c>
      <c r="J713" s="6">
        <v>317</v>
      </c>
      <c r="K713" s="6">
        <v>60</v>
      </c>
      <c r="L713" s="21">
        <v>0.1892744479495268</v>
      </c>
      <c r="M713" s="1">
        <v>0</v>
      </c>
      <c r="N713" s="1" t="s">
        <v>1821</v>
      </c>
      <c r="O713" s="1" t="s">
        <v>18</v>
      </c>
      <c r="P713" s="1" t="s">
        <v>18</v>
      </c>
      <c r="Q713" s="22" t="s">
        <v>18</v>
      </c>
      <c r="R713" s="8">
        <v>2258.1253627760252</v>
      </c>
      <c r="S713" s="9"/>
      <c r="T713" s="8">
        <v>2649.7273186119874</v>
      </c>
      <c r="U713" s="9"/>
      <c r="V713" s="8">
        <v>3370.3713564668769</v>
      </c>
      <c r="W713" s="8"/>
      <c r="X713" s="8"/>
    </row>
    <row r="714" spans="1:24" x14ac:dyDescent="0.3">
      <c r="A714" s="1" t="s">
        <v>1862</v>
      </c>
      <c r="B714" s="1" t="s">
        <v>634</v>
      </c>
      <c r="C714" s="1" t="s">
        <v>1586</v>
      </c>
      <c r="D714" s="1" t="s">
        <v>8</v>
      </c>
      <c r="F714" s="1">
        <v>2006</v>
      </c>
      <c r="J714" s="6">
        <v>31615</v>
      </c>
      <c r="K714" s="6">
        <v>30116</v>
      </c>
      <c r="L714" s="21">
        <v>0.95258579788075282</v>
      </c>
      <c r="M714" s="1">
        <v>0</v>
      </c>
      <c r="N714" s="1" t="s">
        <v>1589</v>
      </c>
      <c r="O714" s="1">
        <v>17</v>
      </c>
      <c r="P714" s="1" t="s">
        <v>18</v>
      </c>
      <c r="Q714" s="22" t="s">
        <v>18</v>
      </c>
      <c r="R714" s="8">
        <v>521.5617902894196</v>
      </c>
      <c r="S714" s="9" t="s">
        <v>2654</v>
      </c>
      <c r="T714" s="8">
        <v>526.80142337498023</v>
      </c>
      <c r="U714" s="9" t="s">
        <v>2654</v>
      </c>
      <c r="V714" s="8">
        <v>533.02910011070696</v>
      </c>
      <c r="W714" s="8" t="s">
        <v>2654</v>
      </c>
      <c r="X714" s="8"/>
    </row>
    <row r="715" spans="1:24" x14ac:dyDescent="0.3">
      <c r="A715" s="1" t="s">
        <v>228</v>
      </c>
      <c r="B715" s="1" t="s">
        <v>229</v>
      </c>
      <c r="C715" s="1" t="s">
        <v>1586</v>
      </c>
      <c r="D715" s="1" t="s">
        <v>8</v>
      </c>
      <c r="F715" s="1">
        <v>1997</v>
      </c>
      <c r="J715" s="6">
        <v>10938</v>
      </c>
      <c r="K715" s="6">
        <v>8185</v>
      </c>
      <c r="L715" s="21">
        <v>0.74830864874748582</v>
      </c>
      <c r="M715" s="1">
        <v>0</v>
      </c>
      <c r="N715" s="1" t="s">
        <v>1590</v>
      </c>
      <c r="O715" s="1" t="s">
        <v>18</v>
      </c>
      <c r="P715" s="1" t="s">
        <v>18</v>
      </c>
      <c r="Q715" s="22" t="s">
        <v>18</v>
      </c>
      <c r="R715" s="8">
        <v>313.08403547266414</v>
      </c>
      <c r="S715" s="9" t="s">
        <v>2654</v>
      </c>
      <c r="T715" s="8">
        <v>324.2368038032547</v>
      </c>
      <c r="U715" s="9" t="s">
        <v>2654</v>
      </c>
      <c r="V715" s="8">
        <v>358.17011885170962</v>
      </c>
      <c r="W715" s="8" t="s">
        <v>2654</v>
      </c>
      <c r="X715" s="8"/>
    </row>
    <row r="716" spans="1:24" x14ac:dyDescent="0.3">
      <c r="A716" s="1" t="s">
        <v>1951</v>
      </c>
      <c r="B716" s="1" t="s">
        <v>195</v>
      </c>
      <c r="C716" s="1" t="s">
        <v>1586</v>
      </c>
      <c r="D716" s="1" t="s">
        <v>8</v>
      </c>
      <c r="F716" s="1">
        <v>1985</v>
      </c>
      <c r="J716" s="6">
        <v>24639</v>
      </c>
      <c r="K716" s="6">
        <v>23238</v>
      </c>
      <c r="L716" s="21">
        <v>0.94313892609277972</v>
      </c>
      <c r="M716" s="1">
        <v>0</v>
      </c>
      <c r="N716" s="1" t="s">
        <v>1589</v>
      </c>
      <c r="O716" s="1">
        <v>13</v>
      </c>
      <c r="P716" s="1">
        <v>0.97</v>
      </c>
      <c r="Q716" s="22">
        <v>44957</v>
      </c>
      <c r="R716" s="8">
        <v>344.65627663460367</v>
      </c>
      <c r="S716" s="9" t="s">
        <v>2654</v>
      </c>
      <c r="T716" s="8">
        <v>351.91077154105278</v>
      </c>
      <c r="U716" s="9" t="s">
        <v>2654</v>
      </c>
      <c r="V716" s="8">
        <v>344.52581273590647</v>
      </c>
      <c r="W716" s="8" t="s">
        <v>2654</v>
      </c>
      <c r="X716" s="8"/>
    </row>
    <row r="717" spans="1:24" x14ac:dyDescent="0.3">
      <c r="A717" s="1" t="s">
        <v>2150</v>
      </c>
      <c r="B717" s="1" t="s">
        <v>360</v>
      </c>
      <c r="C717" s="1" t="s">
        <v>1586</v>
      </c>
      <c r="D717" s="1" t="s">
        <v>8</v>
      </c>
      <c r="F717" s="1">
        <v>2014</v>
      </c>
      <c r="G717" s="1" t="s">
        <v>19</v>
      </c>
      <c r="H717" s="1">
        <v>2020</v>
      </c>
      <c r="I717" s="1" t="s">
        <v>1603</v>
      </c>
      <c r="J717" s="6">
        <v>48324</v>
      </c>
      <c r="K717" s="6">
        <v>48324</v>
      </c>
      <c r="L717" s="21">
        <v>1</v>
      </c>
      <c r="M717" s="1">
        <v>499</v>
      </c>
      <c r="N717" s="1" t="s">
        <v>1589</v>
      </c>
      <c r="O717" s="1">
        <v>9</v>
      </c>
      <c r="P717" s="1" t="s">
        <v>18</v>
      </c>
      <c r="Q717" s="22" t="s">
        <v>18</v>
      </c>
      <c r="R717" s="8">
        <v>302.62167866898437</v>
      </c>
      <c r="S717" s="9" t="s">
        <v>2654</v>
      </c>
      <c r="T717" s="8">
        <v>308.80537621057857</v>
      </c>
      <c r="U717" s="9" t="s">
        <v>2654</v>
      </c>
      <c r="V717" s="8">
        <v>324.17457164142041</v>
      </c>
      <c r="W717" s="8" t="s">
        <v>2654</v>
      </c>
      <c r="X717" s="8"/>
    </row>
    <row r="718" spans="1:24" x14ac:dyDescent="0.3">
      <c r="A718" s="1" t="s">
        <v>72</v>
      </c>
      <c r="B718" s="1" t="s">
        <v>73</v>
      </c>
      <c r="C718" s="1" t="s">
        <v>1586</v>
      </c>
      <c r="D718" s="1" t="s">
        <v>8</v>
      </c>
      <c r="F718" s="1">
        <v>1990</v>
      </c>
      <c r="G718" s="1" t="s">
        <v>25</v>
      </c>
      <c r="H718" s="1">
        <v>2022</v>
      </c>
      <c r="I718" s="1" t="s">
        <v>1599</v>
      </c>
      <c r="J718" s="6">
        <v>53610</v>
      </c>
      <c r="K718" s="6">
        <v>53610</v>
      </c>
      <c r="L718" s="21">
        <v>1</v>
      </c>
      <c r="M718" s="1">
        <v>0</v>
      </c>
      <c r="N718" s="1" t="s">
        <v>1589</v>
      </c>
      <c r="O718" s="1">
        <v>7</v>
      </c>
      <c r="P718" s="1" t="s">
        <v>18</v>
      </c>
      <c r="Q718" s="22" t="s">
        <v>18</v>
      </c>
      <c r="R718" s="8">
        <v>303.2422529378847</v>
      </c>
      <c r="S718" s="9" t="s">
        <v>2654</v>
      </c>
      <c r="T718" s="8">
        <v>312.86981122924823</v>
      </c>
      <c r="U718" s="9" t="s">
        <v>2654</v>
      </c>
      <c r="V718" s="8">
        <v>323.71920686439097</v>
      </c>
      <c r="W718" s="8" t="s">
        <v>2654</v>
      </c>
      <c r="X718" s="8"/>
    </row>
    <row r="719" spans="1:24" x14ac:dyDescent="0.3">
      <c r="A719" s="1" t="s">
        <v>1574</v>
      </c>
      <c r="B719" s="1" t="s">
        <v>2334</v>
      </c>
      <c r="C719" s="1" t="s">
        <v>1586</v>
      </c>
      <c r="D719" s="1" t="s">
        <v>8</v>
      </c>
      <c r="F719" s="1">
        <v>2017</v>
      </c>
      <c r="J719" s="6">
        <v>28431</v>
      </c>
      <c r="K719" s="6">
        <v>9079</v>
      </c>
      <c r="L719" s="21">
        <v>0.31933452921107242</v>
      </c>
      <c r="M719" s="1">
        <v>250</v>
      </c>
      <c r="N719" s="1" t="s">
        <v>1589</v>
      </c>
      <c r="O719" s="1">
        <v>6</v>
      </c>
      <c r="P719" s="1">
        <v>0.66400000000000003</v>
      </c>
      <c r="Q719" s="22">
        <v>44910</v>
      </c>
      <c r="R719" s="8">
        <v>273.02289754141606</v>
      </c>
      <c r="S719" s="9" t="s">
        <v>2655</v>
      </c>
      <c r="T719" s="8">
        <v>297.71833561957021</v>
      </c>
      <c r="U719" s="9" t="s">
        <v>2654</v>
      </c>
      <c r="V719" s="8">
        <v>322.79068622278498</v>
      </c>
      <c r="W719" s="8" t="s">
        <v>2654</v>
      </c>
      <c r="X719" s="8"/>
    </row>
    <row r="720" spans="1:24" x14ac:dyDescent="0.3">
      <c r="A720" s="1" t="s">
        <v>945</v>
      </c>
      <c r="B720" s="1" t="s">
        <v>1851</v>
      </c>
      <c r="C720" s="1" t="s">
        <v>1586</v>
      </c>
      <c r="D720" s="1" t="s">
        <v>8</v>
      </c>
      <c r="F720" s="1">
        <v>1996</v>
      </c>
      <c r="J720" s="6">
        <v>13128</v>
      </c>
      <c r="K720" s="6">
        <v>8981</v>
      </c>
      <c r="L720" s="21">
        <v>0.68411029859841554</v>
      </c>
      <c r="M720" s="1">
        <v>0</v>
      </c>
      <c r="N720" s="1" t="s">
        <v>1589</v>
      </c>
      <c r="O720" s="1">
        <v>23</v>
      </c>
      <c r="P720" s="1">
        <v>1.1000000000000001</v>
      </c>
      <c r="Q720" s="22">
        <v>43462</v>
      </c>
      <c r="R720" s="8">
        <v>270.23499390615478</v>
      </c>
      <c r="S720" s="9" t="s">
        <v>2655</v>
      </c>
      <c r="T720" s="8">
        <v>274.91301035953688</v>
      </c>
      <c r="U720" s="9" t="s">
        <v>2654</v>
      </c>
      <c r="V720" s="8">
        <v>306.915676416819</v>
      </c>
      <c r="W720" s="8" t="s">
        <v>2654</v>
      </c>
      <c r="X720" s="8"/>
    </row>
    <row r="721" spans="1:24" x14ac:dyDescent="0.3">
      <c r="A721" s="1" t="s">
        <v>266</v>
      </c>
      <c r="B721" s="1" t="s">
        <v>2319</v>
      </c>
      <c r="C721" s="1" t="s">
        <v>1586</v>
      </c>
      <c r="D721" s="1" t="s">
        <v>8</v>
      </c>
      <c r="F721" s="1">
        <v>1988</v>
      </c>
      <c r="G721" s="1" t="s">
        <v>25</v>
      </c>
      <c r="H721" s="1">
        <v>2023</v>
      </c>
      <c r="I721" s="1" t="s">
        <v>1783</v>
      </c>
      <c r="J721" s="6">
        <v>52095</v>
      </c>
      <c r="K721" s="6">
        <v>42900</v>
      </c>
      <c r="L721" s="21">
        <v>0.82349553699971212</v>
      </c>
      <c r="M721" s="1">
        <v>384</v>
      </c>
      <c r="N721" s="1" t="s">
        <v>1589</v>
      </c>
      <c r="O721" s="1">
        <v>5</v>
      </c>
      <c r="P721" s="1" t="s">
        <v>18</v>
      </c>
      <c r="Q721" s="22" t="s">
        <v>18</v>
      </c>
      <c r="R721" s="8">
        <v>288.80742873596313</v>
      </c>
      <c r="S721" s="9" t="s">
        <v>2655</v>
      </c>
      <c r="T721" s="8">
        <v>286.84428448027643</v>
      </c>
      <c r="U721" s="9" t="s">
        <v>2654</v>
      </c>
      <c r="V721" s="8">
        <v>284.91851425280737</v>
      </c>
      <c r="W721" s="8" t="s">
        <v>2654</v>
      </c>
      <c r="X721" s="8"/>
    </row>
    <row r="722" spans="1:24" x14ac:dyDescent="0.3">
      <c r="A722" s="1" t="s">
        <v>860</v>
      </c>
      <c r="B722" s="1" t="s">
        <v>2201</v>
      </c>
      <c r="C722" s="1" t="s">
        <v>1586</v>
      </c>
      <c r="D722" s="1" t="s">
        <v>8</v>
      </c>
      <c r="F722" s="1">
        <v>2019</v>
      </c>
      <c r="G722" s="1" t="s">
        <v>21</v>
      </c>
      <c r="H722" s="1">
        <v>2022</v>
      </c>
      <c r="I722" s="1" t="s">
        <v>1598</v>
      </c>
      <c r="J722" s="6">
        <v>83776</v>
      </c>
      <c r="K722" s="6">
        <v>75398</v>
      </c>
      <c r="L722" s="21">
        <v>0.89999522536287246</v>
      </c>
      <c r="M722" s="1">
        <v>400</v>
      </c>
      <c r="N722" s="1" t="s">
        <v>1589</v>
      </c>
      <c r="O722" s="1">
        <v>4</v>
      </c>
      <c r="P722" s="1">
        <v>0.622</v>
      </c>
      <c r="Q722" s="22">
        <v>44824</v>
      </c>
      <c r="R722" s="8">
        <v>352.52331932773109</v>
      </c>
      <c r="S722" s="9" t="s">
        <v>2654</v>
      </c>
      <c r="T722" s="8">
        <v>272.12122803666921</v>
      </c>
      <c r="U722" s="9" t="s">
        <v>2654</v>
      </c>
      <c r="V722" s="8">
        <v>279.79917398777695</v>
      </c>
      <c r="W722" s="8" t="s">
        <v>2654</v>
      </c>
      <c r="X722" s="8"/>
    </row>
    <row r="723" spans="1:24" x14ac:dyDescent="0.3">
      <c r="A723" s="1" t="s">
        <v>555</v>
      </c>
      <c r="B723" s="1" t="s">
        <v>556</v>
      </c>
      <c r="C723" s="1" t="s">
        <v>1586</v>
      </c>
      <c r="D723" s="1" t="s">
        <v>8</v>
      </c>
      <c r="F723" s="1">
        <v>1992</v>
      </c>
      <c r="G723" s="1" t="s">
        <v>25</v>
      </c>
      <c r="H723" s="1">
        <v>2022</v>
      </c>
      <c r="I723" s="1" t="s">
        <v>1783</v>
      </c>
      <c r="J723" s="6">
        <v>4547.99</v>
      </c>
      <c r="K723" s="6">
        <v>400</v>
      </c>
      <c r="L723" s="21">
        <v>8.7950940965129648E-2</v>
      </c>
      <c r="M723" s="1">
        <v>0</v>
      </c>
      <c r="N723" s="1" t="s">
        <v>28</v>
      </c>
      <c r="O723" s="1" t="s">
        <v>18</v>
      </c>
      <c r="P723" s="1" t="s">
        <v>18</v>
      </c>
      <c r="Q723" s="22" t="s">
        <v>18</v>
      </c>
      <c r="R723" s="8">
        <v>229.78601096308481</v>
      </c>
      <c r="S723" s="9" t="s">
        <v>2655</v>
      </c>
      <c r="T723" s="8">
        <v>243.81828016332494</v>
      </c>
      <c r="U723" s="9" t="s">
        <v>2655</v>
      </c>
      <c r="V723" s="8">
        <v>276.36419605144255</v>
      </c>
      <c r="W723" s="8" t="s">
        <v>2654</v>
      </c>
      <c r="X723" s="8"/>
    </row>
    <row r="724" spans="1:24" x14ac:dyDescent="0.3">
      <c r="A724" s="1" t="s">
        <v>563</v>
      </c>
      <c r="B724" s="1" t="s">
        <v>564</v>
      </c>
      <c r="C724" s="1" t="s">
        <v>1586</v>
      </c>
      <c r="D724" s="1" t="s">
        <v>8</v>
      </c>
      <c r="F724" s="1">
        <v>1997</v>
      </c>
      <c r="G724" s="1" t="s">
        <v>21</v>
      </c>
      <c r="H724" s="1">
        <v>2021</v>
      </c>
      <c r="I724" s="1" t="s">
        <v>1601</v>
      </c>
      <c r="J724" s="6">
        <v>93730</v>
      </c>
      <c r="K724" s="6">
        <v>85731</v>
      </c>
      <c r="L724" s="21">
        <v>0.91465912728048648</v>
      </c>
      <c r="M724" s="1">
        <v>0</v>
      </c>
      <c r="N724" s="1" t="s">
        <v>1589</v>
      </c>
      <c r="O724" s="1">
        <v>13</v>
      </c>
      <c r="P724" s="1">
        <v>0.64</v>
      </c>
      <c r="Q724" s="22">
        <v>44201</v>
      </c>
      <c r="R724" s="8">
        <v>230.80828210647789</v>
      </c>
      <c r="S724" s="9" t="s">
        <v>2655</v>
      </c>
      <c r="T724" s="8">
        <v>244.67046891990856</v>
      </c>
      <c r="U724" s="9" t="s">
        <v>2655</v>
      </c>
      <c r="V724" s="8">
        <v>258.91440491777814</v>
      </c>
      <c r="W724" s="8" t="s">
        <v>2655</v>
      </c>
      <c r="X724" s="8"/>
    </row>
    <row r="725" spans="1:24" x14ac:dyDescent="0.3">
      <c r="A725" s="1" t="s">
        <v>1246</v>
      </c>
      <c r="B725" s="1" t="s">
        <v>1247</v>
      </c>
      <c r="C725" s="1" t="s">
        <v>1586</v>
      </c>
      <c r="D725" s="1" t="s">
        <v>8</v>
      </c>
      <c r="F725" s="1">
        <v>1993</v>
      </c>
      <c r="G725" s="1" t="s">
        <v>19</v>
      </c>
      <c r="H725" s="1">
        <v>2022</v>
      </c>
      <c r="I725" s="1" t="s">
        <v>1601</v>
      </c>
      <c r="J725" s="6">
        <v>182382</v>
      </c>
      <c r="K725" s="6">
        <v>174705</v>
      </c>
      <c r="L725" s="21">
        <v>0.95790703029904267</v>
      </c>
      <c r="M725" s="1">
        <v>0</v>
      </c>
      <c r="N725" s="1" t="s">
        <v>1589</v>
      </c>
      <c r="O725" s="1">
        <v>7</v>
      </c>
      <c r="P725" s="1">
        <v>0.62</v>
      </c>
      <c r="Q725" s="22">
        <v>44649</v>
      </c>
      <c r="R725" s="8">
        <v>4.1898997159807436</v>
      </c>
      <c r="S725" s="9" t="s">
        <v>2657</v>
      </c>
      <c r="T725" s="8">
        <v>246.1826784989747</v>
      </c>
      <c r="U725" s="9" t="s">
        <v>2655</v>
      </c>
      <c r="V725" s="8">
        <v>248.2486741016109</v>
      </c>
      <c r="W725" s="8" t="s">
        <v>2655</v>
      </c>
      <c r="X725" s="8"/>
    </row>
    <row r="726" spans="1:24" x14ac:dyDescent="0.3">
      <c r="A726" s="1" t="s">
        <v>1123</v>
      </c>
      <c r="B726" s="1" t="s">
        <v>2409</v>
      </c>
      <c r="C726" s="1" t="s">
        <v>1586</v>
      </c>
      <c r="D726" s="1" t="s">
        <v>8</v>
      </c>
      <c r="F726" s="1">
        <v>2016</v>
      </c>
      <c r="J726" s="6">
        <v>13284</v>
      </c>
      <c r="K726" s="6">
        <v>1000</v>
      </c>
      <c r="L726" s="21">
        <v>7.527853056308341E-2</v>
      </c>
      <c r="M726" s="1">
        <v>298</v>
      </c>
      <c r="N726" s="1" t="s">
        <v>1589</v>
      </c>
      <c r="O726" s="1">
        <v>5</v>
      </c>
      <c r="P726" s="1" t="s">
        <v>18</v>
      </c>
      <c r="Q726" s="22" t="s">
        <v>18</v>
      </c>
      <c r="R726" s="8">
        <v>191.17888286660641</v>
      </c>
      <c r="S726" s="9" t="s">
        <v>2656</v>
      </c>
      <c r="T726" s="8">
        <v>227.75632565492319</v>
      </c>
      <c r="U726" s="9" t="s">
        <v>2655</v>
      </c>
      <c r="V726" s="8">
        <v>242.95058115025594</v>
      </c>
      <c r="W726" s="8" t="s">
        <v>2655</v>
      </c>
      <c r="X726" s="8"/>
    </row>
    <row r="727" spans="1:24" x14ac:dyDescent="0.3">
      <c r="A727" s="1" t="s">
        <v>2302</v>
      </c>
      <c r="B727" s="1" t="s">
        <v>569</v>
      </c>
      <c r="C727" s="1" t="s">
        <v>1586</v>
      </c>
      <c r="D727" s="1" t="s">
        <v>8</v>
      </c>
      <c r="F727" s="1">
        <v>1969</v>
      </c>
      <c r="J727" s="6">
        <v>38986</v>
      </c>
      <c r="K727" s="6">
        <v>30308</v>
      </c>
      <c r="L727" s="21">
        <v>0.77740727440619706</v>
      </c>
      <c r="M727" s="1">
        <v>423</v>
      </c>
      <c r="N727" s="1" t="s">
        <v>1589</v>
      </c>
      <c r="O727" s="1">
        <v>6</v>
      </c>
      <c r="P727" s="1" t="s">
        <v>18</v>
      </c>
      <c r="Q727" s="22" t="s">
        <v>18</v>
      </c>
      <c r="R727" s="8">
        <v>248.52146924537013</v>
      </c>
      <c r="S727" s="9" t="s">
        <v>2655</v>
      </c>
      <c r="T727" s="8">
        <v>252.44046580823886</v>
      </c>
      <c r="U727" s="9" t="s">
        <v>2655</v>
      </c>
      <c r="V727" s="8">
        <v>240.56068845226491</v>
      </c>
      <c r="W727" s="8" t="s">
        <v>2655</v>
      </c>
      <c r="X727" s="8"/>
    </row>
    <row r="728" spans="1:24" x14ac:dyDescent="0.3">
      <c r="A728" s="1" t="s">
        <v>1485</v>
      </c>
      <c r="B728" s="1" t="s">
        <v>1486</v>
      </c>
      <c r="C728" s="1" t="s">
        <v>1586</v>
      </c>
      <c r="D728" s="1" t="s">
        <v>8</v>
      </c>
      <c r="F728" s="1">
        <v>1973</v>
      </c>
      <c r="J728" s="6">
        <v>12100</v>
      </c>
      <c r="K728" s="6">
        <v>12775</v>
      </c>
      <c r="L728" s="21">
        <v>1.0557851239669422</v>
      </c>
      <c r="M728" s="1">
        <v>0</v>
      </c>
      <c r="N728" s="1" t="s">
        <v>28</v>
      </c>
      <c r="O728" s="1" t="s">
        <v>18</v>
      </c>
      <c r="P728" s="1" t="s">
        <v>18</v>
      </c>
      <c r="Q728" s="22" t="s">
        <v>18</v>
      </c>
      <c r="R728" s="8">
        <v>219.96922975206604</v>
      </c>
      <c r="S728" s="9" t="s">
        <v>2655</v>
      </c>
      <c r="T728" s="8">
        <v>230.22240247933885</v>
      </c>
      <c r="U728" s="9" t="s">
        <v>2655</v>
      </c>
      <c r="V728" s="8">
        <v>234.93348016528924</v>
      </c>
      <c r="W728" s="8" t="s">
        <v>2655</v>
      </c>
      <c r="X728" s="8"/>
    </row>
    <row r="729" spans="1:24" x14ac:dyDescent="0.3">
      <c r="A729" s="1" t="s">
        <v>421</v>
      </c>
      <c r="B729" s="1" t="s">
        <v>422</v>
      </c>
      <c r="C729" s="1" t="s">
        <v>1586</v>
      </c>
      <c r="D729" s="1" t="s">
        <v>8</v>
      </c>
      <c r="F729" s="1">
        <v>1988</v>
      </c>
      <c r="J729" s="6">
        <v>23500</v>
      </c>
      <c r="K729" s="6">
        <v>21150</v>
      </c>
      <c r="L729" s="21">
        <v>0.9</v>
      </c>
      <c r="M729" s="1">
        <v>0</v>
      </c>
      <c r="N729" s="1" t="s">
        <v>1589</v>
      </c>
      <c r="O729" s="1">
        <v>1</v>
      </c>
      <c r="P729" s="1">
        <v>1.02</v>
      </c>
      <c r="Q729" s="22">
        <v>44566</v>
      </c>
      <c r="R729" s="8">
        <v>191.56374468085107</v>
      </c>
      <c r="S729" s="9" t="s">
        <v>2656</v>
      </c>
      <c r="T729" s="8">
        <v>208.39182978723403</v>
      </c>
      <c r="U729" s="9" t="s">
        <v>2656</v>
      </c>
      <c r="V729" s="8">
        <v>232.25570212765956</v>
      </c>
      <c r="W729" s="8" t="s">
        <v>2655</v>
      </c>
      <c r="X729" s="8"/>
    </row>
    <row r="730" spans="1:24" x14ac:dyDescent="0.3">
      <c r="A730" s="1" t="s">
        <v>22</v>
      </c>
      <c r="B730" s="1" t="s">
        <v>2097</v>
      </c>
      <c r="C730" s="1" t="s">
        <v>1586</v>
      </c>
      <c r="D730" s="1" t="s">
        <v>8</v>
      </c>
      <c r="F730" s="1">
        <v>1984</v>
      </c>
      <c r="G730" s="1" t="s">
        <v>21</v>
      </c>
      <c r="H730" s="1">
        <v>2021</v>
      </c>
      <c r="I730" s="1" t="s">
        <v>1599</v>
      </c>
      <c r="J730" s="6">
        <v>65947</v>
      </c>
      <c r="K730" s="6">
        <v>61563</v>
      </c>
      <c r="L730" s="21">
        <v>0.93352237402762828</v>
      </c>
      <c r="M730" s="1">
        <v>0</v>
      </c>
      <c r="N730" s="1" t="s">
        <v>1589</v>
      </c>
      <c r="O730" s="1">
        <v>2</v>
      </c>
      <c r="P730" s="1">
        <v>0.6</v>
      </c>
      <c r="Q730" s="22">
        <v>44299</v>
      </c>
      <c r="R730" s="8">
        <v>250.88546863390297</v>
      </c>
      <c r="S730" s="9" t="s">
        <v>2655</v>
      </c>
      <c r="T730" s="8">
        <v>233.43420474017014</v>
      </c>
      <c r="U730" s="9" t="s">
        <v>2655</v>
      </c>
      <c r="V730" s="8">
        <v>230.94317785494411</v>
      </c>
      <c r="W730" s="8" t="s">
        <v>2655</v>
      </c>
      <c r="X730" s="8"/>
    </row>
    <row r="731" spans="1:24" x14ac:dyDescent="0.3">
      <c r="A731" s="1" t="s">
        <v>1068</v>
      </c>
      <c r="B731" s="1" t="s">
        <v>1069</v>
      </c>
      <c r="C731" s="1" t="s">
        <v>1586</v>
      </c>
      <c r="D731" s="1" t="s">
        <v>8</v>
      </c>
      <c r="F731" s="1">
        <v>2019</v>
      </c>
      <c r="G731" s="1" t="s">
        <v>21</v>
      </c>
      <c r="H731" s="1">
        <v>2019</v>
      </c>
      <c r="I731" s="1" t="s">
        <v>1602</v>
      </c>
      <c r="J731" s="6">
        <v>22162</v>
      </c>
      <c r="K731" s="6">
        <v>10476</v>
      </c>
      <c r="L731" s="21">
        <v>0.47270101976355927</v>
      </c>
      <c r="M731" s="1">
        <v>318</v>
      </c>
      <c r="N731" s="1" t="s">
        <v>1589</v>
      </c>
      <c r="O731" s="1">
        <v>3</v>
      </c>
      <c r="P731" s="1">
        <v>0.65</v>
      </c>
      <c r="Q731" s="22">
        <v>44248</v>
      </c>
      <c r="R731" s="8">
        <v>170.31964624131396</v>
      </c>
      <c r="S731" s="9" t="s">
        <v>2656</v>
      </c>
      <c r="T731" s="8">
        <v>208.90479198628282</v>
      </c>
      <c r="U731" s="9" t="s">
        <v>2656</v>
      </c>
      <c r="V731" s="8">
        <v>226.82736215143038</v>
      </c>
      <c r="W731" s="8" t="s">
        <v>2655</v>
      </c>
      <c r="X731" s="8"/>
    </row>
    <row r="732" spans="1:24" x14ac:dyDescent="0.3">
      <c r="A732" s="1" t="s">
        <v>137</v>
      </c>
      <c r="B732" s="1" t="s">
        <v>138</v>
      </c>
      <c r="C732" s="1" t="s">
        <v>1586</v>
      </c>
      <c r="D732" s="1" t="s">
        <v>8</v>
      </c>
      <c r="F732" s="1">
        <v>1993</v>
      </c>
      <c r="G732" s="1" t="s">
        <v>25</v>
      </c>
      <c r="H732" s="1">
        <v>2022</v>
      </c>
      <c r="I732" s="1" t="s">
        <v>1818</v>
      </c>
      <c r="J732" s="6">
        <v>43280</v>
      </c>
      <c r="K732" s="6">
        <v>39800</v>
      </c>
      <c r="L732" s="21">
        <v>0.91959334565619222</v>
      </c>
      <c r="M732" s="1">
        <v>0</v>
      </c>
      <c r="N732" s="1" t="s">
        <v>1589</v>
      </c>
      <c r="O732" s="1">
        <v>13</v>
      </c>
      <c r="P732" s="1">
        <v>0.69099999999999995</v>
      </c>
      <c r="Q732" s="22">
        <v>44734</v>
      </c>
      <c r="R732" s="8">
        <v>233.38170055452866</v>
      </c>
      <c r="S732" s="9" t="s">
        <v>2655</v>
      </c>
      <c r="T732" s="8">
        <v>241.96520332717191</v>
      </c>
      <c r="U732" s="9" t="s">
        <v>2655</v>
      </c>
      <c r="V732" s="8">
        <v>225.62213493530498</v>
      </c>
      <c r="W732" s="8" t="s">
        <v>2656</v>
      </c>
      <c r="X732" s="8"/>
    </row>
    <row r="733" spans="1:24" x14ac:dyDescent="0.3">
      <c r="A733" s="1" t="s">
        <v>737</v>
      </c>
      <c r="B733" s="1" t="s">
        <v>738</v>
      </c>
      <c r="C733" s="1" t="s">
        <v>1586</v>
      </c>
      <c r="D733" s="1" t="s">
        <v>8</v>
      </c>
      <c r="F733" s="1">
        <v>1988</v>
      </c>
      <c r="G733" s="1" t="s">
        <v>47</v>
      </c>
      <c r="H733" s="1">
        <v>2019</v>
      </c>
      <c r="I733" s="1" t="s">
        <v>1601</v>
      </c>
      <c r="J733" s="6">
        <v>19096</v>
      </c>
      <c r="K733" s="6">
        <v>19094</v>
      </c>
      <c r="L733" s="21">
        <v>0.99989526602429823</v>
      </c>
      <c r="M733" s="1">
        <v>0</v>
      </c>
      <c r="N733" s="1" t="s">
        <v>1589</v>
      </c>
      <c r="O733" s="1">
        <v>5</v>
      </c>
      <c r="P733" s="1">
        <v>0.69799999999999995</v>
      </c>
      <c r="Q733" s="22">
        <v>44834</v>
      </c>
      <c r="R733" s="8">
        <v>225.73647203602854</v>
      </c>
      <c r="S733" s="9" t="s">
        <v>2655</v>
      </c>
      <c r="T733" s="8">
        <v>224.3908457268538</v>
      </c>
      <c r="U733" s="9" t="s">
        <v>2655</v>
      </c>
      <c r="V733" s="8">
        <v>217.21349811478842</v>
      </c>
      <c r="W733" s="8" t="s">
        <v>2656</v>
      </c>
      <c r="X733" s="8"/>
    </row>
    <row r="734" spans="1:24" x14ac:dyDescent="0.3">
      <c r="A734" s="1" t="s">
        <v>203</v>
      </c>
      <c r="B734" s="1" t="s">
        <v>204</v>
      </c>
      <c r="C734" s="1" t="s">
        <v>1586</v>
      </c>
      <c r="D734" s="1" t="s">
        <v>8</v>
      </c>
      <c r="F734" s="1">
        <v>1968</v>
      </c>
      <c r="J734" s="6">
        <v>6508</v>
      </c>
      <c r="K734" s="6">
        <v>5881</v>
      </c>
      <c r="L734" s="21">
        <v>0.90365703749231718</v>
      </c>
      <c r="M734" s="1">
        <v>101</v>
      </c>
      <c r="N734" s="1" t="s">
        <v>28</v>
      </c>
      <c r="O734" s="1" t="s">
        <v>18</v>
      </c>
      <c r="P734" s="1" t="s">
        <v>18</v>
      </c>
      <c r="Q734" s="22" t="s">
        <v>18</v>
      </c>
      <c r="R734" s="8">
        <v>192.12835740626923</v>
      </c>
      <c r="S734" s="9" t="s">
        <v>2656</v>
      </c>
      <c r="T734" s="8">
        <v>194.3156422864167</v>
      </c>
      <c r="U734" s="9" t="s">
        <v>2656</v>
      </c>
      <c r="V734" s="8">
        <v>212.82861094038108</v>
      </c>
      <c r="W734" s="8" t="s">
        <v>2656</v>
      </c>
      <c r="X734" s="8"/>
    </row>
    <row r="735" spans="1:24" x14ac:dyDescent="0.3">
      <c r="A735" s="1" t="s">
        <v>1145</v>
      </c>
      <c r="B735" s="1" t="s">
        <v>1146</v>
      </c>
      <c r="C735" s="1" t="s">
        <v>1586</v>
      </c>
      <c r="D735" s="1" t="s">
        <v>8</v>
      </c>
      <c r="F735" s="1">
        <v>1990</v>
      </c>
      <c r="G735" s="1" t="s">
        <v>21</v>
      </c>
      <c r="H735" s="1">
        <v>2022</v>
      </c>
      <c r="I735" s="1" t="s">
        <v>1818</v>
      </c>
      <c r="J735" s="6">
        <v>132527</v>
      </c>
      <c r="K735" s="6">
        <v>88287</v>
      </c>
      <c r="L735" s="21">
        <v>0.66618123099443882</v>
      </c>
      <c r="M735" s="1">
        <v>0</v>
      </c>
      <c r="N735" s="1" t="s">
        <v>1589</v>
      </c>
      <c r="O735" s="1">
        <v>9</v>
      </c>
      <c r="P735" s="1" t="s">
        <v>18</v>
      </c>
      <c r="Q735" s="22" t="s">
        <v>18</v>
      </c>
      <c r="R735" s="8">
        <v>203.30241007492813</v>
      </c>
      <c r="S735" s="9" t="s">
        <v>2655</v>
      </c>
      <c r="T735" s="8">
        <v>202.61785447493716</v>
      </c>
      <c r="U735" s="9" t="s">
        <v>2656</v>
      </c>
      <c r="V735" s="8">
        <v>209.67801580055385</v>
      </c>
      <c r="W735" s="8" t="s">
        <v>2656</v>
      </c>
      <c r="X735" s="8"/>
    </row>
    <row r="736" spans="1:24" x14ac:dyDescent="0.3">
      <c r="A736" s="1" t="s">
        <v>1546</v>
      </c>
      <c r="B736" s="1" t="s">
        <v>1547</v>
      </c>
      <c r="C736" s="1" t="s">
        <v>1586</v>
      </c>
      <c r="D736" s="1" t="s">
        <v>8</v>
      </c>
      <c r="F736" s="1">
        <v>2017</v>
      </c>
      <c r="J736" s="6">
        <v>5036</v>
      </c>
      <c r="K736" s="6">
        <v>4800</v>
      </c>
      <c r="L736" s="21">
        <v>0.95313741064336777</v>
      </c>
      <c r="M736" s="1">
        <v>0</v>
      </c>
      <c r="N736" s="1" t="s">
        <v>1590</v>
      </c>
      <c r="O736" s="1" t="s">
        <v>18</v>
      </c>
      <c r="P736" s="1" t="s">
        <v>18</v>
      </c>
      <c r="Q736" s="22" t="s">
        <v>18</v>
      </c>
      <c r="R736" s="8">
        <v>152.58275218427323</v>
      </c>
      <c r="S736" s="9" t="s">
        <v>2657</v>
      </c>
      <c r="T736" s="8">
        <v>181.49788721207307</v>
      </c>
      <c r="U736" s="9" t="s">
        <v>2656</v>
      </c>
      <c r="V736" s="8">
        <v>209.56688840349486</v>
      </c>
      <c r="W736" s="8" t="s">
        <v>2656</v>
      </c>
      <c r="X736" s="8"/>
    </row>
    <row r="737" spans="1:24" x14ac:dyDescent="0.3">
      <c r="A737" s="1" t="s">
        <v>848</v>
      </c>
      <c r="B737" s="1" t="s">
        <v>849</v>
      </c>
      <c r="C737" s="1" t="s">
        <v>1586</v>
      </c>
      <c r="D737" s="1" t="s">
        <v>8</v>
      </c>
      <c r="F737" s="1">
        <v>1974</v>
      </c>
      <c r="G737" s="1" t="s">
        <v>21</v>
      </c>
      <c r="H737" s="1">
        <v>2018</v>
      </c>
      <c r="I737" s="1" t="s">
        <v>1601</v>
      </c>
      <c r="J737" s="6">
        <v>17592</v>
      </c>
      <c r="K737" s="6">
        <v>14909</v>
      </c>
      <c r="L737" s="21">
        <v>0.847487494315598</v>
      </c>
      <c r="M737" s="1">
        <v>0</v>
      </c>
      <c r="N737" s="1" t="s">
        <v>1589</v>
      </c>
      <c r="O737" s="1">
        <v>5</v>
      </c>
      <c r="P737" s="1">
        <v>0.61299999999999999</v>
      </c>
      <c r="Q737" s="22">
        <v>43094</v>
      </c>
      <c r="R737" s="8">
        <v>202.59705320600276</v>
      </c>
      <c r="S737" s="9" t="s">
        <v>2655</v>
      </c>
      <c r="T737" s="8">
        <v>209.30123522055482</v>
      </c>
      <c r="U737" s="9" t="s">
        <v>2656</v>
      </c>
      <c r="V737" s="8">
        <v>208.96897851296043</v>
      </c>
      <c r="W737" s="8" t="s">
        <v>2656</v>
      </c>
      <c r="X737" s="8"/>
    </row>
    <row r="738" spans="1:24" x14ac:dyDescent="0.3">
      <c r="A738" s="1" t="s">
        <v>1575</v>
      </c>
      <c r="B738" s="1" t="s">
        <v>2289</v>
      </c>
      <c r="C738" s="1" t="s">
        <v>1586</v>
      </c>
      <c r="D738" s="1" t="s">
        <v>8</v>
      </c>
      <c r="F738" s="1">
        <v>2017</v>
      </c>
      <c r="G738" s="1" t="s">
        <v>19</v>
      </c>
      <c r="H738" s="1">
        <v>2022</v>
      </c>
      <c r="I738" s="1" t="s">
        <v>1818</v>
      </c>
      <c r="J738" s="6">
        <v>100047</v>
      </c>
      <c r="K738" s="6">
        <v>44614</v>
      </c>
      <c r="L738" s="21">
        <v>0.44593041270602818</v>
      </c>
      <c r="M738" s="1">
        <v>347</v>
      </c>
      <c r="N738" s="1" t="s">
        <v>1589</v>
      </c>
      <c r="O738" s="1">
        <v>6</v>
      </c>
      <c r="P738" s="1">
        <v>0.48</v>
      </c>
      <c r="Q738" s="22">
        <v>44835</v>
      </c>
      <c r="R738" s="8">
        <v>183.12750007496476</v>
      </c>
      <c r="S738" s="9" t="s">
        <v>2656</v>
      </c>
      <c r="T738" s="8">
        <v>184.50424300578729</v>
      </c>
      <c r="U738" s="9" t="s">
        <v>2656</v>
      </c>
      <c r="V738" s="8">
        <v>204.63402200965547</v>
      </c>
      <c r="W738" s="8" t="s">
        <v>2656</v>
      </c>
      <c r="X738" s="8"/>
    </row>
    <row r="739" spans="1:24" x14ac:dyDescent="0.3">
      <c r="A739" s="1" t="s">
        <v>2127</v>
      </c>
      <c r="B739" s="1" t="s">
        <v>1083</v>
      </c>
      <c r="C739" s="1" t="s">
        <v>1586</v>
      </c>
      <c r="D739" s="1" t="s">
        <v>8</v>
      </c>
      <c r="F739" s="1">
        <v>1974</v>
      </c>
      <c r="G739" s="1" t="s">
        <v>25</v>
      </c>
      <c r="H739" s="1">
        <v>2013</v>
      </c>
      <c r="I739" s="1" t="s">
        <v>1597</v>
      </c>
      <c r="J739" s="6">
        <v>47107</v>
      </c>
      <c r="K739" s="6">
        <v>47107</v>
      </c>
      <c r="L739" s="21">
        <v>1</v>
      </c>
      <c r="M739" s="1">
        <v>511</v>
      </c>
      <c r="N739" s="1" t="s">
        <v>1589</v>
      </c>
      <c r="O739" s="1">
        <v>11</v>
      </c>
      <c r="P739" s="1">
        <v>0.77</v>
      </c>
      <c r="Q739" s="22">
        <v>40522</v>
      </c>
      <c r="R739" s="8">
        <v>200.14660241577684</v>
      </c>
      <c r="S739" s="9" t="s">
        <v>2655</v>
      </c>
      <c r="T739" s="8">
        <v>204.09790476999171</v>
      </c>
      <c r="U739" s="9" t="s">
        <v>2656</v>
      </c>
      <c r="V739" s="8">
        <v>203.1409556966056</v>
      </c>
      <c r="W739" s="8" t="s">
        <v>2656</v>
      </c>
      <c r="X739" s="8"/>
    </row>
    <row r="740" spans="1:24" x14ac:dyDescent="0.3">
      <c r="A740" s="1" t="s">
        <v>180</v>
      </c>
      <c r="B740" s="1" t="s">
        <v>181</v>
      </c>
      <c r="C740" s="1" t="s">
        <v>1586</v>
      </c>
      <c r="D740" s="1" t="s">
        <v>8</v>
      </c>
      <c r="F740" s="1">
        <v>1991</v>
      </c>
      <c r="G740" s="1" t="s">
        <v>19</v>
      </c>
      <c r="H740" s="1">
        <v>2020</v>
      </c>
      <c r="I740" s="1" t="s">
        <v>1601</v>
      </c>
      <c r="J740" s="6">
        <v>16480</v>
      </c>
      <c r="K740" s="6">
        <v>14669</v>
      </c>
      <c r="L740" s="21">
        <v>0.89010922330097086</v>
      </c>
      <c r="M740" s="1">
        <v>0</v>
      </c>
      <c r="N740" s="1" t="s">
        <v>1589</v>
      </c>
      <c r="O740" s="1">
        <v>5</v>
      </c>
      <c r="P740" s="1">
        <v>0.59</v>
      </c>
      <c r="Q740" s="22">
        <v>44986</v>
      </c>
      <c r="R740" s="8">
        <v>155.05150485436891</v>
      </c>
      <c r="S740" s="9" t="s">
        <v>2657</v>
      </c>
      <c r="T740" s="8">
        <v>152.79101941747572</v>
      </c>
      <c r="U740" s="9" t="s">
        <v>2657</v>
      </c>
      <c r="V740" s="8">
        <v>197.07651699029125</v>
      </c>
      <c r="W740" s="8" t="s">
        <v>2656</v>
      </c>
      <c r="X740" s="8"/>
    </row>
    <row r="741" spans="1:24" x14ac:dyDescent="0.3">
      <c r="A741" s="1" t="s">
        <v>1336</v>
      </c>
      <c r="B741" s="1" t="s">
        <v>1337</v>
      </c>
      <c r="C741" s="1" t="s">
        <v>1586</v>
      </c>
      <c r="D741" s="1" t="s">
        <v>8</v>
      </c>
      <c r="F741" s="1">
        <v>2008</v>
      </c>
      <c r="J741" s="6">
        <v>28907</v>
      </c>
      <c r="K741" s="6">
        <v>19536</v>
      </c>
      <c r="L741" s="21">
        <v>0.67582246514685029</v>
      </c>
      <c r="M741" s="1">
        <v>154</v>
      </c>
      <c r="N741" s="1" t="s">
        <v>1589</v>
      </c>
      <c r="O741" s="1">
        <v>12</v>
      </c>
      <c r="P741" s="1">
        <v>0.87</v>
      </c>
      <c r="Q741" s="22">
        <v>42257</v>
      </c>
      <c r="R741" s="8">
        <v>224.62330923305774</v>
      </c>
      <c r="S741" s="9" t="s">
        <v>2655</v>
      </c>
      <c r="T741" s="8">
        <v>200.04498045456117</v>
      </c>
      <c r="U741" s="9" t="s">
        <v>2656</v>
      </c>
      <c r="V741" s="8">
        <v>195.7425018161691</v>
      </c>
      <c r="W741" s="8" t="s">
        <v>2656</v>
      </c>
      <c r="X741" s="8"/>
    </row>
    <row r="742" spans="1:24" x14ac:dyDescent="0.3">
      <c r="A742" s="1" t="s">
        <v>1134</v>
      </c>
      <c r="B742" s="1" t="s">
        <v>1135</v>
      </c>
      <c r="C742" s="1" t="s">
        <v>1586</v>
      </c>
      <c r="D742" s="1" t="s">
        <v>8</v>
      </c>
      <c r="F742" s="1">
        <v>1979</v>
      </c>
      <c r="G742" s="1" t="s">
        <v>25</v>
      </c>
      <c r="H742" s="1">
        <v>2022</v>
      </c>
      <c r="I742" s="1" t="s">
        <v>1601</v>
      </c>
      <c r="J742" s="6">
        <v>19569</v>
      </c>
      <c r="K742" s="6">
        <v>18089</v>
      </c>
      <c r="L742" s="21">
        <v>0.92437017732127347</v>
      </c>
      <c r="M742" s="1">
        <v>0</v>
      </c>
      <c r="N742" s="1" t="s">
        <v>1589</v>
      </c>
      <c r="O742" s="1">
        <v>4</v>
      </c>
      <c r="P742" s="1">
        <v>0.57999999999999996</v>
      </c>
      <c r="Q742" s="22">
        <v>43983</v>
      </c>
      <c r="R742" s="8">
        <v>184.28565588430681</v>
      </c>
      <c r="S742" s="9" t="s">
        <v>2656</v>
      </c>
      <c r="T742" s="8">
        <v>203.28861975573611</v>
      </c>
      <c r="U742" s="9" t="s">
        <v>2656</v>
      </c>
      <c r="V742" s="8">
        <v>192.59520159435843</v>
      </c>
      <c r="W742" s="8" t="s">
        <v>2656</v>
      </c>
      <c r="X742" s="8"/>
    </row>
    <row r="743" spans="1:24" x14ac:dyDescent="0.3">
      <c r="A743" s="1" t="s">
        <v>218</v>
      </c>
      <c r="B743" s="1" t="s">
        <v>219</v>
      </c>
      <c r="C743" s="1" t="s">
        <v>1586</v>
      </c>
      <c r="D743" s="1" t="s">
        <v>8</v>
      </c>
      <c r="F743" s="1">
        <v>1975</v>
      </c>
      <c r="J743" s="6">
        <v>7811</v>
      </c>
      <c r="K743" s="6">
        <v>6300</v>
      </c>
      <c r="L743" s="21">
        <v>0.80655485853283826</v>
      </c>
      <c r="M743" s="1">
        <v>0</v>
      </c>
      <c r="N743" s="1" t="s">
        <v>1787</v>
      </c>
      <c r="O743" s="1" t="s">
        <v>18</v>
      </c>
      <c r="P743" s="1" t="s">
        <v>18</v>
      </c>
      <c r="Q743" s="22" t="s">
        <v>18</v>
      </c>
      <c r="R743" s="8">
        <v>182.81054922545127</v>
      </c>
      <c r="S743" s="9" t="s">
        <v>2656</v>
      </c>
      <c r="T743" s="8">
        <v>183.07381001152223</v>
      </c>
      <c r="U743" s="9" t="s">
        <v>2656</v>
      </c>
      <c r="V743" s="8">
        <v>185.95593649980796</v>
      </c>
      <c r="W743" s="8" t="s">
        <v>2656</v>
      </c>
      <c r="X743" s="8"/>
    </row>
    <row r="744" spans="1:24" x14ac:dyDescent="0.3">
      <c r="A744" s="1" t="s">
        <v>2210</v>
      </c>
      <c r="B744" s="1" t="s">
        <v>257</v>
      </c>
      <c r="C744" s="1" t="s">
        <v>1586</v>
      </c>
      <c r="D744" s="1" t="s">
        <v>8</v>
      </c>
      <c r="F744" s="1">
        <v>1970</v>
      </c>
      <c r="J744" s="6">
        <v>24377</v>
      </c>
      <c r="K744" s="6">
        <v>22470</v>
      </c>
      <c r="L744" s="21">
        <v>0.92177052139311644</v>
      </c>
      <c r="M744" s="1">
        <v>0</v>
      </c>
      <c r="N744" s="1" t="s">
        <v>1589</v>
      </c>
      <c r="O744" s="1">
        <v>4</v>
      </c>
      <c r="P744" s="1" t="s">
        <v>18</v>
      </c>
      <c r="Q744" s="22" t="s">
        <v>18</v>
      </c>
      <c r="R744" s="8">
        <v>189.70314353694053</v>
      </c>
      <c r="S744" s="9" t="s">
        <v>2656</v>
      </c>
      <c r="T744" s="8">
        <v>176.99326004020185</v>
      </c>
      <c r="U744" s="9" t="s">
        <v>2657</v>
      </c>
      <c r="V744" s="8">
        <v>179.61418755384173</v>
      </c>
      <c r="W744" s="8" t="s">
        <v>2657</v>
      </c>
      <c r="X744" s="8"/>
    </row>
    <row r="745" spans="1:24" x14ac:dyDescent="0.3">
      <c r="A745" s="1" t="s">
        <v>2090</v>
      </c>
      <c r="B745" s="1" t="s">
        <v>2091</v>
      </c>
      <c r="C745" s="1" t="s">
        <v>1586</v>
      </c>
      <c r="D745" s="1" t="s">
        <v>8</v>
      </c>
      <c r="F745" s="1">
        <v>1978</v>
      </c>
      <c r="G745" s="1" t="s">
        <v>25</v>
      </c>
      <c r="H745" s="1">
        <v>2020</v>
      </c>
      <c r="I745" s="1" t="s">
        <v>1601</v>
      </c>
      <c r="J745" s="6">
        <v>49701</v>
      </c>
      <c r="K745" s="6">
        <v>49701</v>
      </c>
      <c r="L745" s="21">
        <v>1</v>
      </c>
      <c r="M745" s="1">
        <v>0</v>
      </c>
      <c r="N745" s="1" t="s">
        <v>1589</v>
      </c>
      <c r="O745" s="1">
        <v>1978</v>
      </c>
      <c r="P745" s="1" t="s">
        <v>18</v>
      </c>
      <c r="Q745" s="22" t="s">
        <v>18</v>
      </c>
      <c r="R745" s="8">
        <v>172.04181485281987</v>
      </c>
      <c r="S745" s="9" t="s">
        <v>2656</v>
      </c>
      <c r="T745" s="8">
        <v>171.08156495845157</v>
      </c>
      <c r="U745" s="9" t="s">
        <v>2657</v>
      </c>
      <c r="V745" s="8">
        <v>165.1799297800849</v>
      </c>
      <c r="W745" s="8" t="s">
        <v>2657</v>
      </c>
      <c r="X745" s="8"/>
    </row>
    <row r="746" spans="1:24" x14ac:dyDescent="0.3">
      <c r="A746" s="1" t="s">
        <v>539</v>
      </c>
      <c r="B746" s="1" t="s">
        <v>540</v>
      </c>
      <c r="C746" s="1" t="s">
        <v>1586</v>
      </c>
      <c r="D746" s="1" t="s">
        <v>8</v>
      </c>
      <c r="F746" s="1">
        <v>1996</v>
      </c>
      <c r="G746" s="1" t="s">
        <v>19</v>
      </c>
      <c r="H746" s="1">
        <v>2018</v>
      </c>
      <c r="I746" s="1" t="s">
        <v>1601</v>
      </c>
      <c r="J746" s="6">
        <v>37285</v>
      </c>
      <c r="K746" s="6">
        <v>33399</v>
      </c>
      <c r="L746" s="21">
        <v>0.89577578114523271</v>
      </c>
      <c r="M746" s="1">
        <v>0</v>
      </c>
      <c r="N746" s="1" t="s">
        <v>1589</v>
      </c>
      <c r="O746" s="1">
        <v>13</v>
      </c>
      <c r="P746" s="1">
        <v>0.55000000000000004</v>
      </c>
      <c r="Q746" s="22">
        <v>44977</v>
      </c>
      <c r="R746" s="8">
        <v>198.72061150596755</v>
      </c>
      <c r="S746" s="9" t="s">
        <v>2656</v>
      </c>
      <c r="T746" s="8">
        <v>115.29824326136516</v>
      </c>
      <c r="U746" s="9" t="s">
        <v>2657</v>
      </c>
      <c r="V746" s="8">
        <v>161.53437039023737</v>
      </c>
      <c r="W746" s="8" t="s">
        <v>2657</v>
      </c>
      <c r="X746" s="8"/>
    </row>
    <row r="747" spans="1:24" x14ac:dyDescent="0.3">
      <c r="A747" s="1" t="s">
        <v>616</v>
      </c>
      <c r="B747" s="1" t="s">
        <v>617</v>
      </c>
      <c r="C747" s="1" t="s">
        <v>1586</v>
      </c>
      <c r="D747" s="1" t="s">
        <v>8</v>
      </c>
      <c r="F747" s="1">
        <v>1980</v>
      </c>
      <c r="G747" s="1" t="s">
        <v>25</v>
      </c>
      <c r="H747" s="1">
        <v>2019</v>
      </c>
      <c r="I747" s="1" t="s">
        <v>1601</v>
      </c>
      <c r="J747" s="6">
        <v>48055</v>
      </c>
      <c r="K747" s="6">
        <v>45000</v>
      </c>
      <c r="L747" s="21">
        <v>0.93642701071688694</v>
      </c>
      <c r="M747" s="1">
        <v>0</v>
      </c>
      <c r="N747" s="1" t="s">
        <v>1589</v>
      </c>
      <c r="O747" s="1">
        <v>4</v>
      </c>
      <c r="P747" s="1">
        <v>63</v>
      </c>
      <c r="Q747" s="22">
        <v>44835</v>
      </c>
      <c r="R747" s="8">
        <v>140.80123920507751</v>
      </c>
      <c r="S747" s="9" t="s">
        <v>2657</v>
      </c>
      <c r="T747" s="8">
        <v>147.97754552075747</v>
      </c>
      <c r="U747" s="9" t="s">
        <v>2657</v>
      </c>
      <c r="V747" s="8">
        <v>158.25104796587243</v>
      </c>
      <c r="W747" s="8" t="s">
        <v>2657</v>
      </c>
      <c r="X747" s="8"/>
    </row>
    <row r="748" spans="1:24" x14ac:dyDescent="0.3">
      <c r="A748" s="1" t="s">
        <v>1504</v>
      </c>
      <c r="B748" s="1" t="s">
        <v>1505</v>
      </c>
      <c r="C748" s="1" t="s">
        <v>1586</v>
      </c>
      <c r="D748" s="1" t="s">
        <v>8</v>
      </c>
      <c r="F748" s="1">
        <v>1984</v>
      </c>
      <c r="G748" s="1" t="s">
        <v>25</v>
      </c>
      <c r="H748" s="1">
        <v>2015</v>
      </c>
      <c r="I748" s="1" t="s">
        <v>1601</v>
      </c>
      <c r="J748" s="6">
        <v>25724</v>
      </c>
      <c r="K748" s="6">
        <v>23153</v>
      </c>
      <c r="L748" s="21">
        <v>0.90005442388431034</v>
      </c>
      <c r="M748" s="1">
        <v>0</v>
      </c>
      <c r="N748" s="1" t="s">
        <v>1589</v>
      </c>
      <c r="O748" s="1">
        <v>5</v>
      </c>
      <c r="P748" s="1">
        <v>0.63039999999999996</v>
      </c>
      <c r="Q748" s="22">
        <v>44992</v>
      </c>
      <c r="R748" s="8">
        <v>139.45896439122998</v>
      </c>
      <c r="S748" s="9" t="s">
        <v>2657</v>
      </c>
      <c r="T748" s="8">
        <v>143.28853988493236</v>
      </c>
      <c r="U748" s="9" t="s">
        <v>2657</v>
      </c>
      <c r="V748" s="8">
        <v>144.18314414554501</v>
      </c>
      <c r="W748" s="8" t="s">
        <v>2657</v>
      </c>
      <c r="X748" s="8"/>
    </row>
    <row r="749" spans="1:24" x14ac:dyDescent="0.3">
      <c r="A749" s="1" t="s">
        <v>724</v>
      </c>
      <c r="B749" s="1" t="s">
        <v>2099</v>
      </c>
      <c r="C749" s="1" t="s">
        <v>1586</v>
      </c>
      <c r="D749" s="1" t="s">
        <v>8</v>
      </c>
      <c r="F749" s="1">
        <v>1984</v>
      </c>
      <c r="J749" s="6">
        <v>62543</v>
      </c>
      <c r="K749" s="6">
        <v>60000</v>
      </c>
      <c r="L749" s="21">
        <v>0.95933997409782068</v>
      </c>
      <c r="M749" s="1">
        <v>421</v>
      </c>
      <c r="N749" s="1" t="s">
        <v>1589</v>
      </c>
      <c r="O749" s="1">
        <v>5</v>
      </c>
      <c r="P749" s="1" t="s">
        <v>18</v>
      </c>
      <c r="Q749" s="22" t="s">
        <v>18</v>
      </c>
      <c r="R749" s="8">
        <v>133.48424188158546</v>
      </c>
      <c r="S749" s="9" t="s">
        <v>2657</v>
      </c>
      <c r="T749" s="8">
        <v>124.43180275970134</v>
      </c>
      <c r="U749" s="9" t="s">
        <v>2657</v>
      </c>
      <c r="V749" s="8">
        <v>135.99185280526996</v>
      </c>
      <c r="W749" s="8" t="s">
        <v>2657</v>
      </c>
      <c r="X749" s="8"/>
    </row>
    <row r="750" spans="1:24" x14ac:dyDescent="0.3">
      <c r="A750" s="1" t="s">
        <v>677</v>
      </c>
      <c r="B750" s="1" t="s">
        <v>678</v>
      </c>
      <c r="C750" s="1" t="s">
        <v>1586</v>
      </c>
      <c r="D750" s="1" t="s">
        <v>8</v>
      </c>
      <c r="F750" s="1">
        <v>2008</v>
      </c>
      <c r="G750" s="1" t="s">
        <v>19</v>
      </c>
      <c r="H750" s="1">
        <v>2017</v>
      </c>
      <c r="I750" s="1" t="s">
        <v>1601</v>
      </c>
      <c r="J750" s="6">
        <v>43347</v>
      </c>
      <c r="K750" s="6">
        <v>41158</v>
      </c>
      <c r="L750" s="21">
        <v>0.94950054213671076</v>
      </c>
      <c r="M750" s="1">
        <v>0</v>
      </c>
      <c r="N750" s="1" t="s">
        <v>1589</v>
      </c>
      <c r="O750" s="1">
        <v>5</v>
      </c>
      <c r="P750" s="1" t="s">
        <v>18</v>
      </c>
      <c r="Q750" s="22" t="s">
        <v>18</v>
      </c>
      <c r="R750" s="8">
        <v>121.16859298221328</v>
      </c>
      <c r="S750" s="9" t="s">
        <v>2657</v>
      </c>
      <c r="T750" s="8">
        <v>131.06736683046117</v>
      </c>
      <c r="U750" s="9" t="s">
        <v>2657</v>
      </c>
      <c r="V750" s="8">
        <v>133.14188640505685</v>
      </c>
      <c r="W750" s="8" t="s">
        <v>2657</v>
      </c>
      <c r="X750" s="8"/>
    </row>
    <row r="751" spans="1:24" x14ac:dyDescent="0.3">
      <c r="A751" s="1" t="s">
        <v>2433</v>
      </c>
      <c r="B751" s="1" t="s">
        <v>2434</v>
      </c>
      <c r="C751" s="1" t="s">
        <v>1586</v>
      </c>
      <c r="D751" s="1" t="s">
        <v>8</v>
      </c>
      <c r="F751" s="1">
        <v>2017</v>
      </c>
      <c r="J751" s="6">
        <v>7071</v>
      </c>
      <c r="K751" s="6">
        <v>7071</v>
      </c>
      <c r="L751" s="21">
        <v>1</v>
      </c>
      <c r="M751" s="1">
        <v>0</v>
      </c>
      <c r="N751" s="1" t="s">
        <v>28</v>
      </c>
      <c r="O751" s="1" t="s">
        <v>18</v>
      </c>
      <c r="P751" s="1" t="s">
        <v>18</v>
      </c>
      <c r="Q751" s="22" t="s">
        <v>18</v>
      </c>
      <c r="R751" s="8">
        <v>111.40881063498797</v>
      </c>
      <c r="S751" s="9" t="s">
        <v>2657</v>
      </c>
      <c r="T751" s="8">
        <v>116.53551548578702</v>
      </c>
      <c r="U751" s="9" t="s">
        <v>2657</v>
      </c>
      <c r="V751" s="8">
        <v>125.88194314806958</v>
      </c>
      <c r="W751" s="8" t="s">
        <v>2657</v>
      </c>
      <c r="X751" s="8"/>
    </row>
    <row r="752" spans="1:24" x14ac:dyDescent="0.3">
      <c r="A752" s="1" t="s">
        <v>1522</v>
      </c>
      <c r="B752" s="1" t="s">
        <v>1523</v>
      </c>
      <c r="C752" s="1" t="s">
        <v>1586</v>
      </c>
      <c r="D752" s="1" t="s">
        <v>8</v>
      </c>
      <c r="F752" s="1">
        <v>1981</v>
      </c>
      <c r="G752" s="1" t="s">
        <v>21</v>
      </c>
      <c r="H752" s="1">
        <v>2018</v>
      </c>
      <c r="I752" s="1" t="s">
        <v>1601</v>
      </c>
      <c r="J752" s="6">
        <v>22772</v>
      </c>
      <c r="K752" s="6">
        <v>19356</v>
      </c>
      <c r="L752" s="21">
        <v>0.84999121728438432</v>
      </c>
      <c r="M752" s="1">
        <v>0</v>
      </c>
      <c r="N752" s="1" t="s">
        <v>1589</v>
      </c>
      <c r="O752" s="1">
        <v>7</v>
      </c>
      <c r="P752" s="1">
        <v>0.62</v>
      </c>
      <c r="Q752" s="22">
        <v>44910</v>
      </c>
      <c r="R752" s="8">
        <v>105.02778895134375</v>
      </c>
      <c r="S752" s="9" t="s">
        <v>2657</v>
      </c>
      <c r="T752" s="8">
        <v>115.34919813806432</v>
      </c>
      <c r="U752" s="9" t="s">
        <v>2657</v>
      </c>
      <c r="V752" s="8">
        <v>107.68265545406641</v>
      </c>
      <c r="W752" s="8" t="s">
        <v>2657</v>
      </c>
      <c r="X752" s="8"/>
    </row>
    <row r="753" spans="1:24" x14ac:dyDescent="0.3">
      <c r="A753" s="1" t="s">
        <v>1831</v>
      </c>
      <c r="B753" s="1" t="s">
        <v>1832</v>
      </c>
      <c r="C753" s="1" t="s">
        <v>1586</v>
      </c>
      <c r="D753" s="1" t="s">
        <v>8</v>
      </c>
      <c r="F753" s="1">
        <v>1975</v>
      </c>
      <c r="G753" s="1" t="s">
        <v>25</v>
      </c>
      <c r="H753" s="1">
        <v>2022</v>
      </c>
      <c r="I753" s="1" t="s">
        <v>1599</v>
      </c>
      <c r="J753" s="6">
        <v>42809</v>
      </c>
      <c r="K753" s="6">
        <v>37624</v>
      </c>
      <c r="L753" s="21">
        <v>0.87888060921768785</v>
      </c>
      <c r="M753" s="1">
        <v>0</v>
      </c>
      <c r="N753" s="1" t="s">
        <v>1589</v>
      </c>
      <c r="O753" s="1">
        <v>9</v>
      </c>
      <c r="P753" s="1">
        <v>0.61</v>
      </c>
      <c r="Q753" s="22">
        <v>43281</v>
      </c>
      <c r="R753" s="8">
        <v>123.41636735265949</v>
      </c>
      <c r="S753" s="9" t="s">
        <v>2657</v>
      </c>
      <c r="T753" s="8">
        <v>102.70934219439835</v>
      </c>
      <c r="U753" s="9" t="s">
        <v>2657</v>
      </c>
      <c r="V753" s="8">
        <v>106.87767969352238</v>
      </c>
      <c r="W753" s="8" t="s">
        <v>2657</v>
      </c>
      <c r="X753" s="8"/>
    </row>
    <row r="754" spans="1:24" x14ac:dyDescent="0.3">
      <c r="A754" s="1" t="s">
        <v>1297</v>
      </c>
      <c r="B754" s="1" t="s">
        <v>1298</v>
      </c>
      <c r="C754" s="1" t="s">
        <v>1586</v>
      </c>
      <c r="D754" s="1" t="s">
        <v>8</v>
      </c>
      <c r="F754" s="1">
        <v>1986</v>
      </c>
      <c r="G754" s="1" t="s">
        <v>25</v>
      </c>
      <c r="H754" s="1">
        <v>2019</v>
      </c>
      <c r="I754" s="1" t="s">
        <v>1597</v>
      </c>
      <c r="J754" s="6">
        <v>26881.279999999999</v>
      </c>
      <c r="K754" s="6">
        <v>9874</v>
      </c>
      <c r="L754" s="21">
        <v>0.36731881815151662</v>
      </c>
      <c r="M754" s="1">
        <v>0</v>
      </c>
      <c r="N754" s="1" t="s">
        <v>28</v>
      </c>
      <c r="O754" s="1" t="s">
        <v>18</v>
      </c>
      <c r="P754" s="1" t="s">
        <v>18</v>
      </c>
      <c r="Q754" s="22" t="s">
        <v>18</v>
      </c>
      <c r="R754" s="8">
        <v>104.01396771284701</v>
      </c>
      <c r="S754" s="9" t="s">
        <v>2657</v>
      </c>
      <c r="T754" s="8">
        <v>87.56307288938622</v>
      </c>
      <c r="U754" s="9" t="s">
        <v>2657</v>
      </c>
      <c r="V754" s="8">
        <v>94.210106066377804</v>
      </c>
      <c r="W754" s="8" t="s">
        <v>2657</v>
      </c>
      <c r="X754" s="8"/>
    </row>
    <row r="755" spans="1:24" x14ac:dyDescent="0.3">
      <c r="A755" s="1" t="s">
        <v>2285</v>
      </c>
      <c r="B755" s="1" t="s">
        <v>68</v>
      </c>
      <c r="C755" s="1" t="s">
        <v>1586</v>
      </c>
      <c r="D755" s="1" t="s">
        <v>8</v>
      </c>
      <c r="F755" s="1">
        <v>1974</v>
      </c>
      <c r="J755" s="6">
        <v>11880</v>
      </c>
      <c r="K755" s="6">
        <v>7600</v>
      </c>
      <c r="L755" s="21">
        <v>0.63973063973063971</v>
      </c>
      <c r="M755" s="1">
        <v>0</v>
      </c>
      <c r="N755" s="1" t="s">
        <v>28</v>
      </c>
      <c r="O755" s="1" t="s">
        <v>18</v>
      </c>
      <c r="P755" s="1" t="s">
        <v>18</v>
      </c>
      <c r="Q755" s="22" t="s">
        <v>18</v>
      </c>
      <c r="R755" s="8">
        <v>56.606476430976414</v>
      </c>
      <c r="S755" s="9" t="s">
        <v>2657</v>
      </c>
      <c r="T755" s="8">
        <v>64.209974747474746</v>
      </c>
      <c r="U755" s="9" t="s">
        <v>2657</v>
      </c>
      <c r="V755" s="8">
        <v>63.831016835016833</v>
      </c>
      <c r="W755" s="8" t="s">
        <v>2657</v>
      </c>
      <c r="X755" s="8"/>
    </row>
    <row r="756" spans="1:24" x14ac:dyDescent="0.3">
      <c r="A756" s="1" t="s">
        <v>2139</v>
      </c>
      <c r="B756" s="1" t="s">
        <v>601</v>
      </c>
      <c r="C756" s="1" t="s">
        <v>1586</v>
      </c>
      <c r="D756" s="1" t="s">
        <v>8</v>
      </c>
      <c r="F756" s="1">
        <v>2009</v>
      </c>
      <c r="G756" s="1" t="s">
        <v>25</v>
      </c>
      <c r="H756" s="1">
        <v>2015</v>
      </c>
      <c r="I756" s="1" t="s">
        <v>1598</v>
      </c>
      <c r="J756" s="6">
        <v>97108</v>
      </c>
      <c r="K756" s="6">
        <v>30523</v>
      </c>
      <c r="L756" s="21">
        <v>0.31432013840260331</v>
      </c>
      <c r="M756" s="1">
        <v>387</v>
      </c>
      <c r="N756" s="1" t="s">
        <v>1821</v>
      </c>
      <c r="O756" s="1" t="s">
        <v>18</v>
      </c>
      <c r="P756" s="1">
        <v>0.69</v>
      </c>
      <c r="Q756" s="22">
        <v>43791</v>
      </c>
      <c r="R756" s="8"/>
      <c r="S756" s="9"/>
      <c r="T756" s="8"/>
      <c r="U756" s="9"/>
      <c r="V756" s="8"/>
      <c r="W756" s="8"/>
      <c r="X756" s="8"/>
    </row>
    <row r="757" spans="1:24" x14ac:dyDescent="0.3">
      <c r="A757" s="1" t="s">
        <v>2162</v>
      </c>
      <c r="B757" s="1" t="s">
        <v>2163</v>
      </c>
      <c r="C757" s="1" t="s">
        <v>1586</v>
      </c>
      <c r="D757" s="1" t="s">
        <v>8</v>
      </c>
      <c r="F757" s="1">
        <v>2013</v>
      </c>
      <c r="J757" s="6">
        <v>11794.1</v>
      </c>
      <c r="K757" s="6">
        <v>10436</v>
      </c>
      <c r="L757" s="21">
        <v>0.8848492042631485</v>
      </c>
      <c r="M757" s="1">
        <v>126</v>
      </c>
      <c r="N757" s="1" t="s">
        <v>1589</v>
      </c>
      <c r="O757" s="1">
        <v>2013</v>
      </c>
      <c r="P757" s="1" t="s">
        <v>18</v>
      </c>
      <c r="Q757" s="22" t="s">
        <v>18</v>
      </c>
      <c r="R757" s="8"/>
      <c r="S757" s="9"/>
      <c r="T757" s="8"/>
      <c r="U757" s="9"/>
      <c r="V757" s="8"/>
      <c r="W757" s="8"/>
      <c r="X757" s="8"/>
    </row>
    <row r="758" spans="1:24" x14ac:dyDescent="0.3">
      <c r="A758" s="1" t="s">
        <v>2383</v>
      </c>
      <c r="B758" s="1" t="s">
        <v>2384</v>
      </c>
      <c r="C758" s="1" t="s">
        <v>1586</v>
      </c>
      <c r="D758" s="1" t="s">
        <v>8</v>
      </c>
      <c r="F758" s="1">
        <v>1971</v>
      </c>
      <c r="G758" s="1" t="s">
        <v>25</v>
      </c>
      <c r="H758" s="1">
        <v>2022</v>
      </c>
      <c r="I758" s="1" t="s">
        <v>1818</v>
      </c>
      <c r="J758" s="6">
        <v>21045</v>
      </c>
      <c r="K758" s="6">
        <v>18941</v>
      </c>
      <c r="L758" s="21">
        <v>0.90002375861249706</v>
      </c>
      <c r="M758" s="1">
        <v>346</v>
      </c>
      <c r="N758" s="1" t="s">
        <v>1589</v>
      </c>
      <c r="O758" s="1">
        <v>0</v>
      </c>
      <c r="P758" s="1">
        <v>1.1259999999999999</v>
      </c>
      <c r="Q758" s="22">
        <v>45008</v>
      </c>
      <c r="R758" s="8"/>
      <c r="S758" s="9"/>
      <c r="T758" s="8"/>
      <c r="U758" s="9"/>
      <c r="V758" s="8"/>
      <c r="W758" s="8"/>
      <c r="X758" s="8"/>
    </row>
    <row r="759" spans="1:24" x14ac:dyDescent="0.3">
      <c r="A759" s="1" t="s">
        <v>97</v>
      </c>
      <c r="B759" s="1" t="s">
        <v>2121</v>
      </c>
      <c r="C759" s="1" t="s">
        <v>1587</v>
      </c>
      <c r="D759" s="1" t="s">
        <v>9</v>
      </c>
      <c r="F759" s="1">
        <v>1981</v>
      </c>
      <c r="J759" s="6">
        <v>172666.55</v>
      </c>
      <c r="K759" s="6">
        <v>164580</v>
      </c>
      <c r="L759" s="21">
        <v>0.95316666719755516</v>
      </c>
      <c r="M759" s="1">
        <v>0</v>
      </c>
      <c r="N759" s="1" t="s">
        <v>1589</v>
      </c>
      <c r="O759" s="1">
        <v>23</v>
      </c>
      <c r="P759" s="1">
        <v>1.48</v>
      </c>
      <c r="Q759" s="22">
        <v>44797</v>
      </c>
      <c r="R759" s="8">
        <v>639.8813059043573</v>
      </c>
      <c r="S759" s="9">
        <v>17</v>
      </c>
      <c r="T759" s="8">
        <v>618.64994986000477</v>
      </c>
      <c r="U759" s="9">
        <v>17</v>
      </c>
      <c r="V759" s="8">
        <v>594.8096055663359</v>
      </c>
      <c r="W759" s="8">
        <v>17</v>
      </c>
      <c r="X759" s="8"/>
    </row>
    <row r="760" spans="1:24" x14ac:dyDescent="0.3">
      <c r="A760" s="1" t="s">
        <v>663</v>
      </c>
      <c r="B760" s="1" t="s">
        <v>2385</v>
      </c>
      <c r="C760" s="1" t="s">
        <v>1587</v>
      </c>
      <c r="D760" s="1" t="s">
        <v>9</v>
      </c>
      <c r="F760" s="1">
        <v>1993</v>
      </c>
      <c r="J760" s="6">
        <v>42243</v>
      </c>
      <c r="K760" s="6">
        <v>42243</v>
      </c>
      <c r="L760" s="21">
        <v>1</v>
      </c>
      <c r="M760" s="1">
        <v>0</v>
      </c>
      <c r="N760" s="1" t="s">
        <v>1589</v>
      </c>
      <c r="O760" s="1">
        <v>11</v>
      </c>
      <c r="P760" s="1" t="s">
        <v>18</v>
      </c>
      <c r="Q760" s="22" t="s">
        <v>18</v>
      </c>
      <c r="R760" s="8">
        <v>392.12378382217173</v>
      </c>
      <c r="S760" s="9">
        <v>16</v>
      </c>
      <c r="T760" s="8">
        <v>416.20137064128966</v>
      </c>
      <c r="U760" s="9">
        <v>16</v>
      </c>
      <c r="V760" s="8">
        <v>406.84988045356624</v>
      </c>
      <c r="W760" s="8">
        <v>16</v>
      </c>
      <c r="X760" s="8"/>
    </row>
    <row r="761" spans="1:24" x14ac:dyDescent="0.3">
      <c r="A761" s="1" t="s">
        <v>1576</v>
      </c>
      <c r="B761" s="1" t="s">
        <v>1577</v>
      </c>
      <c r="C761" s="1" t="s">
        <v>1587</v>
      </c>
      <c r="D761" s="1" t="s">
        <v>9</v>
      </c>
      <c r="F761" s="1">
        <v>1979</v>
      </c>
      <c r="J761" s="6">
        <v>10994</v>
      </c>
      <c r="K761" s="6">
        <v>10763</v>
      </c>
      <c r="L761" s="21">
        <v>0.97898853920320172</v>
      </c>
      <c r="M761" s="1">
        <v>0</v>
      </c>
      <c r="N761" s="1" t="s">
        <v>1589</v>
      </c>
      <c r="O761" s="1">
        <v>10</v>
      </c>
      <c r="P761" s="1" t="s">
        <v>18</v>
      </c>
      <c r="Q761" s="22" t="s">
        <v>18</v>
      </c>
      <c r="R761" s="8">
        <v>386.47030653083499</v>
      </c>
      <c r="S761" s="9">
        <v>15</v>
      </c>
      <c r="T761" s="8">
        <v>402.94108149899944</v>
      </c>
      <c r="U761" s="9">
        <v>15</v>
      </c>
      <c r="V761" s="8">
        <v>396.12744042204838</v>
      </c>
      <c r="W761" s="8">
        <v>15</v>
      </c>
      <c r="X761" s="8"/>
    </row>
    <row r="762" spans="1:24" x14ac:dyDescent="0.3">
      <c r="A762" s="1" t="s">
        <v>83</v>
      </c>
      <c r="B762" s="1" t="s">
        <v>84</v>
      </c>
      <c r="C762" s="1" t="s">
        <v>1587</v>
      </c>
      <c r="D762" s="1" t="s">
        <v>9</v>
      </c>
      <c r="F762" s="1">
        <v>1997</v>
      </c>
      <c r="J762" s="6">
        <v>124686</v>
      </c>
      <c r="K762" s="6">
        <v>81768</v>
      </c>
      <c r="L762" s="21">
        <v>0.65579134786583904</v>
      </c>
      <c r="M762" s="1">
        <v>0</v>
      </c>
      <c r="N762" s="1" t="s">
        <v>1589</v>
      </c>
      <c r="O762" s="1">
        <v>12</v>
      </c>
      <c r="P762" s="1">
        <v>0.99</v>
      </c>
      <c r="Q762" s="22">
        <v>41670</v>
      </c>
      <c r="R762" s="8">
        <v>331.64862935694464</v>
      </c>
      <c r="S762" s="9">
        <v>11</v>
      </c>
      <c r="T762" s="8">
        <v>355.33990985355211</v>
      </c>
      <c r="U762" s="9">
        <v>12</v>
      </c>
      <c r="V762" s="8">
        <v>365.48181030749242</v>
      </c>
      <c r="W762" s="8">
        <v>14</v>
      </c>
      <c r="X762" s="8"/>
    </row>
    <row r="763" spans="1:24" x14ac:dyDescent="0.3">
      <c r="A763" s="1" t="s">
        <v>305</v>
      </c>
      <c r="B763" s="1" t="s">
        <v>306</v>
      </c>
      <c r="C763" s="1" t="s">
        <v>1587</v>
      </c>
      <c r="D763" s="1" t="s">
        <v>9</v>
      </c>
      <c r="F763" s="1">
        <v>1999</v>
      </c>
      <c r="G763" s="1" t="s">
        <v>19</v>
      </c>
      <c r="H763" s="1">
        <v>2006</v>
      </c>
      <c r="I763" s="1" t="s">
        <v>1610</v>
      </c>
      <c r="J763" s="6">
        <v>179917</v>
      </c>
      <c r="K763" s="6">
        <v>148371</v>
      </c>
      <c r="L763" s="21">
        <v>0.82466359487986129</v>
      </c>
      <c r="M763" s="1">
        <v>1200</v>
      </c>
      <c r="N763" s="1" t="s">
        <v>1589</v>
      </c>
      <c r="O763" s="1">
        <v>24</v>
      </c>
      <c r="P763" s="1">
        <v>0.8</v>
      </c>
      <c r="Q763" s="22">
        <v>44313</v>
      </c>
      <c r="R763" s="8">
        <v>329.71364880190612</v>
      </c>
      <c r="S763" s="9">
        <v>10</v>
      </c>
      <c r="T763" s="8">
        <v>357.94541670568407</v>
      </c>
      <c r="U763" s="9">
        <v>14</v>
      </c>
      <c r="V763" s="8">
        <v>361.78129709398507</v>
      </c>
      <c r="W763" s="8">
        <v>13</v>
      </c>
      <c r="X763" s="8"/>
    </row>
    <row r="764" spans="1:24" x14ac:dyDescent="0.3">
      <c r="A764" s="1" t="s">
        <v>1876</v>
      </c>
      <c r="B764" s="1" t="s">
        <v>262</v>
      </c>
      <c r="C764" s="1" t="s">
        <v>1587</v>
      </c>
      <c r="D764" s="1" t="s">
        <v>9</v>
      </c>
      <c r="F764" s="1">
        <v>2012</v>
      </c>
      <c r="G764" s="1" t="s">
        <v>19</v>
      </c>
      <c r="H764" s="1">
        <v>2019</v>
      </c>
      <c r="I764" s="1" t="s">
        <v>1603</v>
      </c>
      <c r="J764" s="6">
        <v>72334</v>
      </c>
      <c r="K764" s="6">
        <v>70000</v>
      </c>
      <c r="L764" s="21">
        <v>0.96773301628556418</v>
      </c>
      <c r="M764" s="1">
        <v>333</v>
      </c>
      <c r="N764" s="1" t="s">
        <v>1589</v>
      </c>
      <c r="O764" s="1">
        <v>10</v>
      </c>
      <c r="P764" s="1" t="s">
        <v>18</v>
      </c>
      <c r="Q764" s="22" t="s">
        <v>18</v>
      </c>
      <c r="R764" s="8">
        <v>361.12973152321177</v>
      </c>
      <c r="S764" s="9">
        <v>14</v>
      </c>
      <c r="T764" s="8">
        <v>357.8181353167252</v>
      </c>
      <c r="U764" s="9">
        <v>13</v>
      </c>
      <c r="V764" s="8">
        <v>348.80325987778912</v>
      </c>
      <c r="W764" s="8">
        <v>12</v>
      </c>
      <c r="X764" s="8"/>
    </row>
    <row r="765" spans="1:24" x14ac:dyDescent="0.3">
      <c r="A765" s="1" t="s">
        <v>1089</v>
      </c>
      <c r="B765" s="1" t="s">
        <v>1090</v>
      </c>
      <c r="C765" s="1" t="s">
        <v>1587</v>
      </c>
      <c r="D765" s="1" t="s">
        <v>9</v>
      </c>
      <c r="F765" s="1">
        <v>1979</v>
      </c>
      <c r="J765" s="6">
        <v>55097</v>
      </c>
      <c r="K765" s="6">
        <v>54958</v>
      </c>
      <c r="L765" s="21">
        <v>0.99747717661578672</v>
      </c>
      <c r="M765" s="1">
        <v>284</v>
      </c>
      <c r="N765" s="1" t="s">
        <v>1589</v>
      </c>
      <c r="O765" s="1">
        <v>4</v>
      </c>
      <c r="P765" s="1" t="s">
        <v>18</v>
      </c>
      <c r="Q765" s="22" t="s">
        <v>18</v>
      </c>
      <c r="R765" s="8">
        <v>350.1219667132512</v>
      </c>
      <c r="S765" s="9">
        <v>12</v>
      </c>
      <c r="T765" s="8">
        <v>346.93264606058403</v>
      </c>
      <c r="U765" s="9">
        <v>10</v>
      </c>
      <c r="V765" s="8">
        <v>344.02119897635077</v>
      </c>
      <c r="W765" s="8">
        <v>11</v>
      </c>
      <c r="X765" s="8"/>
    </row>
    <row r="766" spans="1:24" x14ac:dyDescent="0.3">
      <c r="A766" s="1" t="s">
        <v>102</v>
      </c>
      <c r="B766" s="1" t="s">
        <v>103</v>
      </c>
      <c r="C766" s="1" t="s">
        <v>1587</v>
      </c>
      <c r="D766" s="1" t="s">
        <v>9</v>
      </c>
      <c r="F766" s="1">
        <v>1998</v>
      </c>
      <c r="J766" s="6">
        <v>112947</v>
      </c>
      <c r="K766" s="6">
        <v>74061</v>
      </c>
      <c r="L766" s="21">
        <v>0.65571462721453422</v>
      </c>
      <c r="M766" s="1">
        <v>0</v>
      </c>
      <c r="N766" s="1" t="s">
        <v>1589</v>
      </c>
      <c r="O766" s="1">
        <v>12</v>
      </c>
      <c r="P766" s="1" t="s">
        <v>18</v>
      </c>
      <c r="Q766" s="22" t="s">
        <v>18</v>
      </c>
      <c r="R766" s="8">
        <v>351.10389828857785</v>
      </c>
      <c r="S766" s="9">
        <v>13</v>
      </c>
      <c r="T766" s="8">
        <v>350.9192541634572</v>
      </c>
      <c r="U766" s="9">
        <v>11</v>
      </c>
      <c r="V766" s="8">
        <v>343.78124252968206</v>
      </c>
      <c r="W766" s="8">
        <v>10</v>
      </c>
      <c r="X766" s="8"/>
    </row>
    <row r="767" spans="1:24" x14ac:dyDescent="0.3">
      <c r="A767" s="1" t="s">
        <v>112</v>
      </c>
      <c r="B767" s="1" t="s">
        <v>2605</v>
      </c>
      <c r="C767" s="1" t="s">
        <v>1587</v>
      </c>
      <c r="D767" s="1" t="s">
        <v>9</v>
      </c>
      <c r="F767" s="1">
        <v>2010</v>
      </c>
      <c r="J767" s="6">
        <v>103534</v>
      </c>
      <c r="K767" s="6">
        <v>63491</v>
      </c>
      <c r="L767" s="21">
        <v>0.61323816330867154</v>
      </c>
      <c r="M767" s="1">
        <v>0</v>
      </c>
      <c r="N767" s="1" t="s">
        <v>1589</v>
      </c>
      <c r="O767" s="1">
        <v>10</v>
      </c>
      <c r="Q767" s="22"/>
      <c r="R767" s="8">
        <v>328.29224216199509</v>
      </c>
      <c r="S767" s="9">
        <v>9</v>
      </c>
      <c r="T767" s="8">
        <v>327.19683389031621</v>
      </c>
      <c r="U767" s="9">
        <v>9</v>
      </c>
      <c r="V767" s="8">
        <v>320.16185504278786</v>
      </c>
      <c r="W767" s="8">
        <v>9</v>
      </c>
      <c r="X767" s="8"/>
    </row>
    <row r="768" spans="1:24" x14ac:dyDescent="0.3">
      <c r="A768" s="1" t="s">
        <v>730</v>
      </c>
      <c r="B768" s="1" t="s">
        <v>1857</v>
      </c>
      <c r="C768" s="1" t="s">
        <v>1587</v>
      </c>
      <c r="D768" s="1" t="s">
        <v>9</v>
      </c>
      <c r="F768" s="1">
        <v>1975</v>
      </c>
      <c r="G768" s="1" t="s">
        <v>47</v>
      </c>
      <c r="H768" s="1">
        <v>2020</v>
      </c>
      <c r="I768" s="1" t="s">
        <v>1601</v>
      </c>
      <c r="J768" s="6">
        <v>12515</v>
      </c>
      <c r="K768" s="6">
        <v>12515</v>
      </c>
      <c r="L768" s="21">
        <v>1</v>
      </c>
      <c r="M768" s="1">
        <v>0</v>
      </c>
      <c r="N768" s="1" t="s">
        <v>1589</v>
      </c>
      <c r="O768" s="1">
        <v>4</v>
      </c>
      <c r="P768" s="1">
        <v>0.75</v>
      </c>
      <c r="Q768" s="22">
        <v>44084</v>
      </c>
      <c r="R768" s="8">
        <v>323.29373551737916</v>
      </c>
      <c r="S768" s="9">
        <v>8</v>
      </c>
      <c r="T768" s="8">
        <v>314.7662924490611</v>
      </c>
      <c r="U768" s="9">
        <v>6</v>
      </c>
      <c r="V768" s="8">
        <v>319.64751338393927</v>
      </c>
      <c r="W768" s="8">
        <v>8</v>
      </c>
      <c r="X768" s="8"/>
    </row>
    <row r="769" spans="1:24" x14ac:dyDescent="0.3">
      <c r="A769" s="1" t="s">
        <v>1873</v>
      </c>
      <c r="B769" s="1" t="s">
        <v>1874</v>
      </c>
      <c r="C769" s="1" t="s">
        <v>1587</v>
      </c>
      <c r="D769" s="1" t="s">
        <v>9</v>
      </c>
      <c r="F769" s="1">
        <v>1940</v>
      </c>
      <c r="G769" s="1" t="s">
        <v>19</v>
      </c>
      <c r="H769" s="1">
        <v>2022</v>
      </c>
      <c r="I769" s="1" t="s">
        <v>1875</v>
      </c>
      <c r="J769" s="6">
        <v>42293</v>
      </c>
      <c r="K769" s="6">
        <v>33778</v>
      </c>
      <c r="L769" s="21">
        <v>0.79866644598396896</v>
      </c>
      <c r="M769" s="1">
        <v>0</v>
      </c>
      <c r="N769" s="1" t="s">
        <v>1590</v>
      </c>
      <c r="O769" s="1" t="s">
        <v>18</v>
      </c>
      <c r="P769" s="1" t="s">
        <v>18</v>
      </c>
      <c r="Q769" s="22" t="s">
        <v>18</v>
      </c>
      <c r="R769" s="8">
        <v>306.49823847918094</v>
      </c>
      <c r="S769" s="9">
        <v>6</v>
      </c>
      <c r="T769" s="8">
        <v>322.78457427943158</v>
      </c>
      <c r="U769" s="9">
        <v>8</v>
      </c>
      <c r="V769" s="8">
        <v>310.39888397607172</v>
      </c>
      <c r="W769" s="8">
        <v>7</v>
      </c>
      <c r="X769" s="8"/>
    </row>
    <row r="770" spans="1:24" x14ac:dyDescent="0.3">
      <c r="A770" s="1" t="s">
        <v>940</v>
      </c>
      <c r="B770" s="1" t="s">
        <v>2019</v>
      </c>
      <c r="C770" s="1" t="s">
        <v>1587</v>
      </c>
      <c r="D770" s="1" t="s">
        <v>9</v>
      </c>
      <c r="F770" s="1">
        <v>2017</v>
      </c>
      <c r="G770" s="1" t="s">
        <v>19</v>
      </c>
      <c r="H770" s="1">
        <v>2023</v>
      </c>
      <c r="I770" s="1" t="s">
        <v>1783</v>
      </c>
      <c r="J770" s="6">
        <v>288000</v>
      </c>
      <c r="K770" s="6">
        <v>158344</v>
      </c>
      <c r="L770" s="21">
        <v>0.54980555555555555</v>
      </c>
      <c r="M770" s="1">
        <v>0</v>
      </c>
      <c r="N770" s="1" t="s">
        <v>1589</v>
      </c>
      <c r="O770" s="1">
        <v>6</v>
      </c>
      <c r="P770" s="1">
        <v>0.6159</v>
      </c>
      <c r="Q770" s="22">
        <v>44774</v>
      </c>
      <c r="R770" s="8">
        <v>276.04893333333331</v>
      </c>
      <c r="S770" s="9">
        <v>5</v>
      </c>
      <c r="T770" s="8">
        <v>279.39196666666669</v>
      </c>
      <c r="U770" s="9">
        <v>5</v>
      </c>
      <c r="V770" s="8">
        <v>282.35132222222222</v>
      </c>
      <c r="W770" s="8">
        <v>6</v>
      </c>
      <c r="X770" s="8"/>
    </row>
    <row r="771" spans="1:24" x14ac:dyDescent="0.3">
      <c r="A771" s="1" t="s">
        <v>893</v>
      </c>
      <c r="B771" s="1" t="s">
        <v>894</v>
      </c>
      <c r="C771" s="1" t="s">
        <v>1587</v>
      </c>
      <c r="D771" s="1" t="s">
        <v>9</v>
      </c>
      <c r="F771" s="1">
        <v>2001</v>
      </c>
      <c r="G771" s="1" t="s">
        <v>47</v>
      </c>
      <c r="H771" s="1">
        <v>2019</v>
      </c>
      <c r="I771" s="1" t="s">
        <v>1601</v>
      </c>
      <c r="J771" s="6">
        <v>49272</v>
      </c>
      <c r="K771" s="6">
        <v>39371</v>
      </c>
      <c r="L771" s="21">
        <v>0.79905422958272443</v>
      </c>
      <c r="M771" s="1">
        <v>0</v>
      </c>
      <c r="N771" s="1" t="s">
        <v>1589</v>
      </c>
      <c r="O771" s="1">
        <v>6</v>
      </c>
      <c r="P771" s="1">
        <v>0.65</v>
      </c>
      <c r="Q771" s="22">
        <v>44671</v>
      </c>
      <c r="R771" s="8">
        <v>269.88431563565513</v>
      </c>
      <c r="S771" s="9">
        <v>4</v>
      </c>
      <c r="T771" s="8">
        <v>275.19337554797858</v>
      </c>
      <c r="U771" s="9">
        <v>4</v>
      </c>
      <c r="V771" s="8">
        <v>266.54437408670242</v>
      </c>
      <c r="W771" s="8">
        <v>5</v>
      </c>
      <c r="X771" s="8"/>
    </row>
    <row r="772" spans="1:24" x14ac:dyDescent="0.3">
      <c r="A772" s="1" t="s">
        <v>1745</v>
      </c>
      <c r="B772" s="1" t="s">
        <v>1381</v>
      </c>
      <c r="C772" s="1" t="s">
        <v>1587</v>
      </c>
      <c r="D772" s="1" t="s">
        <v>9</v>
      </c>
      <c r="F772" s="1">
        <v>2015</v>
      </c>
      <c r="J772" s="6">
        <v>186357</v>
      </c>
      <c r="K772" s="6">
        <v>130612</v>
      </c>
      <c r="L772" s="21">
        <v>0.70086983585269136</v>
      </c>
      <c r="M772" s="1">
        <v>0</v>
      </c>
      <c r="N772" s="1" t="s">
        <v>1589</v>
      </c>
      <c r="O772" s="1">
        <v>4</v>
      </c>
      <c r="Q772" s="22"/>
      <c r="R772" s="8">
        <v>263.58511888472128</v>
      </c>
      <c r="S772" s="9">
        <v>3</v>
      </c>
      <c r="T772" s="8">
        <v>256.94238477760427</v>
      </c>
      <c r="U772" s="9">
        <v>3</v>
      </c>
      <c r="V772" s="8">
        <v>249.97985318501586</v>
      </c>
      <c r="W772" s="8">
        <v>4</v>
      </c>
      <c r="X772" s="8"/>
    </row>
    <row r="773" spans="1:24" x14ac:dyDescent="0.3">
      <c r="A773" s="1" t="s">
        <v>2325</v>
      </c>
      <c r="B773" s="1" t="s">
        <v>2326</v>
      </c>
      <c r="C773" s="1" t="s">
        <v>1587</v>
      </c>
      <c r="D773" s="1" t="s">
        <v>9</v>
      </c>
      <c r="F773" s="1">
        <v>1993</v>
      </c>
      <c r="G773" s="1" t="s">
        <v>25</v>
      </c>
      <c r="H773" s="1">
        <v>2017</v>
      </c>
      <c r="I773" s="1" t="s">
        <v>1598</v>
      </c>
      <c r="J773" s="6">
        <v>20321.52</v>
      </c>
      <c r="K773" s="6">
        <v>17199</v>
      </c>
      <c r="L773" s="21">
        <v>0.84634417110531102</v>
      </c>
      <c r="M773" s="1">
        <v>0</v>
      </c>
      <c r="N773" s="1" t="s">
        <v>1589</v>
      </c>
      <c r="O773" s="1">
        <v>7</v>
      </c>
      <c r="P773" s="1" t="s">
        <v>18</v>
      </c>
      <c r="Q773" s="22" t="s">
        <v>18</v>
      </c>
      <c r="R773" s="8">
        <v>247.15569996732526</v>
      </c>
      <c r="S773" s="9">
        <v>2</v>
      </c>
      <c r="T773" s="8">
        <v>234.17989894456713</v>
      </c>
      <c r="U773" s="9">
        <v>2</v>
      </c>
      <c r="V773" s="8">
        <v>234.91129108452517</v>
      </c>
      <c r="W773" s="8">
        <v>3</v>
      </c>
      <c r="X773" s="8"/>
    </row>
    <row r="774" spans="1:24" x14ac:dyDescent="0.3">
      <c r="A774" s="1" t="s">
        <v>2335</v>
      </c>
      <c r="B774" s="1" t="s">
        <v>2336</v>
      </c>
      <c r="C774" s="1" t="s">
        <v>1587</v>
      </c>
      <c r="D774" s="1" t="s">
        <v>9</v>
      </c>
      <c r="F774" s="1">
        <v>2001</v>
      </c>
      <c r="J774" s="6">
        <v>10847</v>
      </c>
      <c r="K774" s="6">
        <v>3210</v>
      </c>
      <c r="L774" s="21">
        <v>0.29593435973080112</v>
      </c>
      <c r="M774" s="1">
        <v>0</v>
      </c>
      <c r="N774" s="1" t="s">
        <v>1590</v>
      </c>
      <c r="O774" s="1" t="s">
        <v>18</v>
      </c>
      <c r="P774" s="1" t="s">
        <v>18</v>
      </c>
      <c r="Q774" s="22" t="s">
        <v>18</v>
      </c>
      <c r="R774" s="8">
        <v>226.01704710979996</v>
      </c>
      <c r="S774" s="9">
        <v>1</v>
      </c>
      <c r="T774" s="8">
        <v>158.85044251866876</v>
      </c>
      <c r="U774" s="9">
        <v>1</v>
      </c>
      <c r="V774" s="8">
        <v>151.29403521711072</v>
      </c>
      <c r="W774" s="8">
        <v>2</v>
      </c>
      <c r="X774" s="8"/>
    </row>
    <row r="775" spans="1:24" x14ac:dyDescent="0.3">
      <c r="A775" s="1" t="s">
        <v>854</v>
      </c>
      <c r="B775" s="1" t="s">
        <v>855</v>
      </c>
      <c r="C775" s="1" t="s">
        <v>1587</v>
      </c>
      <c r="D775" s="1" t="s">
        <v>9</v>
      </c>
      <c r="F775" s="1">
        <v>1961</v>
      </c>
      <c r="G775" s="1" t="s">
        <v>47</v>
      </c>
      <c r="H775" s="1">
        <v>2021</v>
      </c>
      <c r="I775" s="1" t="s">
        <v>1609</v>
      </c>
      <c r="J775" s="6">
        <v>39485</v>
      </c>
      <c r="K775" s="6">
        <v>34863</v>
      </c>
      <c r="L775" s="21">
        <v>0.88294288970495127</v>
      </c>
      <c r="M775" s="1">
        <v>0</v>
      </c>
      <c r="N775" s="1" t="s">
        <v>1589</v>
      </c>
      <c r="O775" s="1">
        <v>6</v>
      </c>
      <c r="P775" s="1" t="s">
        <v>18</v>
      </c>
      <c r="Q775" s="22" t="s">
        <v>18</v>
      </c>
      <c r="R775" s="8">
        <v>316.21929846777255</v>
      </c>
      <c r="S775" s="9">
        <v>7</v>
      </c>
      <c r="T775" s="8">
        <v>320.17870077244521</v>
      </c>
      <c r="U775" s="9">
        <v>7</v>
      </c>
      <c r="V775" s="8">
        <v>50.346941876662022</v>
      </c>
      <c r="W775" s="8">
        <v>1</v>
      </c>
      <c r="X775" s="8"/>
    </row>
    <row r="776" spans="1:24" x14ac:dyDescent="0.3">
      <c r="A776" s="1" t="s">
        <v>2098</v>
      </c>
      <c r="B776" s="1" t="s">
        <v>992</v>
      </c>
      <c r="C776" s="1" t="s">
        <v>1587</v>
      </c>
      <c r="D776" s="1" t="s">
        <v>9</v>
      </c>
      <c r="F776" s="1">
        <v>1985</v>
      </c>
      <c r="G776" s="1" t="s">
        <v>21</v>
      </c>
      <c r="H776" s="1">
        <v>2022</v>
      </c>
      <c r="I776" s="1" t="s">
        <v>1818</v>
      </c>
      <c r="J776" s="6">
        <v>146327</v>
      </c>
      <c r="K776" s="6">
        <v>70554</v>
      </c>
      <c r="L776" s="21">
        <v>0.48216665413765059</v>
      </c>
      <c r="M776" s="1">
        <v>0</v>
      </c>
      <c r="N776" s="1" t="s">
        <v>1589</v>
      </c>
      <c r="O776" s="1">
        <v>5</v>
      </c>
      <c r="P776" s="1">
        <v>0.64</v>
      </c>
      <c r="Q776" s="22">
        <v>44236</v>
      </c>
      <c r="R776" s="8"/>
      <c r="S776" s="9"/>
      <c r="T776" s="8"/>
      <c r="U776" s="9"/>
      <c r="V776" s="8"/>
      <c r="W776" s="8"/>
      <c r="X776" s="8"/>
    </row>
    <row r="777" spans="1:24" x14ac:dyDescent="0.3">
      <c r="A777" s="1" t="s">
        <v>2068</v>
      </c>
      <c r="B777" s="1" t="s">
        <v>2069</v>
      </c>
      <c r="C777" s="1" t="s">
        <v>1587</v>
      </c>
      <c r="D777" s="1" t="s">
        <v>10</v>
      </c>
      <c r="F777" s="1">
        <v>1999</v>
      </c>
      <c r="J777" s="6">
        <v>16621</v>
      </c>
      <c r="K777" s="6">
        <v>14934</v>
      </c>
      <c r="L777" s="21">
        <v>0.8985018951928283</v>
      </c>
      <c r="M777" s="1">
        <v>0</v>
      </c>
      <c r="N777" s="1" t="s">
        <v>1590</v>
      </c>
      <c r="O777" s="1" t="s">
        <v>18</v>
      </c>
      <c r="P777" s="1" t="s">
        <v>18</v>
      </c>
      <c r="Q777" s="22" t="s">
        <v>18</v>
      </c>
      <c r="R777" s="8">
        <v>609.07977859334574</v>
      </c>
      <c r="S777" s="9">
        <v>9</v>
      </c>
      <c r="T777" s="8">
        <v>608.16166295650078</v>
      </c>
      <c r="U777" s="9">
        <v>9</v>
      </c>
      <c r="V777" s="8">
        <v>585.31460200950607</v>
      </c>
      <c r="W777" s="8">
        <v>9</v>
      </c>
      <c r="X777" s="8"/>
    </row>
    <row r="778" spans="1:24" x14ac:dyDescent="0.3">
      <c r="A778" s="1" t="s">
        <v>850</v>
      </c>
      <c r="B778" s="1" t="s">
        <v>851</v>
      </c>
      <c r="C778" s="1" t="s">
        <v>1587</v>
      </c>
      <c r="D778" s="1" t="s">
        <v>10</v>
      </c>
      <c r="F778" s="1">
        <v>2013</v>
      </c>
      <c r="G778" s="1" t="s">
        <v>21</v>
      </c>
      <c r="H778" s="1">
        <v>2022</v>
      </c>
      <c r="I778" s="1" t="s">
        <v>1818</v>
      </c>
      <c r="J778" s="6">
        <v>75311</v>
      </c>
      <c r="K778" s="6">
        <v>51860</v>
      </c>
      <c r="L778" s="21">
        <v>0.68861122545179321</v>
      </c>
      <c r="M778" s="1">
        <v>0</v>
      </c>
      <c r="N778" s="1" t="s">
        <v>1589</v>
      </c>
      <c r="O778" s="1">
        <v>9</v>
      </c>
      <c r="P778" s="1">
        <v>0.68</v>
      </c>
      <c r="Q778" s="22">
        <v>44446</v>
      </c>
      <c r="R778" s="8">
        <v>475.77840554500671</v>
      </c>
      <c r="S778" s="9">
        <v>7</v>
      </c>
      <c r="T778" s="8">
        <v>481.32274833689632</v>
      </c>
      <c r="U778" s="9">
        <v>8</v>
      </c>
      <c r="V778" s="8">
        <v>477.69147269323207</v>
      </c>
      <c r="W778" s="8">
        <v>8</v>
      </c>
      <c r="X778" s="8"/>
    </row>
    <row r="779" spans="1:24" x14ac:dyDescent="0.3">
      <c r="A779" s="1" t="s">
        <v>1917</v>
      </c>
      <c r="B779" s="1" t="s">
        <v>994</v>
      </c>
      <c r="C779" s="1" t="s">
        <v>1587</v>
      </c>
      <c r="D779" s="1" t="s">
        <v>10</v>
      </c>
      <c r="F779" s="1">
        <v>2013</v>
      </c>
      <c r="G779" s="1" t="s">
        <v>21</v>
      </c>
      <c r="H779" s="1">
        <v>2020</v>
      </c>
      <c r="I779" s="1" t="s">
        <v>1603</v>
      </c>
      <c r="J779" s="6">
        <v>71921</v>
      </c>
      <c r="K779" s="6">
        <v>60916</v>
      </c>
      <c r="L779" s="21">
        <v>0.84698488619457457</v>
      </c>
      <c r="M779" s="1">
        <v>0</v>
      </c>
      <c r="N779" s="1" t="s">
        <v>1590</v>
      </c>
      <c r="O779" s="1" t="s">
        <v>18</v>
      </c>
      <c r="P779" s="1" t="s">
        <v>18</v>
      </c>
      <c r="Q779" s="22" t="s">
        <v>18</v>
      </c>
      <c r="R779" s="8">
        <v>509.43146516738267</v>
      </c>
      <c r="S779" s="9">
        <v>8</v>
      </c>
      <c r="T779" s="8">
        <v>362.60433947696635</v>
      </c>
      <c r="U779" s="9">
        <v>7</v>
      </c>
      <c r="V779" s="8">
        <v>371.08604913586601</v>
      </c>
      <c r="W779" s="8">
        <v>7</v>
      </c>
      <c r="X779" s="8"/>
    </row>
    <row r="780" spans="1:24" x14ac:dyDescent="0.3">
      <c r="A780" s="1" t="s">
        <v>1109</v>
      </c>
      <c r="B780" s="1" t="s">
        <v>2371</v>
      </c>
      <c r="C780" s="1" t="s">
        <v>1587</v>
      </c>
      <c r="D780" s="1" t="s">
        <v>10</v>
      </c>
      <c r="F780" s="1">
        <v>1990</v>
      </c>
      <c r="J780" s="6">
        <v>19445</v>
      </c>
      <c r="K780" s="6">
        <v>16623</v>
      </c>
      <c r="L780" s="21">
        <v>0.85487271792234509</v>
      </c>
      <c r="M780" s="1">
        <v>0</v>
      </c>
      <c r="N780" s="1" t="s">
        <v>1589</v>
      </c>
      <c r="O780" s="1">
        <v>22</v>
      </c>
      <c r="P780" s="1" t="s">
        <v>18</v>
      </c>
      <c r="Q780" s="22" t="s">
        <v>18</v>
      </c>
      <c r="R780" s="8">
        <v>343.47683209051172</v>
      </c>
      <c r="S780" s="9">
        <v>6</v>
      </c>
      <c r="T780" s="8">
        <v>360.73643610182569</v>
      </c>
      <c r="U780" s="9">
        <v>6</v>
      </c>
      <c r="V780" s="8">
        <v>349.00575983543325</v>
      </c>
      <c r="W780" s="8">
        <v>6</v>
      </c>
      <c r="X780" s="8"/>
    </row>
    <row r="781" spans="1:24" x14ac:dyDescent="0.3">
      <c r="A781" s="1" t="s">
        <v>93</v>
      </c>
      <c r="B781" s="1" t="s">
        <v>94</v>
      </c>
      <c r="C781" s="1" t="s">
        <v>1587</v>
      </c>
      <c r="D781" s="1" t="s">
        <v>10</v>
      </c>
      <c r="F781" s="1">
        <v>2014</v>
      </c>
      <c r="G781" s="1" t="s">
        <v>19</v>
      </c>
      <c r="H781" s="1">
        <v>2022</v>
      </c>
      <c r="I781" s="1" t="s">
        <v>1818</v>
      </c>
      <c r="J781" s="6">
        <v>48432</v>
      </c>
      <c r="K781" s="6">
        <v>38497</v>
      </c>
      <c r="L781" s="21">
        <v>0.79486703006276838</v>
      </c>
      <c r="M781" s="1">
        <v>0</v>
      </c>
      <c r="N781" s="1" t="s">
        <v>1787</v>
      </c>
      <c r="O781" s="1" t="s">
        <v>18</v>
      </c>
      <c r="P781" s="1">
        <v>0.65</v>
      </c>
      <c r="Q781" s="22">
        <v>44985</v>
      </c>
      <c r="R781" s="8">
        <v>309.80862859266603</v>
      </c>
      <c r="S781" s="9">
        <v>5</v>
      </c>
      <c r="T781" s="8">
        <v>316.99296952428148</v>
      </c>
      <c r="U781" s="9">
        <v>5</v>
      </c>
      <c r="V781" s="8">
        <v>312.81463701684834</v>
      </c>
      <c r="W781" s="8">
        <v>5</v>
      </c>
      <c r="X781" s="8"/>
    </row>
    <row r="782" spans="1:24" x14ac:dyDescent="0.3">
      <c r="A782" s="1" t="s">
        <v>2161</v>
      </c>
      <c r="B782" s="1" t="s">
        <v>821</v>
      </c>
      <c r="C782" s="1" t="s">
        <v>1587</v>
      </c>
      <c r="D782" s="1" t="s">
        <v>10</v>
      </c>
      <c r="F782" s="1">
        <v>1994</v>
      </c>
      <c r="J782" s="6">
        <v>10767</v>
      </c>
      <c r="K782" s="6">
        <v>10766</v>
      </c>
      <c r="L782" s="21">
        <v>0.99990712361846379</v>
      </c>
      <c r="M782" s="1">
        <v>0</v>
      </c>
      <c r="N782" s="1" t="s">
        <v>1787</v>
      </c>
      <c r="O782" s="1" t="s">
        <v>18</v>
      </c>
      <c r="P782" s="1" t="s">
        <v>18</v>
      </c>
      <c r="Q782" s="22" t="s">
        <v>18</v>
      </c>
      <c r="R782" s="8">
        <v>308.02382279186401</v>
      </c>
      <c r="S782" s="9">
        <v>4</v>
      </c>
      <c r="T782" s="8">
        <v>295.13592458437819</v>
      </c>
      <c r="U782" s="9">
        <v>4</v>
      </c>
      <c r="V782" s="8">
        <v>288.45778768459184</v>
      </c>
      <c r="W782" s="8">
        <v>4</v>
      </c>
      <c r="X782" s="8"/>
    </row>
    <row r="783" spans="1:24" x14ac:dyDescent="0.3">
      <c r="A783" s="1" t="s">
        <v>1944</v>
      </c>
      <c r="B783" s="1" t="s">
        <v>411</v>
      </c>
      <c r="C783" s="1" t="s">
        <v>1587</v>
      </c>
      <c r="D783" s="1" t="s">
        <v>10</v>
      </c>
      <c r="F783" s="1">
        <v>1988</v>
      </c>
      <c r="J783" s="6">
        <v>9862</v>
      </c>
      <c r="K783" s="6">
        <v>6620</v>
      </c>
      <c r="L783" s="21">
        <v>0.6712634354086392</v>
      </c>
      <c r="M783" s="1">
        <v>0</v>
      </c>
      <c r="N783" s="1" t="s">
        <v>1589</v>
      </c>
      <c r="O783" s="1">
        <v>26</v>
      </c>
      <c r="P783" s="1" t="s">
        <v>18</v>
      </c>
      <c r="Q783" s="22" t="s">
        <v>18</v>
      </c>
      <c r="R783" s="8">
        <v>215.56519975664165</v>
      </c>
      <c r="S783" s="9">
        <v>2</v>
      </c>
      <c r="T783" s="8">
        <v>223.89768809572095</v>
      </c>
      <c r="U783" s="9">
        <v>1</v>
      </c>
      <c r="V783" s="8">
        <v>270.94261508821739</v>
      </c>
      <c r="W783" s="8">
        <v>3</v>
      </c>
      <c r="X783" s="8"/>
    </row>
    <row r="784" spans="1:24" x14ac:dyDescent="0.3">
      <c r="A784" s="1" t="s">
        <v>2002</v>
      </c>
      <c r="B784" s="1" t="s">
        <v>104</v>
      </c>
      <c r="C784" s="1" t="s">
        <v>1587</v>
      </c>
      <c r="D784" s="1" t="s">
        <v>10</v>
      </c>
      <c r="F784" s="1">
        <v>2018</v>
      </c>
      <c r="G784" s="1" t="s">
        <v>19</v>
      </c>
      <c r="H784" s="1">
        <v>2014</v>
      </c>
      <c r="I784" s="1" t="s">
        <v>1598</v>
      </c>
      <c r="J784" s="6">
        <v>43715</v>
      </c>
      <c r="K784" s="6">
        <v>31292</v>
      </c>
      <c r="L784" s="21">
        <v>0.71581836898089901</v>
      </c>
      <c r="M784" s="1">
        <v>0</v>
      </c>
      <c r="N784" s="1" t="s">
        <v>1589</v>
      </c>
      <c r="O784" s="1">
        <v>5</v>
      </c>
      <c r="P784" s="1">
        <v>0.57999999999999996</v>
      </c>
      <c r="Q784" s="22">
        <v>44648</v>
      </c>
      <c r="R784" s="8">
        <v>228.4381287887453</v>
      </c>
      <c r="S784" s="9">
        <v>3</v>
      </c>
      <c r="T784" s="8">
        <v>245.08294178199705</v>
      </c>
      <c r="U784" s="9">
        <v>3</v>
      </c>
      <c r="V784" s="8">
        <v>254.19838499370925</v>
      </c>
      <c r="W784" s="8">
        <v>2</v>
      </c>
      <c r="X784" s="8"/>
    </row>
    <row r="785" spans="1:24" x14ac:dyDescent="0.3">
      <c r="A785" s="1" t="s">
        <v>114</v>
      </c>
      <c r="B785" s="1" t="s">
        <v>115</v>
      </c>
      <c r="C785" s="1" t="s">
        <v>1587</v>
      </c>
      <c r="D785" s="1" t="s">
        <v>10</v>
      </c>
      <c r="F785" s="1">
        <v>1997</v>
      </c>
      <c r="J785" s="6">
        <v>13558.16</v>
      </c>
      <c r="K785" s="6">
        <v>9848</v>
      </c>
      <c r="L785" s="21">
        <v>0.72635224838768686</v>
      </c>
      <c r="M785" s="1">
        <v>0</v>
      </c>
      <c r="N785" s="1" t="s">
        <v>1589</v>
      </c>
      <c r="O785" s="1">
        <v>13</v>
      </c>
      <c r="P785" s="1" t="s">
        <v>18</v>
      </c>
      <c r="Q785" s="22" t="s">
        <v>18</v>
      </c>
      <c r="R785" s="8">
        <v>213.53782519161894</v>
      </c>
      <c r="S785" s="9">
        <v>1</v>
      </c>
      <c r="T785" s="8">
        <v>228.74859125427048</v>
      </c>
      <c r="U785" s="9">
        <v>2</v>
      </c>
      <c r="V785" s="8">
        <v>224.13432206140067</v>
      </c>
      <c r="W785" s="8">
        <v>1</v>
      </c>
      <c r="X785" s="8"/>
    </row>
    <row r="786" spans="1:24" x14ac:dyDescent="0.3">
      <c r="A786" s="1" t="s">
        <v>303</v>
      </c>
      <c r="B786" s="1" t="s">
        <v>304</v>
      </c>
      <c r="C786" s="1" t="s">
        <v>1587</v>
      </c>
      <c r="D786" s="1" t="s">
        <v>10</v>
      </c>
      <c r="F786" s="1">
        <v>2014</v>
      </c>
      <c r="J786" s="6">
        <v>1276</v>
      </c>
      <c r="K786" s="6">
        <v>155</v>
      </c>
      <c r="L786" s="21">
        <v>0.12147335423197492</v>
      </c>
      <c r="M786" s="1">
        <v>18</v>
      </c>
      <c r="N786" s="1" t="s">
        <v>1590</v>
      </c>
      <c r="O786" s="1" t="s">
        <v>18</v>
      </c>
      <c r="P786" s="1" t="s">
        <v>18</v>
      </c>
      <c r="Q786" s="22" t="s">
        <v>18</v>
      </c>
      <c r="R786" s="8"/>
      <c r="S786" s="9" t="s">
        <v>18</v>
      </c>
      <c r="T786" s="8"/>
      <c r="U786" s="9" t="s">
        <v>18</v>
      </c>
      <c r="V786" s="8"/>
      <c r="W786" s="8"/>
      <c r="X786" s="8"/>
    </row>
    <row r="787" spans="1:24" x14ac:dyDescent="0.3">
      <c r="A787" s="1" t="s">
        <v>1959</v>
      </c>
      <c r="B787" s="1" t="s">
        <v>1960</v>
      </c>
      <c r="C787" s="1" t="s">
        <v>1587</v>
      </c>
      <c r="D787" s="1" t="s">
        <v>10</v>
      </c>
      <c r="F787" s="1">
        <v>2018</v>
      </c>
      <c r="G787" s="1" t="s">
        <v>21</v>
      </c>
      <c r="H787" s="1">
        <v>2022</v>
      </c>
      <c r="I787" s="1" t="s">
        <v>1818</v>
      </c>
      <c r="J787" s="6">
        <v>34317</v>
      </c>
      <c r="K787" s="6">
        <v>29632</v>
      </c>
      <c r="L787" s="21">
        <v>0.86347874231430488</v>
      </c>
      <c r="M787" s="1">
        <v>0</v>
      </c>
      <c r="N787" s="1" t="s">
        <v>1589</v>
      </c>
      <c r="O787" s="1">
        <v>5</v>
      </c>
      <c r="P787" s="1" t="s">
        <v>18</v>
      </c>
      <c r="Q787" s="22" t="s">
        <v>18</v>
      </c>
      <c r="R787" s="8"/>
      <c r="S787" s="9" t="s">
        <v>18</v>
      </c>
      <c r="T787" s="8"/>
      <c r="U787" s="9" t="s">
        <v>18</v>
      </c>
      <c r="V787" s="8"/>
      <c r="W787" s="8" t="s">
        <v>18</v>
      </c>
      <c r="X787" s="8"/>
    </row>
    <row r="788" spans="1:24" x14ac:dyDescent="0.3">
      <c r="A788" s="1" t="s">
        <v>1965</v>
      </c>
      <c r="B788" s="1" t="s">
        <v>302</v>
      </c>
      <c r="C788" s="1" t="s">
        <v>1587</v>
      </c>
      <c r="D788" s="1" t="s">
        <v>10</v>
      </c>
      <c r="F788" s="1">
        <v>2014</v>
      </c>
      <c r="J788" s="6">
        <v>1276</v>
      </c>
      <c r="K788" s="6">
        <v>970</v>
      </c>
      <c r="L788" s="21">
        <v>0.7601880877742947</v>
      </c>
      <c r="M788" s="1">
        <v>24</v>
      </c>
      <c r="N788" s="1" t="s">
        <v>1590</v>
      </c>
      <c r="O788" s="1" t="s">
        <v>18</v>
      </c>
      <c r="P788" s="1" t="s">
        <v>18</v>
      </c>
      <c r="Q788" s="22" t="s">
        <v>18</v>
      </c>
      <c r="R788" s="8"/>
      <c r="S788" s="9" t="s">
        <v>18</v>
      </c>
      <c r="T788" s="8"/>
      <c r="U788" s="9" t="s">
        <v>18</v>
      </c>
      <c r="V788" s="8"/>
      <c r="W788" s="8" t="s">
        <v>18</v>
      </c>
      <c r="X788" s="8"/>
    </row>
    <row r="789" spans="1:24" x14ac:dyDescent="0.3">
      <c r="A789" s="1" t="s">
        <v>2025</v>
      </c>
      <c r="B789" s="1" t="s">
        <v>307</v>
      </c>
      <c r="C789" s="1" t="s">
        <v>1587</v>
      </c>
      <c r="D789" s="1" t="s">
        <v>10</v>
      </c>
      <c r="F789" s="1">
        <v>2003</v>
      </c>
      <c r="J789" s="6">
        <v>9753</v>
      </c>
      <c r="K789" s="6">
        <v>6000</v>
      </c>
      <c r="L789" s="21">
        <v>0.61519532451553371</v>
      </c>
      <c r="M789" s="1">
        <v>94</v>
      </c>
      <c r="N789" s="1" t="s">
        <v>1590</v>
      </c>
      <c r="O789" s="1" t="s">
        <v>18</v>
      </c>
      <c r="P789" s="1" t="s">
        <v>18</v>
      </c>
      <c r="Q789" s="22" t="s">
        <v>18</v>
      </c>
      <c r="R789" s="8"/>
      <c r="S789" s="9" t="s">
        <v>18</v>
      </c>
      <c r="T789" s="8"/>
      <c r="U789" s="9" t="s">
        <v>18</v>
      </c>
      <c r="V789" s="8"/>
      <c r="W789" s="8" t="s">
        <v>18</v>
      </c>
      <c r="X789" s="8"/>
    </row>
    <row r="790" spans="1:24" x14ac:dyDescent="0.3">
      <c r="A790" s="1" t="s">
        <v>591</v>
      </c>
      <c r="B790" s="1" t="s">
        <v>2606</v>
      </c>
      <c r="C790" s="1" t="s">
        <v>1587</v>
      </c>
      <c r="D790" s="1" t="s">
        <v>11</v>
      </c>
      <c r="F790" s="1">
        <v>2017</v>
      </c>
      <c r="J790" s="6">
        <v>8750</v>
      </c>
      <c r="K790" s="6">
        <v>6610</v>
      </c>
      <c r="L790" s="21">
        <v>0.75542857142857145</v>
      </c>
      <c r="M790" s="1">
        <v>0</v>
      </c>
      <c r="N790" s="1" t="s">
        <v>1589</v>
      </c>
      <c r="O790" s="1">
        <v>4</v>
      </c>
      <c r="P790" s="1">
        <v>0.48</v>
      </c>
      <c r="Q790" s="22">
        <v>43546</v>
      </c>
      <c r="R790" s="8">
        <v>220.48234971428573</v>
      </c>
      <c r="S790" s="9">
        <v>11</v>
      </c>
      <c r="T790" s="8">
        <v>227.459136</v>
      </c>
      <c r="U790" s="9">
        <v>11</v>
      </c>
      <c r="V790" s="8">
        <v>230.94277714285715</v>
      </c>
      <c r="W790" s="8">
        <v>11</v>
      </c>
      <c r="X790" s="8"/>
    </row>
    <row r="791" spans="1:24" x14ac:dyDescent="0.3">
      <c r="A791" s="1" t="s">
        <v>1945</v>
      </c>
      <c r="B791" s="1" t="s">
        <v>1946</v>
      </c>
      <c r="C791" s="1" t="s">
        <v>1587</v>
      </c>
      <c r="D791" s="1" t="s">
        <v>11</v>
      </c>
      <c r="F791" s="1">
        <v>1999</v>
      </c>
      <c r="J791" s="6">
        <v>18809</v>
      </c>
      <c r="K791" s="6">
        <v>15000</v>
      </c>
      <c r="L791" s="21">
        <v>0.79749056302833754</v>
      </c>
      <c r="M791" s="1">
        <v>0</v>
      </c>
      <c r="N791" s="1" t="s">
        <v>1589</v>
      </c>
      <c r="O791" s="1">
        <v>8</v>
      </c>
      <c r="P791" s="1" t="s">
        <v>18</v>
      </c>
      <c r="Q791" s="22" t="s">
        <v>18</v>
      </c>
      <c r="R791" s="8">
        <v>218.17587325216653</v>
      </c>
      <c r="S791" s="9">
        <v>10</v>
      </c>
      <c r="T791" s="8">
        <v>213.22624807273115</v>
      </c>
      <c r="U791" s="9">
        <v>10</v>
      </c>
      <c r="V791" s="8">
        <v>203.7330799085544</v>
      </c>
      <c r="W791" s="8">
        <v>10</v>
      </c>
      <c r="X791" s="8"/>
    </row>
    <row r="792" spans="1:24" x14ac:dyDescent="0.3">
      <c r="A792" s="1" t="s">
        <v>590</v>
      </c>
      <c r="B792" s="1" t="s">
        <v>2602</v>
      </c>
      <c r="C792" s="1" t="s">
        <v>1587</v>
      </c>
      <c r="D792" s="1" t="s">
        <v>11</v>
      </c>
      <c r="F792" s="1">
        <v>1991</v>
      </c>
      <c r="J792" s="6">
        <v>5561</v>
      </c>
      <c r="K792" s="6">
        <v>2120</v>
      </c>
      <c r="L792" s="21">
        <v>0.38122639812983278</v>
      </c>
      <c r="M792" s="1">
        <v>0</v>
      </c>
      <c r="N792" s="1" t="s">
        <v>28</v>
      </c>
      <c r="Q792" s="22"/>
      <c r="R792" s="8">
        <v>177.30636576155368</v>
      </c>
      <c r="S792" s="9">
        <v>8</v>
      </c>
      <c r="T792" s="8">
        <v>180.52057183959721</v>
      </c>
      <c r="U792" s="9">
        <v>9</v>
      </c>
      <c r="V792" s="8">
        <v>180.91586944794102</v>
      </c>
      <c r="W792" s="8">
        <v>9</v>
      </c>
      <c r="X792" s="8"/>
    </row>
    <row r="793" spans="1:24" x14ac:dyDescent="0.3">
      <c r="A793" s="1" t="s">
        <v>588</v>
      </c>
      <c r="B793" s="1" t="s">
        <v>2604</v>
      </c>
      <c r="C793" s="1" t="s">
        <v>1587</v>
      </c>
      <c r="D793" s="1" t="s">
        <v>11</v>
      </c>
      <c r="F793" s="1">
        <v>1993</v>
      </c>
      <c r="J793" s="6">
        <v>6304</v>
      </c>
      <c r="K793" s="6">
        <v>3206</v>
      </c>
      <c r="L793" s="21">
        <v>0.50856598984771573</v>
      </c>
      <c r="M793" s="1">
        <v>0</v>
      </c>
      <c r="N793" s="1" t="s">
        <v>28</v>
      </c>
      <c r="Q793" s="22"/>
      <c r="R793" s="8">
        <v>160.96744130710661</v>
      </c>
      <c r="S793" s="9">
        <v>7</v>
      </c>
      <c r="T793" s="8">
        <v>174.18174175126902</v>
      </c>
      <c r="U793" s="9">
        <v>8</v>
      </c>
      <c r="V793" s="8">
        <v>176.7503807106599</v>
      </c>
      <c r="W793" s="8">
        <v>8</v>
      </c>
      <c r="X793" s="8"/>
    </row>
    <row r="794" spans="1:24" x14ac:dyDescent="0.3">
      <c r="A794" s="1" t="s">
        <v>1580</v>
      </c>
      <c r="B794" s="1" t="s">
        <v>1581</v>
      </c>
      <c r="C794" s="1" t="s">
        <v>1587</v>
      </c>
      <c r="D794" s="1" t="s">
        <v>11</v>
      </c>
      <c r="F794" s="1">
        <v>1990</v>
      </c>
      <c r="J794" s="6">
        <v>5592</v>
      </c>
      <c r="K794" s="6">
        <v>5592</v>
      </c>
      <c r="L794" s="21">
        <v>1</v>
      </c>
      <c r="M794" s="1">
        <v>0</v>
      </c>
      <c r="N794" s="1" t="s">
        <v>28</v>
      </c>
      <c r="O794" s="1" t="s">
        <v>18</v>
      </c>
      <c r="P794" s="1" t="s">
        <v>18</v>
      </c>
      <c r="Q794" s="22" t="s">
        <v>18</v>
      </c>
      <c r="R794" s="8">
        <v>154.14767525035765</v>
      </c>
      <c r="S794" s="9">
        <v>5</v>
      </c>
      <c r="T794" s="8">
        <v>150.90185979971386</v>
      </c>
      <c r="U794" s="9">
        <v>4</v>
      </c>
      <c r="V794" s="8">
        <v>160.4963340486409</v>
      </c>
      <c r="W794" s="8">
        <v>7</v>
      </c>
      <c r="X794" s="8"/>
    </row>
    <row r="795" spans="1:24" x14ac:dyDescent="0.3">
      <c r="A795" s="1" t="s">
        <v>489</v>
      </c>
      <c r="B795" s="1" t="s">
        <v>490</v>
      </c>
      <c r="C795" s="1" t="s">
        <v>1587</v>
      </c>
      <c r="D795" s="1" t="s">
        <v>11</v>
      </c>
      <c r="F795" s="1">
        <v>2012</v>
      </c>
      <c r="G795" s="1" t="s">
        <v>19</v>
      </c>
      <c r="H795" s="1">
        <v>2022</v>
      </c>
      <c r="I795" s="1" t="s">
        <v>1599</v>
      </c>
      <c r="J795" s="6">
        <v>5314</v>
      </c>
      <c r="K795" s="6">
        <v>3864</v>
      </c>
      <c r="L795" s="21">
        <v>0.72713586751975912</v>
      </c>
      <c r="M795" s="1">
        <v>0</v>
      </c>
      <c r="N795" s="1" t="s">
        <v>1589</v>
      </c>
      <c r="O795" s="1">
        <v>0</v>
      </c>
      <c r="P795" s="1">
        <v>0.53100000000000003</v>
      </c>
      <c r="Q795" s="22">
        <v>44907</v>
      </c>
      <c r="R795" s="8">
        <v>188.59593150169363</v>
      </c>
      <c r="S795" s="9">
        <v>9</v>
      </c>
      <c r="T795" s="8">
        <v>167.6189273616861</v>
      </c>
      <c r="U795" s="9">
        <v>7</v>
      </c>
      <c r="V795" s="8">
        <v>158.47191945803539</v>
      </c>
      <c r="W795" s="8">
        <v>6</v>
      </c>
      <c r="X795" s="8"/>
    </row>
    <row r="796" spans="1:24" x14ac:dyDescent="0.3">
      <c r="A796" s="1" t="s">
        <v>626</v>
      </c>
      <c r="B796" s="1" t="s">
        <v>627</v>
      </c>
      <c r="C796" s="1" t="s">
        <v>1587</v>
      </c>
      <c r="D796" s="1" t="s">
        <v>11</v>
      </c>
      <c r="F796" s="1">
        <v>1997</v>
      </c>
      <c r="J796" s="6">
        <v>6415</v>
      </c>
      <c r="K796" s="6">
        <v>2925</v>
      </c>
      <c r="L796" s="21">
        <v>0.455962587685113</v>
      </c>
      <c r="M796" s="1">
        <v>0</v>
      </c>
      <c r="N796" s="1" t="s">
        <v>28</v>
      </c>
      <c r="O796" s="1" t="s">
        <v>18</v>
      </c>
      <c r="P796" s="1" t="s">
        <v>18</v>
      </c>
      <c r="Q796" s="22" t="s">
        <v>18</v>
      </c>
      <c r="R796" s="8">
        <v>158.39464536243182</v>
      </c>
      <c r="S796" s="9">
        <v>6</v>
      </c>
      <c r="T796" s="8">
        <v>160.87248636009352</v>
      </c>
      <c r="U796" s="9">
        <v>6</v>
      </c>
      <c r="V796" s="8">
        <v>155.53267342166797</v>
      </c>
      <c r="W796" s="8">
        <v>5</v>
      </c>
      <c r="X796" s="8"/>
    </row>
    <row r="797" spans="1:24" x14ac:dyDescent="0.3">
      <c r="A797" s="1" t="s">
        <v>584</v>
      </c>
      <c r="B797" s="1" t="s">
        <v>585</v>
      </c>
      <c r="C797" s="1" t="s">
        <v>1587</v>
      </c>
      <c r="D797" s="1" t="s">
        <v>11</v>
      </c>
      <c r="F797" s="1">
        <v>1997</v>
      </c>
      <c r="J797" s="6">
        <v>5434</v>
      </c>
      <c r="K797" s="6">
        <v>2200</v>
      </c>
      <c r="L797" s="21">
        <v>0.40485829959514169</v>
      </c>
      <c r="M797" s="1">
        <v>0</v>
      </c>
      <c r="N797" s="1" t="s">
        <v>28</v>
      </c>
      <c r="O797" s="1" t="s">
        <v>18</v>
      </c>
      <c r="P797" s="1" t="s">
        <v>18</v>
      </c>
      <c r="Q797" s="22" t="s">
        <v>18</v>
      </c>
      <c r="R797" s="8">
        <v>151.73366764814133</v>
      </c>
      <c r="S797" s="9">
        <v>4</v>
      </c>
      <c r="T797" s="8">
        <v>151.38215863084284</v>
      </c>
      <c r="U797" s="9">
        <v>5</v>
      </c>
      <c r="V797" s="8">
        <v>141.34851858667648</v>
      </c>
      <c r="W797" s="8">
        <v>4</v>
      </c>
      <c r="X797" s="8"/>
    </row>
    <row r="798" spans="1:24" x14ac:dyDescent="0.3">
      <c r="A798" s="1" t="s">
        <v>628</v>
      </c>
      <c r="B798" s="1" t="s">
        <v>629</v>
      </c>
      <c r="C798" s="1" t="s">
        <v>1587</v>
      </c>
      <c r="D798" s="1" t="s">
        <v>11</v>
      </c>
      <c r="F798" s="1">
        <v>1991</v>
      </c>
      <c r="J798" s="6">
        <v>6497</v>
      </c>
      <c r="K798" s="6">
        <v>2806</v>
      </c>
      <c r="L798" s="21">
        <v>0.4318916422964445</v>
      </c>
      <c r="M798" s="1">
        <v>0</v>
      </c>
      <c r="N798" s="1" t="s">
        <v>28</v>
      </c>
      <c r="O798" s="1" t="s">
        <v>18</v>
      </c>
      <c r="P798" s="1" t="s">
        <v>18</v>
      </c>
      <c r="Q798" s="22" t="s">
        <v>18</v>
      </c>
      <c r="R798" s="8">
        <v>127.76282899799908</v>
      </c>
      <c r="S798" s="9">
        <v>1</v>
      </c>
      <c r="T798" s="8">
        <v>139.29475142373403</v>
      </c>
      <c r="U798" s="9">
        <v>3</v>
      </c>
      <c r="V798" s="8">
        <v>138.52725873480068</v>
      </c>
      <c r="W798" s="8">
        <v>3</v>
      </c>
      <c r="X798" s="8"/>
    </row>
    <row r="799" spans="1:24" x14ac:dyDescent="0.3">
      <c r="A799" s="1" t="s">
        <v>630</v>
      </c>
      <c r="B799" s="1" t="s">
        <v>631</v>
      </c>
      <c r="C799" s="1" t="s">
        <v>1587</v>
      </c>
      <c r="D799" s="1" t="s">
        <v>11</v>
      </c>
      <c r="F799" s="1">
        <v>2017</v>
      </c>
      <c r="G799" s="1" t="s">
        <v>19</v>
      </c>
      <c r="H799" s="1">
        <v>2016</v>
      </c>
      <c r="I799" s="1" t="s">
        <v>1609</v>
      </c>
      <c r="J799" s="6">
        <v>7750</v>
      </c>
      <c r="K799" s="6">
        <v>4306</v>
      </c>
      <c r="L799" s="21">
        <v>0.55561290322580648</v>
      </c>
      <c r="M799" s="1">
        <v>0</v>
      </c>
      <c r="N799" s="1" t="s">
        <v>1589</v>
      </c>
      <c r="O799" s="1">
        <v>5</v>
      </c>
      <c r="P799" s="1">
        <v>0.61499999999999999</v>
      </c>
      <c r="Q799" s="22">
        <v>43614</v>
      </c>
      <c r="R799" s="8">
        <v>136.39158967741938</v>
      </c>
      <c r="S799" s="9">
        <v>3</v>
      </c>
      <c r="T799" s="8">
        <v>138.83195999999998</v>
      </c>
      <c r="U799" s="9">
        <v>1</v>
      </c>
      <c r="V799" s="8">
        <v>137.43043741935483</v>
      </c>
      <c r="W799" s="8">
        <v>2</v>
      </c>
      <c r="X799" s="8"/>
    </row>
    <row r="800" spans="1:24" x14ac:dyDescent="0.3">
      <c r="A800" s="1" t="s">
        <v>589</v>
      </c>
      <c r="B800" s="1" t="s">
        <v>2601</v>
      </c>
      <c r="C800" s="1" t="s">
        <v>1587</v>
      </c>
      <c r="D800" s="1" t="s">
        <v>11</v>
      </c>
      <c r="F800" s="1">
        <v>2013</v>
      </c>
      <c r="J800" s="6">
        <v>6546</v>
      </c>
      <c r="K800" s="6">
        <v>3462</v>
      </c>
      <c r="L800" s="21">
        <v>0.52887259395050412</v>
      </c>
      <c r="M800" s="1">
        <v>0</v>
      </c>
      <c r="N800" s="1" t="s">
        <v>28</v>
      </c>
      <c r="Q800" s="22"/>
      <c r="R800" s="8">
        <v>131.65495722578675</v>
      </c>
      <c r="S800" s="9">
        <v>2</v>
      </c>
      <c r="T800" s="8">
        <v>138.97574091047969</v>
      </c>
      <c r="U800" s="9">
        <v>2</v>
      </c>
      <c r="V800" s="8">
        <v>128.44775435380384</v>
      </c>
      <c r="W800" s="8">
        <v>1</v>
      </c>
      <c r="X800" s="8"/>
    </row>
    <row r="801" spans="1:24" x14ac:dyDescent="0.3">
      <c r="A801" s="1" t="s">
        <v>2184</v>
      </c>
      <c r="B801" s="1" t="s">
        <v>59</v>
      </c>
      <c r="C801" s="1" t="s">
        <v>1587</v>
      </c>
      <c r="D801" s="1" t="s">
        <v>1593</v>
      </c>
      <c r="F801" s="1">
        <v>2005</v>
      </c>
      <c r="J801" s="6">
        <v>14122</v>
      </c>
      <c r="K801" s="6">
        <v>8276</v>
      </c>
      <c r="L801" s="21">
        <v>0.58603597224189208</v>
      </c>
      <c r="M801" s="1">
        <v>0</v>
      </c>
      <c r="N801" s="1" t="s">
        <v>1590</v>
      </c>
      <c r="O801" s="1" t="s">
        <v>18</v>
      </c>
      <c r="P801" s="1" t="s">
        <v>18</v>
      </c>
      <c r="Q801" s="22" t="s">
        <v>18</v>
      </c>
      <c r="R801" s="8">
        <v>192.89766322050698</v>
      </c>
      <c r="S801" s="9">
        <v>37</v>
      </c>
      <c r="T801" s="8">
        <v>190.05460982863619</v>
      </c>
      <c r="U801" s="9">
        <v>40</v>
      </c>
      <c r="V801" s="8">
        <v>192.46011896331964</v>
      </c>
      <c r="W801" s="8">
        <v>41</v>
      </c>
      <c r="X801" s="8"/>
    </row>
    <row r="802" spans="1:24" x14ac:dyDescent="0.3">
      <c r="A802" s="1" t="s">
        <v>1863</v>
      </c>
      <c r="B802" s="1" t="s">
        <v>580</v>
      </c>
      <c r="C802" s="1" t="s">
        <v>1587</v>
      </c>
      <c r="D802" s="1" t="s">
        <v>1593</v>
      </c>
      <c r="F802" s="1">
        <v>2008</v>
      </c>
      <c r="J802" s="6">
        <v>20498</v>
      </c>
      <c r="K802" s="6">
        <v>8156</v>
      </c>
      <c r="L802" s="21">
        <v>0.39789247731485999</v>
      </c>
      <c r="M802" s="1">
        <v>0</v>
      </c>
      <c r="N802" s="1" t="s">
        <v>1590</v>
      </c>
      <c r="O802" s="1" t="s">
        <v>18</v>
      </c>
      <c r="P802" s="1" t="s">
        <v>18</v>
      </c>
      <c r="Q802" s="22" t="s">
        <v>18</v>
      </c>
      <c r="R802" s="8">
        <v>176.36573373012001</v>
      </c>
      <c r="S802" s="9">
        <v>36</v>
      </c>
      <c r="T802" s="8">
        <v>178.2747760757147</v>
      </c>
      <c r="U802" s="9">
        <v>39</v>
      </c>
      <c r="V802" s="8">
        <v>185.04708947214363</v>
      </c>
      <c r="W802" s="8">
        <v>40</v>
      </c>
      <c r="X802" s="8"/>
    </row>
    <row r="803" spans="1:24" x14ac:dyDescent="0.3">
      <c r="A803" s="1" t="s">
        <v>1023</v>
      </c>
      <c r="B803" s="1" t="s">
        <v>1024</v>
      </c>
      <c r="C803" s="1" t="s">
        <v>1587</v>
      </c>
      <c r="D803" s="1" t="s">
        <v>1593</v>
      </c>
      <c r="F803" s="1">
        <v>2015</v>
      </c>
      <c r="G803" s="1" t="s">
        <v>19</v>
      </c>
      <c r="H803" s="1">
        <v>2023</v>
      </c>
      <c r="I803" s="1" t="s">
        <v>1783</v>
      </c>
      <c r="J803" s="6">
        <v>56247</v>
      </c>
      <c r="K803" s="6">
        <v>24121</v>
      </c>
      <c r="L803" s="21">
        <v>0.42884064927907267</v>
      </c>
      <c r="M803" s="1">
        <v>0</v>
      </c>
      <c r="N803" s="1" t="s">
        <v>1589</v>
      </c>
      <c r="O803" s="1">
        <v>7</v>
      </c>
      <c r="P803" s="1">
        <v>0.59</v>
      </c>
      <c r="Q803" s="22">
        <v>44926</v>
      </c>
      <c r="R803" s="8">
        <v>157.12339324763988</v>
      </c>
      <c r="S803" s="9">
        <v>35</v>
      </c>
      <c r="T803" s="8">
        <v>159.1665599943108</v>
      </c>
      <c r="U803" s="9">
        <v>38</v>
      </c>
      <c r="V803" s="8">
        <v>165.25436023254574</v>
      </c>
      <c r="W803" s="8">
        <v>39</v>
      </c>
      <c r="X803" s="8"/>
    </row>
    <row r="804" spans="1:24" x14ac:dyDescent="0.3">
      <c r="A804" s="1" t="s">
        <v>846</v>
      </c>
      <c r="B804" s="1" t="s">
        <v>847</v>
      </c>
      <c r="C804" s="1" t="s">
        <v>1587</v>
      </c>
      <c r="D804" s="1" t="s">
        <v>1593</v>
      </c>
      <c r="F804" s="1">
        <v>2016</v>
      </c>
      <c r="G804" s="1" t="s">
        <v>19</v>
      </c>
      <c r="H804" s="1">
        <v>2022</v>
      </c>
      <c r="I804" s="1" t="s">
        <v>1598</v>
      </c>
      <c r="J804" s="6">
        <v>11188</v>
      </c>
      <c r="K804" s="6">
        <v>8260</v>
      </c>
      <c r="L804" s="21">
        <v>0.73829102609939223</v>
      </c>
      <c r="M804" s="1">
        <v>0</v>
      </c>
      <c r="N804" s="1" t="s">
        <v>1589</v>
      </c>
      <c r="O804" s="1">
        <v>2016</v>
      </c>
      <c r="P804" s="1">
        <v>0.54</v>
      </c>
      <c r="Q804" s="22">
        <v>44984</v>
      </c>
      <c r="R804" s="8">
        <v>149.84753307114767</v>
      </c>
      <c r="S804" s="9">
        <v>33</v>
      </c>
      <c r="T804" s="8">
        <v>146.8879478012156</v>
      </c>
      <c r="U804" s="9">
        <v>36</v>
      </c>
      <c r="V804" s="8">
        <v>154.82234179478013</v>
      </c>
      <c r="W804" s="8">
        <v>38</v>
      </c>
      <c r="X804" s="8"/>
    </row>
    <row r="805" spans="1:24" x14ac:dyDescent="0.3">
      <c r="A805" s="1" t="s">
        <v>581</v>
      </c>
      <c r="B805" s="1" t="s">
        <v>1931</v>
      </c>
      <c r="C805" s="1" t="s">
        <v>1587</v>
      </c>
      <c r="D805" s="1" t="s">
        <v>1593</v>
      </c>
      <c r="F805" s="1">
        <v>2014</v>
      </c>
      <c r="J805" s="6">
        <v>6243</v>
      </c>
      <c r="K805" s="6">
        <v>970</v>
      </c>
      <c r="L805" s="21">
        <v>0.15537401890116931</v>
      </c>
      <c r="M805" s="1">
        <v>0</v>
      </c>
      <c r="N805" s="1" t="s">
        <v>28</v>
      </c>
      <c r="O805" s="1" t="s">
        <v>18</v>
      </c>
      <c r="P805" s="1">
        <v>0.42</v>
      </c>
      <c r="Q805" s="22">
        <v>41912</v>
      </c>
      <c r="R805" s="8">
        <v>156.70465000800897</v>
      </c>
      <c r="S805" s="9">
        <v>34</v>
      </c>
      <c r="T805" s="8">
        <v>153.42123978856318</v>
      </c>
      <c r="U805" s="9">
        <v>37</v>
      </c>
      <c r="V805" s="8">
        <v>152.05247477174436</v>
      </c>
      <c r="W805" s="8">
        <v>37</v>
      </c>
      <c r="X805" s="8"/>
    </row>
    <row r="806" spans="1:24" x14ac:dyDescent="0.3">
      <c r="A806" s="1" t="s">
        <v>2404</v>
      </c>
      <c r="B806" s="1" t="s">
        <v>2405</v>
      </c>
      <c r="C806" s="1" t="s">
        <v>1587</v>
      </c>
      <c r="D806" s="1" t="s">
        <v>1593</v>
      </c>
      <c r="F806" s="1">
        <v>1996</v>
      </c>
      <c r="J806" s="6">
        <v>12527</v>
      </c>
      <c r="K806" s="6">
        <v>3700</v>
      </c>
      <c r="L806" s="21">
        <v>0.29536201804103135</v>
      </c>
      <c r="M806" s="1">
        <v>0</v>
      </c>
      <c r="N806" s="1" t="s">
        <v>28</v>
      </c>
      <c r="O806" s="1" t="s">
        <v>18</v>
      </c>
      <c r="P806" s="1" t="s">
        <v>18</v>
      </c>
      <c r="Q806" s="22" t="s">
        <v>18</v>
      </c>
      <c r="R806" s="8">
        <v>144.44648678853676</v>
      </c>
      <c r="S806" s="9">
        <v>32</v>
      </c>
      <c r="T806" s="8">
        <v>142.38569968867247</v>
      </c>
      <c r="U806" s="9">
        <v>35</v>
      </c>
      <c r="V806" s="8">
        <v>148.74756765386763</v>
      </c>
      <c r="W806" s="8">
        <v>36</v>
      </c>
      <c r="X806" s="8"/>
    </row>
    <row r="807" spans="1:24" x14ac:dyDescent="0.3">
      <c r="A807" s="1" t="s">
        <v>1088</v>
      </c>
      <c r="B807" s="1" t="s">
        <v>1955</v>
      </c>
      <c r="C807" s="1" t="s">
        <v>1587</v>
      </c>
      <c r="D807" s="1" t="s">
        <v>1593</v>
      </c>
      <c r="F807" s="1">
        <v>2015</v>
      </c>
      <c r="J807" s="6">
        <v>8652</v>
      </c>
      <c r="K807" s="6">
        <v>1225</v>
      </c>
      <c r="L807" s="21">
        <v>0.14158576051779936</v>
      </c>
      <c r="M807" s="1">
        <v>0</v>
      </c>
      <c r="N807" s="1" t="s">
        <v>28</v>
      </c>
      <c r="O807" s="1" t="s">
        <v>18</v>
      </c>
      <c r="P807" s="1" t="s">
        <v>18</v>
      </c>
      <c r="Q807" s="22" t="s">
        <v>18</v>
      </c>
      <c r="R807" s="8">
        <v>143.14698335644937</v>
      </c>
      <c r="S807" s="9">
        <v>31</v>
      </c>
      <c r="T807" s="8">
        <v>129.17241678224687</v>
      </c>
      <c r="U807" s="9">
        <v>33</v>
      </c>
      <c r="V807" s="8">
        <v>134.12987170596392</v>
      </c>
      <c r="W807" s="8">
        <v>35</v>
      </c>
      <c r="X807" s="8"/>
    </row>
    <row r="808" spans="1:24" x14ac:dyDescent="0.3">
      <c r="A808" s="1" t="s">
        <v>1014</v>
      </c>
      <c r="B808" s="1" t="s">
        <v>1015</v>
      </c>
      <c r="C808" s="1" t="s">
        <v>1587</v>
      </c>
      <c r="D808" s="1" t="s">
        <v>1593</v>
      </c>
      <c r="F808" s="1">
        <v>2016</v>
      </c>
      <c r="J808" s="6">
        <v>5500</v>
      </c>
      <c r="K808" s="6">
        <v>593</v>
      </c>
      <c r="L808" s="21">
        <v>0.10781818181818181</v>
      </c>
      <c r="M808" s="1">
        <v>0</v>
      </c>
      <c r="N808" s="1" t="s">
        <v>28</v>
      </c>
      <c r="O808" s="1" t="s">
        <v>18</v>
      </c>
      <c r="P808" s="1" t="s">
        <v>18</v>
      </c>
      <c r="Q808" s="22" t="s">
        <v>18</v>
      </c>
      <c r="R808" s="8">
        <v>133.62152727272726</v>
      </c>
      <c r="S808" s="9">
        <v>29</v>
      </c>
      <c r="T808" s="8">
        <v>129.47189090909092</v>
      </c>
      <c r="U808" s="9">
        <v>34</v>
      </c>
      <c r="V808" s="8">
        <v>133.16493636363637</v>
      </c>
      <c r="W808" s="8">
        <v>34</v>
      </c>
      <c r="X808" s="8"/>
    </row>
    <row r="809" spans="1:24" x14ac:dyDescent="0.3">
      <c r="A809" s="1" t="s">
        <v>2093</v>
      </c>
      <c r="B809" s="1" t="s">
        <v>519</v>
      </c>
      <c r="C809" s="1" t="s">
        <v>1587</v>
      </c>
      <c r="D809" s="1" t="s">
        <v>1593</v>
      </c>
      <c r="F809" s="1">
        <v>2017</v>
      </c>
      <c r="J809" s="6">
        <v>7528</v>
      </c>
      <c r="K809" s="6">
        <v>1138</v>
      </c>
      <c r="L809" s="21">
        <v>0.15116896918172157</v>
      </c>
      <c r="M809" s="1">
        <v>0</v>
      </c>
      <c r="N809" s="1" t="s">
        <v>28</v>
      </c>
      <c r="O809" s="1" t="s">
        <v>18</v>
      </c>
      <c r="P809" s="1" t="s">
        <v>18</v>
      </c>
      <c r="Q809" s="22" t="s">
        <v>18</v>
      </c>
      <c r="R809" s="8">
        <v>123.29465993623803</v>
      </c>
      <c r="S809" s="9">
        <v>28</v>
      </c>
      <c r="T809" s="8">
        <v>125.40903028692881</v>
      </c>
      <c r="U809" s="9">
        <v>31</v>
      </c>
      <c r="V809" s="8">
        <v>129.86062699256112</v>
      </c>
      <c r="W809" s="8">
        <v>33</v>
      </c>
      <c r="X809" s="8"/>
    </row>
    <row r="810" spans="1:24" x14ac:dyDescent="0.3">
      <c r="A810" s="1" t="s">
        <v>1915</v>
      </c>
      <c r="B810" s="1" t="s">
        <v>1017</v>
      </c>
      <c r="C810" s="1" t="s">
        <v>1587</v>
      </c>
      <c r="D810" s="1" t="s">
        <v>1593</v>
      </c>
      <c r="F810" s="1">
        <v>1998</v>
      </c>
      <c r="J810" s="6">
        <v>6455</v>
      </c>
      <c r="K810" s="6">
        <v>3000</v>
      </c>
      <c r="L810" s="21">
        <v>0.46475600309837334</v>
      </c>
      <c r="M810" s="1">
        <v>0</v>
      </c>
      <c r="N810" s="1" t="s">
        <v>28</v>
      </c>
      <c r="O810" s="1" t="s">
        <v>18</v>
      </c>
      <c r="P810" s="1" t="s">
        <v>18</v>
      </c>
      <c r="Q810" s="22" t="s">
        <v>18</v>
      </c>
      <c r="R810" s="8">
        <v>115.72306738962045</v>
      </c>
      <c r="S810" s="9">
        <v>25</v>
      </c>
      <c r="T810" s="8">
        <v>115.74163439194423</v>
      </c>
      <c r="U810" s="9">
        <v>30</v>
      </c>
      <c r="V810" s="8">
        <v>128.15346243222308</v>
      </c>
      <c r="W810" s="8">
        <v>32</v>
      </c>
      <c r="X810" s="8"/>
    </row>
    <row r="811" spans="1:24" x14ac:dyDescent="0.3">
      <c r="A811" s="1" t="s">
        <v>2079</v>
      </c>
      <c r="B811" s="1" t="s">
        <v>2080</v>
      </c>
      <c r="C811" s="1" t="s">
        <v>1587</v>
      </c>
      <c r="D811" s="1" t="s">
        <v>1593</v>
      </c>
      <c r="F811" s="1">
        <v>2017</v>
      </c>
      <c r="J811" s="6">
        <v>8178</v>
      </c>
      <c r="K811" s="6">
        <v>9998</v>
      </c>
      <c r="L811" s="21">
        <v>1.2225483003179261</v>
      </c>
      <c r="M811" s="1">
        <v>0</v>
      </c>
      <c r="N811" s="1" t="s">
        <v>28</v>
      </c>
      <c r="O811" s="1" t="s">
        <v>18</v>
      </c>
      <c r="P811" s="1" t="s">
        <v>18</v>
      </c>
      <c r="Q811" s="22" t="s">
        <v>18</v>
      </c>
      <c r="R811" s="8">
        <v>137.53589875275128</v>
      </c>
      <c r="S811" s="9">
        <v>30</v>
      </c>
      <c r="T811" s="8">
        <v>127.20500366837858</v>
      </c>
      <c r="U811" s="9">
        <v>32</v>
      </c>
      <c r="V811" s="8">
        <v>120.02286867204695</v>
      </c>
      <c r="W811" s="8">
        <v>31</v>
      </c>
      <c r="X811" s="8"/>
    </row>
    <row r="812" spans="1:24" x14ac:dyDescent="0.3">
      <c r="A812" s="1" t="s">
        <v>1943</v>
      </c>
      <c r="B812" s="1" t="s">
        <v>57</v>
      </c>
      <c r="C812" s="1" t="s">
        <v>1587</v>
      </c>
      <c r="D812" s="1" t="s">
        <v>1593</v>
      </c>
      <c r="F812" s="1">
        <v>2013</v>
      </c>
      <c r="J812" s="6">
        <v>9092</v>
      </c>
      <c r="K812" s="6">
        <v>1198</v>
      </c>
      <c r="L812" s="21">
        <v>0.1317641882974043</v>
      </c>
      <c r="M812" s="1">
        <v>0</v>
      </c>
      <c r="N812" s="1" t="s">
        <v>28</v>
      </c>
      <c r="O812" s="1" t="s">
        <v>18</v>
      </c>
      <c r="P812" s="1" t="s">
        <v>18</v>
      </c>
      <c r="Q812" s="22" t="s">
        <v>18</v>
      </c>
      <c r="R812" s="8">
        <v>116.99320831500221</v>
      </c>
      <c r="S812" s="9">
        <v>27</v>
      </c>
      <c r="T812" s="8">
        <v>115.28346898372196</v>
      </c>
      <c r="U812" s="9">
        <v>28</v>
      </c>
      <c r="V812" s="8">
        <v>118.33717553893534</v>
      </c>
      <c r="W812" s="8">
        <v>30</v>
      </c>
      <c r="X812" s="8"/>
    </row>
    <row r="813" spans="1:24" x14ac:dyDescent="0.3">
      <c r="A813" s="1" t="s">
        <v>95</v>
      </c>
      <c r="B813" s="1" t="s">
        <v>96</v>
      </c>
      <c r="C813" s="1" t="s">
        <v>1587</v>
      </c>
      <c r="D813" s="1" t="s">
        <v>1593</v>
      </c>
      <c r="F813" s="1">
        <v>2017</v>
      </c>
      <c r="J813" s="6">
        <v>22856</v>
      </c>
      <c r="K813" s="6">
        <v>13713</v>
      </c>
      <c r="L813" s="21">
        <v>0.59997374868743436</v>
      </c>
      <c r="M813" s="1">
        <v>0</v>
      </c>
      <c r="N813" s="1" t="s">
        <v>28</v>
      </c>
      <c r="O813" s="1" t="s">
        <v>18</v>
      </c>
      <c r="P813" s="1" t="s">
        <v>18</v>
      </c>
      <c r="Q813" s="22" t="s">
        <v>18</v>
      </c>
      <c r="R813" s="8">
        <v>116.33220073503675</v>
      </c>
      <c r="S813" s="9">
        <v>26</v>
      </c>
      <c r="T813" s="8">
        <v>115.29214341967098</v>
      </c>
      <c r="U813" s="9">
        <v>29</v>
      </c>
      <c r="V813" s="8">
        <v>117.48027957647882</v>
      </c>
      <c r="W813" s="8">
        <v>29</v>
      </c>
      <c r="X813" s="8"/>
    </row>
    <row r="814" spans="1:24" x14ac:dyDescent="0.3">
      <c r="A814" s="1" t="s">
        <v>1979</v>
      </c>
      <c r="B814" s="1" t="s">
        <v>1136</v>
      </c>
      <c r="C814" s="1" t="s">
        <v>1587</v>
      </c>
      <c r="D814" s="1" t="s">
        <v>1593</v>
      </c>
      <c r="F814" s="1">
        <v>2013</v>
      </c>
      <c r="J814" s="6">
        <v>6334</v>
      </c>
      <c r="K814" s="6">
        <v>441</v>
      </c>
      <c r="L814" s="21">
        <v>6.9624250078939062E-2</v>
      </c>
      <c r="M814" s="1">
        <v>0</v>
      </c>
      <c r="N814" s="1" t="s">
        <v>28</v>
      </c>
      <c r="O814" s="1" t="s">
        <v>18</v>
      </c>
      <c r="P814" s="1" t="s">
        <v>18</v>
      </c>
      <c r="Q814" s="22" t="s">
        <v>18</v>
      </c>
      <c r="R814" s="8">
        <v>110.36618250710453</v>
      </c>
      <c r="S814" s="9">
        <v>24</v>
      </c>
      <c r="T814" s="8">
        <v>110.72058414903695</v>
      </c>
      <c r="U814" s="9">
        <v>27</v>
      </c>
      <c r="V814" s="8">
        <v>111.20919482159773</v>
      </c>
      <c r="W814" s="8">
        <v>28</v>
      </c>
      <c r="X814" s="8"/>
    </row>
    <row r="815" spans="1:24" x14ac:dyDescent="0.3">
      <c r="A815" s="1" t="s">
        <v>1910</v>
      </c>
      <c r="B815" s="1" t="s">
        <v>1013</v>
      </c>
      <c r="C815" s="1" t="s">
        <v>1587</v>
      </c>
      <c r="D815" s="1" t="s">
        <v>1593</v>
      </c>
      <c r="F815" s="1">
        <v>1986</v>
      </c>
      <c r="J815" s="6">
        <v>6056</v>
      </c>
      <c r="K815" s="6">
        <v>1602</v>
      </c>
      <c r="L815" s="21">
        <v>0.26453104359313079</v>
      </c>
      <c r="M815" s="1">
        <v>0</v>
      </c>
      <c r="N815" s="1" t="s">
        <v>28</v>
      </c>
      <c r="O815" s="1" t="s">
        <v>18</v>
      </c>
      <c r="P815" s="1" t="s">
        <v>18</v>
      </c>
      <c r="Q815" s="22" t="s">
        <v>18</v>
      </c>
      <c r="R815" s="8">
        <v>105.78327939233819</v>
      </c>
      <c r="S815" s="9">
        <v>23</v>
      </c>
      <c r="T815" s="8">
        <v>100.32585535006605</v>
      </c>
      <c r="U815" s="9">
        <v>25</v>
      </c>
      <c r="V815" s="8">
        <v>109.72876486129459</v>
      </c>
      <c r="W815" s="8">
        <v>27</v>
      </c>
      <c r="X815" s="8"/>
    </row>
    <row r="816" spans="1:24" x14ac:dyDescent="0.3">
      <c r="A816" s="1" t="s">
        <v>1952</v>
      </c>
      <c r="B816" s="1" t="s">
        <v>390</v>
      </c>
      <c r="C816" s="1" t="s">
        <v>1587</v>
      </c>
      <c r="D816" s="1" t="s">
        <v>1593</v>
      </c>
      <c r="F816" s="1">
        <v>2015</v>
      </c>
      <c r="J816" s="6">
        <v>7307</v>
      </c>
      <c r="K816" s="6">
        <v>632</v>
      </c>
      <c r="L816" s="21">
        <v>8.6492404543588336E-2</v>
      </c>
      <c r="M816" s="1">
        <v>0</v>
      </c>
      <c r="N816" s="1" t="s">
        <v>28</v>
      </c>
      <c r="O816" s="1" t="s">
        <v>18</v>
      </c>
      <c r="P816" s="1" t="s">
        <v>18</v>
      </c>
      <c r="Q816" s="22" t="s">
        <v>18</v>
      </c>
      <c r="R816" s="8">
        <v>105.01573149035171</v>
      </c>
      <c r="S816" s="9">
        <v>22</v>
      </c>
      <c r="T816" s="8">
        <v>106.96936499247298</v>
      </c>
      <c r="U816" s="9">
        <v>26</v>
      </c>
      <c r="V816" s="8">
        <v>107.74414260298343</v>
      </c>
      <c r="W816" s="8">
        <v>26</v>
      </c>
      <c r="X816" s="8"/>
    </row>
    <row r="817" spans="1:24" x14ac:dyDescent="0.3">
      <c r="A817" s="1" t="s">
        <v>1021</v>
      </c>
      <c r="B817" s="1" t="s">
        <v>1022</v>
      </c>
      <c r="C817" s="1" t="s">
        <v>1587</v>
      </c>
      <c r="D817" s="1" t="s">
        <v>1593</v>
      </c>
      <c r="F817" s="1">
        <v>2016</v>
      </c>
      <c r="J817" s="6">
        <v>12900</v>
      </c>
      <c r="K817" s="6">
        <v>1489</v>
      </c>
      <c r="L817" s="21">
        <v>0.11542635658914728</v>
      </c>
      <c r="M817" s="1">
        <v>0</v>
      </c>
      <c r="N817" s="1" t="s">
        <v>28</v>
      </c>
      <c r="O817" s="1" t="s">
        <v>18</v>
      </c>
      <c r="P817" s="1" t="s">
        <v>18</v>
      </c>
      <c r="Q817" s="22" t="s">
        <v>18</v>
      </c>
      <c r="R817" s="8">
        <v>92.885765116279075</v>
      </c>
      <c r="S817" s="9">
        <v>18</v>
      </c>
      <c r="T817" s="8">
        <v>92.82715348837209</v>
      </c>
      <c r="U817" s="9">
        <v>23</v>
      </c>
      <c r="V817" s="8">
        <v>94.422976744186045</v>
      </c>
      <c r="W817" s="8">
        <v>25</v>
      </c>
      <c r="X817" s="8"/>
    </row>
    <row r="818" spans="1:24" x14ac:dyDescent="0.3">
      <c r="A818" s="1" t="s">
        <v>988</v>
      </c>
      <c r="B818" s="1" t="s">
        <v>1784</v>
      </c>
      <c r="C818" s="1" t="s">
        <v>1587</v>
      </c>
      <c r="D818" s="1" t="s">
        <v>1593</v>
      </c>
      <c r="F818" s="1">
        <v>2018</v>
      </c>
      <c r="J818" s="6">
        <v>10833</v>
      </c>
      <c r="K818" s="6">
        <v>1164</v>
      </c>
      <c r="L818" s="21">
        <v>0.10744945998338411</v>
      </c>
      <c r="M818" s="1">
        <v>0</v>
      </c>
      <c r="N818" s="1" t="s">
        <v>28</v>
      </c>
      <c r="O818" s="1" t="s">
        <v>18</v>
      </c>
      <c r="P818" s="1" t="s">
        <v>18</v>
      </c>
      <c r="Q818" s="22" t="s">
        <v>18</v>
      </c>
      <c r="R818" s="8">
        <v>97.171476045416796</v>
      </c>
      <c r="S818" s="9">
        <v>20</v>
      </c>
      <c r="T818" s="8">
        <v>87.80527554693991</v>
      </c>
      <c r="U818" s="9">
        <v>20</v>
      </c>
      <c r="V818" s="8">
        <v>92.550772639158126</v>
      </c>
      <c r="W818" s="8">
        <v>24</v>
      </c>
      <c r="X818" s="8"/>
    </row>
    <row r="819" spans="1:24" x14ac:dyDescent="0.3">
      <c r="A819" s="1" t="s">
        <v>1803</v>
      </c>
      <c r="B819" s="1" t="s">
        <v>1804</v>
      </c>
      <c r="C819" s="1" t="s">
        <v>1587</v>
      </c>
      <c r="D819" s="1" t="s">
        <v>1593</v>
      </c>
      <c r="F819" s="1">
        <v>2016</v>
      </c>
      <c r="J819" s="6">
        <v>10992</v>
      </c>
      <c r="K819" s="6">
        <v>1</v>
      </c>
      <c r="L819" s="21">
        <v>9.097525473071325E-5</v>
      </c>
      <c r="M819" s="1">
        <v>0</v>
      </c>
      <c r="N819" s="1" t="s">
        <v>1590</v>
      </c>
      <c r="O819" s="1" t="s">
        <v>18</v>
      </c>
      <c r="P819" s="1">
        <v>0</v>
      </c>
      <c r="Q819" s="22">
        <v>44907</v>
      </c>
      <c r="R819" s="8">
        <v>91.766457423580789</v>
      </c>
      <c r="S819" s="9">
        <v>16</v>
      </c>
      <c r="T819" s="8">
        <v>87.765665938864629</v>
      </c>
      <c r="U819" s="9">
        <v>19</v>
      </c>
      <c r="V819" s="8">
        <v>88.996271834061133</v>
      </c>
      <c r="W819" s="8">
        <v>23</v>
      </c>
      <c r="X819" s="8"/>
    </row>
    <row r="820" spans="1:24" x14ac:dyDescent="0.3">
      <c r="A820" s="1" t="s">
        <v>1060</v>
      </c>
      <c r="B820" s="1" t="s">
        <v>2143</v>
      </c>
      <c r="C820" s="1" t="s">
        <v>1587</v>
      </c>
      <c r="D820" s="1" t="s">
        <v>1593</v>
      </c>
      <c r="F820" s="1">
        <v>1996</v>
      </c>
      <c r="J820" s="6">
        <v>15431</v>
      </c>
      <c r="K820" s="6">
        <v>1416</v>
      </c>
      <c r="L820" s="21">
        <v>9.1763333549348708E-2</v>
      </c>
      <c r="M820" s="1">
        <v>0</v>
      </c>
      <c r="N820" s="1" t="s">
        <v>28</v>
      </c>
      <c r="O820" s="1" t="s">
        <v>18</v>
      </c>
      <c r="P820" s="1" t="s">
        <v>18</v>
      </c>
      <c r="Q820" s="22" t="s">
        <v>18</v>
      </c>
      <c r="R820" s="8">
        <v>100.16543645907589</v>
      </c>
      <c r="S820" s="9">
        <v>21</v>
      </c>
      <c r="T820" s="8">
        <v>97.27451558550969</v>
      </c>
      <c r="U820" s="9">
        <v>24</v>
      </c>
      <c r="V820" s="8">
        <v>88.374716479813358</v>
      </c>
      <c r="W820" s="8">
        <v>22</v>
      </c>
      <c r="X820" s="8"/>
    </row>
    <row r="821" spans="1:24" x14ac:dyDescent="0.3">
      <c r="A821" s="1" t="s">
        <v>481</v>
      </c>
      <c r="B821" s="1" t="s">
        <v>482</v>
      </c>
      <c r="C821" s="1" t="s">
        <v>1587</v>
      </c>
      <c r="D821" s="1" t="s">
        <v>1593</v>
      </c>
      <c r="F821" s="1">
        <v>2016</v>
      </c>
      <c r="J821" s="6">
        <v>9520</v>
      </c>
      <c r="K821" s="6">
        <v>1900</v>
      </c>
      <c r="L821" s="21">
        <v>0.19957983193277312</v>
      </c>
      <c r="M821" s="1">
        <v>0</v>
      </c>
      <c r="N821" s="1" t="s">
        <v>28</v>
      </c>
      <c r="O821" s="1" t="s">
        <v>18</v>
      </c>
      <c r="P821" s="1" t="s">
        <v>18</v>
      </c>
      <c r="Q821" s="22" t="s">
        <v>18</v>
      </c>
      <c r="R821" s="8">
        <v>92.229668067226882</v>
      </c>
      <c r="S821" s="9">
        <v>17</v>
      </c>
      <c r="T821" s="8">
        <v>90.073436974789914</v>
      </c>
      <c r="U821" s="9">
        <v>21</v>
      </c>
      <c r="V821" s="8">
        <v>87.857977941176472</v>
      </c>
      <c r="W821" s="8">
        <v>21</v>
      </c>
      <c r="X821" s="8"/>
    </row>
    <row r="822" spans="1:24" x14ac:dyDescent="0.3">
      <c r="A822" s="1" t="s">
        <v>1932</v>
      </c>
      <c r="B822" s="1" t="s">
        <v>1933</v>
      </c>
      <c r="C822" s="1" t="s">
        <v>1587</v>
      </c>
      <c r="D822" s="1" t="s">
        <v>1593</v>
      </c>
      <c r="F822" s="1">
        <v>1997</v>
      </c>
      <c r="J822" s="6">
        <v>12110</v>
      </c>
      <c r="K822" s="6">
        <v>1699</v>
      </c>
      <c r="L822" s="21">
        <v>0.1402972749793559</v>
      </c>
      <c r="M822" s="1">
        <v>0</v>
      </c>
      <c r="N822" s="1" t="s">
        <v>28</v>
      </c>
      <c r="O822" s="1" t="s">
        <v>18</v>
      </c>
      <c r="P822" s="1" t="s">
        <v>18</v>
      </c>
      <c r="Q822" s="22" t="s">
        <v>18</v>
      </c>
      <c r="R822" s="8">
        <v>78.229808422791081</v>
      </c>
      <c r="S822" s="9">
        <v>8</v>
      </c>
      <c r="T822" s="8">
        <v>85.770257638315442</v>
      </c>
      <c r="U822" s="9">
        <v>18</v>
      </c>
      <c r="V822" s="8">
        <v>87.843919075144512</v>
      </c>
      <c r="W822" s="8">
        <v>20</v>
      </c>
      <c r="X822" s="8"/>
    </row>
    <row r="823" spans="1:24" x14ac:dyDescent="0.3">
      <c r="A823" s="1" t="s">
        <v>467</v>
      </c>
      <c r="B823" s="1" t="s">
        <v>1969</v>
      </c>
      <c r="C823" s="1" t="s">
        <v>1587</v>
      </c>
      <c r="D823" s="1" t="s">
        <v>1593</v>
      </c>
      <c r="F823" s="1">
        <v>1997</v>
      </c>
      <c r="J823" s="6">
        <v>5400</v>
      </c>
      <c r="K823" s="6">
        <v>700</v>
      </c>
      <c r="L823" s="21">
        <v>0.12962962962962962</v>
      </c>
      <c r="M823" s="1">
        <v>0</v>
      </c>
      <c r="N823" s="1" t="s">
        <v>28</v>
      </c>
      <c r="O823" s="1" t="s">
        <v>18</v>
      </c>
      <c r="P823" s="1" t="s">
        <v>18</v>
      </c>
      <c r="Q823" s="22" t="s">
        <v>18</v>
      </c>
      <c r="R823" s="8">
        <v>90.235388888888878</v>
      </c>
      <c r="S823" s="9">
        <v>14</v>
      </c>
      <c r="T823" s="8">
        <v>91.319074074074081</v>
      </c>
      <c r="U823" s="9">
        <v>22</v>
      </c>
      <c r="V823" s="8">
        <v>87.489703703703711</v>
      </c>
      <c r="W823" s="8">
        <v>19</v>
      </c>
      <c r="X823" s="8"/>
    </row>
    <row r="824" spans="1:24" x14ac:dyDescent="0.3">
      <c r="A824" s="1" t="s">
        <v>2352</v>
      </c>
      <c r="B824" s="1" t="s">
        <v>2353</v>
      </c>
      <c r="C824" s="1" t="s">
        <v>1587</v>
      </c>
      <c r="D824" s="1" t="s">
        <v>1593</v>
      </c>
      <c r="F824" s="1">
        <v>2001</v>
      </c>
      <c r="J824" s="6">
        <v>8832</v>
      </c>
      <c r="K824" s="6">
        <v>1297</v>
      </c>
      <c r="L824" s="21">
        <v>0.14685235507246377</v>
      </c>
      <c r="M824" s="1">
        <v>0</v>
      </c>
      <c r="N824" s="1" t="s">
        <v>28</v>
      </c>
      <c r="O824" s="1" t="s">
        <v>18</v>
      </c>
      <c r="P824" s="1" t="s">
        <v>18</v>
      </c>
      <c r="Q824" s="22" t="s">
        <v>18</v>
      </c>
      <c r="R824" s="8">
        <v>81.666694972826093</v>
      </c>
      <c r="S824" s="9">
        <v>10</v>
      </c>
      <c r="T824" s="8">
        <v>84.479551630434784</v>
      </c>
      <c r="U824" s="9">
        <v>16</v>
      </c>
      <c r="V824" s="8">
        <v>85.273494112318843</v>
      </c>
      <c r="W824" s="8">
        <v>18</v>
      </c>
      <c r="X824" s="8"/>
    </row>
    <row r="825" spans="1:24" x14ac:dyDescent="0.3">
      <c r="A825" s="1" t="s">
        <v>1776</v>
      </c>
      <c r="B825" s="1" t="s">
        <v>1777</v>
      </c>
      <c r="C825" s="1" t="s">
        <v>1587</v>
      </c>
      <c r="D825" s="1" t="s">
        <v>1593</v>
      </c>
      <c r="F825" s="1">
        <v>2001</v>
      </c>
      <c r="J825" s="6">
        <v>7250</v>
      </c>
      <c r="K825" s="6">
        <v>1421</v>
      </c>
      <c r="L825" s="21">
        <v>0.19600000000000001</v>
      </c>
      <c r="M825" s="1">
        <v>0</v>
      </c>
      <c r="N825" s="1" t="s">
        <v>28</v>
      </c>
      <c r="O825" s="1" t="s">
        <v>18</v>
      </c>
      <c r="P825" s="1" t="s">
        <v>18</v>
      </c>
      <c r="Q825" s="1" t="s">
        <v>18</v>
      </c>
      <c r="R825" s="8">
        <v>85.07209655172413</v>
      </c>
      <c r="S825" s="9">
        <v>12</v>
      </c>
      <c r="T825" s="8">
        <v>83.59142068965518</v>
      </c>
      <c r="U825" s="9">
        <v>15</v>
      </c>
      <c r="V825" s="8">
        <v>84.683703448275864</v>
      </c>
      <c r="W825" s="8">
        <v>17</v>
      </c>
      <c r="X825" s="8"/>
    </row>
    <row r="826" spans="1:24" x14ac:dyDescent="0.3">
      <c r="A826" s="1" t="s">
        <v>85</v>
      </c>
      <c r="B826" s="1" t="s">
        <v>2603</v>
      </c>
      <c r="C826" s="1" t="s">
        <v>1587</v>
      </c>
      <c r="D826" s="1" t="s">
        <v>1593</v>
      </c>
      <c r="F826" s="1">
        <v>1993</v>
      </c>
      <c r="J826" s="6">
        <v>171698</v>
      </c>
      <c r="K826" s="6">
        <v>31200</v>
      </c>
      <c r="L826" s="21">
        <v>0.18171440552598167</v>
      </c>
      <c r="M826" s="1">
        <v>0</v>
      </c>
      <c r="N826" s="1" t="s">
        <v>1590</v>
      </c>
      <c r="Q826" s="22"/>
      <c r="R826" s="8">
        <v>77.592523675290337</v>
      </c>
      <c r="S826" s="9">
        <v>7</v>
      </c>
      <c r="T826" s="8">
        <v>77.789166501648239</v>
      </c>
      <c r="U826" s="9">
        <v>9</v>
      </c>
      <c r="V826" s="8">
        <v>83.868079010821319</v>
      </c>
      <c r="W826" s="8">
        <v>16</v>
      </c>
      <c r="X826" s="8"/>
    </row>
    <row r="827" spans="1:24" x14ac:dyDescent="0.3">
      <c r="A827" s="1" t="s">
        <v>520</v>
      </c>
      <c r="B827" s="1" t="s">
        <v>2096</v>
      </c>
      <c r="C827" s="1" t="s">
        <v>1587</v>
      </c>
      <c r="D827" s="1" t="s">
        <v>1593</v>
      </c>
      <c r="F827" s="1">
        <v>2002</v>
      </c>
      <c r="J827" s="6">
        <v>5788</v>
      </c>
      <c r="K827" s="6">
        <v>1007</v>
      </c>
      <c r="L827" s="21">
        <v>0.17398064961990325</v>
      </c>
      <c r="M827" s="1">
        <v>0</v>
      </c>
      <c r="N827" s="1" t="s">
        <v>28</v>
      </c>
      <c r="O827" s="1" t="s">
        <v>18</v>
      </c>
      <c r="P827" s="1" t="s">
        <v>18</v>
      </c>
      <c r="Q827" s="22" t="s">
        <v>18</v>
      </c>
      <c r="R827" s="8">
        <v>90.744937802349682</v>
      </c>
      <c r="S827" s="9">
        <v>15</v>
      </c>
      <c r="T827" s="8">
        <v>84.849136143745682</v>
      </c>
      <c r="U827" s="9">
        <v>17</v>
      </c>
      <c r="V827" s="8">
        <v>82.703178991015889</v>
      </c>
      <c r="W827" s="8">
        <v>15</v>
      </c>
      <c r="X827" s="8"/>
    </row>
    <row r="828" spans="1:24" x14ac:dyDescent="0.3">
      <c r="A828" s="1" t="s">
        <v>571</v>
      </c>
      <c r="B828" s="1" t="s">
        <v>1980</v>
      </c>
      <c r="C828" s="1" t="s">
        <v>1587</v>
      </c>
      <c r="D828" s="1" t="s">
        <v>1593</v>
      </c>
      <c r="F828" s="1">
        <v>2021</v>
      </c>
      <c r="J828" s="6">
        <v>6946</v>
      </c>
      <c r="K828" s="6">
        <v>556</v>
      </c>
      <c r="L828" s="21">
        <v>8.0046069680391588E-2</v>
      </c>
      <c r="M828" s="1">
        <v>0</v>
      </c>
      <c r="N828" s="1" t="s">
        <v>28</v>
      </c>
      <c r="O828" s="1" t="s">
        <v>18</v>
      </c>
      <c r="P828" s="1" t="s">
        <v>18</v>
      </c>
      <c r="Q828" s="22" t="s">
        <v>18</v>
      </c>
      <c r="R828" s="8" t="s">
        <v>18</v>
      </c>
      <c r="S828" s="9" t="s">
        <v>18</v>
      </c>
      <c r="T828" s="8">
        <v>32.608695652173914</v>
      </c>
      <c r="U828" s="9">
        <v>2</v>
      </c>
      <c r="V828" s="8">
        <v>81.120069104520582</v>
      </c>
      <c r="W828" s="8">
        <v>14</v>
      </c>
      <c r="X828" s="8"/>
    </row>
    <row r="829" spans="1:24" x14ac:dyDescent="0.3">
      <c r="A829" s="1" t="s">
        <v>921</v>
      </c>
      <c r="B829" s="1" t="s">
        <v>922</v>
      </c>
      <c r="C829" s="1" t="s">
        <v>1587</v>
      </c>
      <c r="D829" s="1" t="s">
        <v>1593</v>
      </c>
      <c r="F829" s="1">
        <v>2017</v>
      </c>
      <c r="J829" s="6">
        <v>8994</v>
      </c>
      <c r="K829" s="6">
        <v>900</v>
      </c>
      <c r="L829" s="21">
        <v>0.1000667111407605</v>
      </c>
      <c r="M829" s="1">
        <v>0</v>
      </c>
      <c r="N829" s="1" t="s">
        <v>28</v>
      </c>
      <c r="O829" s="1" t="s">
        <v>18</v>
      </c>
      <c r="P829" s="1" t="s">
        <v>18</v>
      </c>
      <c r="Q829" s="22" t="s">
        <v>18</v>
      </c>
      <c r="R829" s="8">
        <v>79.669693128752499</v>
      </c>
      <c r="S829" s="9">
        <v>9</v>
      </c>
      <c r="T829" s="8">
        <v>77.292655103402268</v>
      </c>
      <c r="U829" s="9">
        <v>8</v>
      </c>
      <c r="V829" s="8">
        <v>79.699269513008673</v>
      </c>
      <c r="W829" s="8">
        <v>13</v>
      </c>
      <c r="X829" s="8"/>
    </row>
    <row r="830" spans="1:24" x14ac:dyDescent="0.3">
      <c r="A830" s="1" t="s">
        <v>571</v>
      </c>
      <c r="B830" s="1" t="s">
        <v>572</v>
      </c>
      <c r="C830" s="1" t="s">
        <v>1587</v>
      </c>
      <c r="D830" s="1" t="s">
        <v>1593</v>
      </c>
      <c r="F830" s="1">
        <v>2014</v>
      </c>
      <c r="J830" s="6">
        <v>6870</v>
      </c>
      <c r="K830" s="6">
        <v>680</v>
      </c>
      <c r="L830" s="21">
        <v>9.8981077147016011E-2</v>
      </c>
      <c r="M830" s="1">
        <v>0</v>
      </c>
      <c r="N830" s="1" t="s">
        <v>28</v>
      </c>
      <c r="O830" s="1" t="s">
        <v>18</v>
      </c>
      <c r="P830" s="1" t="s">
        <v>18</v>
      </c>
      <c r="Q830" s="22" t="s">
        <v>18</v>
      </c>
      <c r="R830" s="8">
        <v>84.373362445414841</v>
      </c>
      <c r="S830" s="9">
        <v>11</v>
      </c>
      <c r="T830" s="8">
        <v>79.126637554585159</v>
      </c>
      <c r="U830" s="9">
        <v>11</v>
      </c>
      <c r="V830" s="8">
        <v>78.613537117903931</v>
      </c>
      <c r="W830" s="8">
        <v>12</v>
      </c>
      <c r="X830" s="8"/>
    </row>
    <row r="831" spans="1:24" x14ac:dyDescent="0.3">
      <c r="A831" s="1" t="s">
        <v>1994</v>
      </c>
      <c r="B831" s="1" t="s">
        <v>1995</v>
      </c>
      <c r="C831" s="1" t="s">
        <v>1587</v>
      </c>
      <c r="D831" s="1" t="s">
        <v>1593</v>
      </c>
      <c r="F831" s="1">
        <v>2012</v>
      </c>
      <c r="J831" s="6">
        <v>6193</v>
      </c>
      <c r="K831" s="6">
        <v>1000</v>
      </c>
      <c r="L831" s="21">
        <v>0.16147263038914905</v>
      </c>
      <c r="M831" s="1">
        <v>0</v>
      </c>
      <c r="N831" s="1" t="s">
        <v>28</v>
      </c>
      <c r="O831" s="1" t="s">
        <v>18</v>
      </c>
      <c r="P831" s="1" t="s">
        <v>18</v>
      </c>
      <c r="Q831" s="22" t="s">
        <v>18</v>
      </c>
      <c r="R831" s="8">
        <v>93.707419667366395</v>
      </c>
      <c r="S831" s="9">
        <v>19</v>
      </c>
      <c r="T831" s="8">
        <v>81.041345067011136</v>
      </c>
      <c r="U831" s="9">
        <v>13</v>
      </c>
      <c r="V831" s="8">
        <v>78.335278540287419</v>
      </c>
      <c r="W831" s="8">
        <v>11</v>
      </c>
      <c r="X831" s="8"/>
    </row>
    <row r="832" spans="1:24" x14ac:dyDescent="0.3">
      <c r="A832" s="1" t="s">
        <v>2560</v>
      </c>
      <c r="B832" s="1" t="s">
        <v>2561</v>
      </c>
      <c r="C832" s="1" t="s">
        <v>1587</v>
      </c>
      <c r="D832" s="1" t="s">
        <v>1593</v>
      </c>
      <c r="F832" s="1">
        <v>2019</v>
      </c>
      <c r="J832" s="6">
        <v>8534.16</v>
      </c>
      <c r="K832" s="6">
        <v>2837</v>
      </c>
      <c r="L832" s="21">
        <v>0.33242873346644547</v>
      </c>
      <c r="M832" s="1">
        <v>0</v>
      </c>
      <c r="N832" s="1" t="s">
        <v>28</v>
      </c>
      <c r="O832" s="1" t="s">
        <v>18</v>
      </c>
      <c r="P832" s="1" t="s">
        <v>18</v>
      </c>
      <c r="Q832" s="22" t="s">
        <v>18</v>
      </c>
      <c r="R832" s="8">
        <v>73.334184032171891</v>
      </c>
      <c r="S832" s="9">
        <v>4</v>
      </c>
      <c r="T832" s="8">
        <v>83.127548581231196</v>
      </c>
      <c r="U832" s="9">
        <v>14</v>
      </c>
      <c r="V832" s="8">
        <v>76.893058016254685</v>
      </c>
      <c r="W832" s="8">
        <v>10</v>
      </c>
      <c r="X832" s="8"/>
    </row>
    <row r="833" spans="1:24" x14ac:dyDescent="0.3">
      <c r="A833" s="1" t="s">
        <v>1899</v>
      </c>
      <c r="B833" s="1" t="s">
        <v>1900</v>
      </c>
      <c r="C833" s="1" t="s">
        <v>1587</v>
      </c>
      <c r="D833" s="1" t="s">
        <v>1593</v>
      </c>
      <c r="F833" s="1">
        <v>2018</v>
      </c>
      <c r="J833" s="6">
        <v>16599</v>
      </c>
      <c r="K833" s="6">
        <v>1853</v>
      </c>
      <c r="L833" s="21">
        <v>0.11163323091752515</v>
      </c>
      <c r="M833" s="1">
        <v>0</v>
      </c>
      <c r="N833" s="1" t="s">
        <v>28</v>
      </c>
      <c r="O833" s="1" t="s">
        <v>18</v>
      </c>
      <c r="P833" s="1">
        <v>0.68</v>
      </c>
      <c r="Q833" s="22">
        <v>43276</v>
      </c>
      <c r="R833" s="8">
        <v>71.328231821194052</v>
      </c>
      <c r="S833" s="9">
        <v>3</v>
      </c>
      <c r="T833" s="8">
        <v>74.626343755647923</v>
      </c>
      <c r="U833" s="9">
        <v>6</v>
      </c>
      <c r="V833" s="8">
        <v>76.484891860955472</v>
      </c>
      <c r="W833" s="8">
        <v>9</v>
      </c>
      <c r="X833" s="8"/>
    </row>
    <row r="834" spans="1:24" x14ac:dyDescent="0.3">
      <c r="A834" s="1" t="s">
        <v>2300</v>
      </c>
      <c r="B834" s="1" t="s">
        <v>890</v>
      </c>
      <c r="C834" s="1" t="s">
        <v>1587</v>
      </c>
      <c r="D834" s="1" t="s">
        <v>1593</v>
      </c>
      <c r="F834" s="1">
        <v>2021</v>
      </c>
      <c r="J834" s="6">
        <v>12753</v>
      </c>
      <c r="K834" s="6">
        <v>2810</v>
      </c>
      <c r="L834" s="21">
        <v>0.22034031208343136</v>
      </c>
      <c r="M834" s="1">
        <v>0</v>
      </c>
      <c r="N834" s="1" t="s">
        <v>28</v>
      </c>
      <c r="O834" s="1" t="s">
        <v>18</v>
      </c>
      <c r="P834" s="1">
        <v>0.83</v>
      </c>
      <c r="Q834" s="22">
        <v>44913</v>
      </c>
      <c r="R834" s="8" t="s">
        <v>18</v>
      </c>
      <c r="S834" s="9" t="s">
        <v>18</v>
      </c>
      <c r="T834" s="8">
        <v>74.667853054183325</v>
      </c>
      <c r="U834" s="9">
        <v>7</v>
      </c>
      <c r="V834" s="8">
        <v>75.147264173135738</v>
      </c>
      <c r="W834" s="8">
        <v>8</v>
      </c>
      <c r="X834" s="8"/>
    </row>
    <row r="835" spans="1:24" x14ac:dyDescent="0.3">
      <c r="A835" s="1" t="s">
        <v>2135</v>
      </c>
      <c r="B835" s="1" t="s">
        <v>466</v>
      </c>
      <c r="C835" s="1" t="s">
        <v>1587</v>
      </c>
      <c r="D835" s="1" t="s">
        <v>1593</v>
      </c>
      <c r="F835" s="1">
        <v>2003</v>
      </c>
      <c r="J835" s="6">
        <v>18224</v>
      </c>
      <c r="K835" s="6">
        <v>680</v>
      </c>
      <c r="L835" s="21">
        <v>3.7313432835820892E-2</v>
      </c>
      <c r="M835" s="1">
        <v>0</v>
      </c>
      <c r="N835" s="1" t="s">
        <v>28</v>
      </c>
      <c r="O835" s="1" t="s">
        <v>18</v>
      </c>
      <c r="P835" s="1" t="s">
        <v>18</v>
      </c>
      <c r="Q835" s="22" t="s">
        <v>18</v>
      </c>
      <c r="R835" s="8">
        <v>89.2363218832309</v>
      </c>
      <c r="S835" s="9">
        <v>13</v>
      </c>
      <c r="T835" s="8">
        <v>78.235792361720812</v>
      </c>
      <c r="U835" s="9">
        <v>10</v>
      </c>
      <c r="V835" s="8">
        <v>74.841288410886733</v>
      </c>
      <c r="W835" s="8">
        <v>7</v>
      </c>
      <c r="X835" s="8"/>
    </row>
    <row r="836" spans="1:24" x14ac:dyDescent="0.3">
      <c r="A836" s="1" t="s">
        <v>780</v>
      </c>
      <c r="B836" s="1" t="s">
        <v>781</v>
      </c>
      <c r="C836" s="1" t="s">
        <v>1587</v>
      </c>
      <c r="D836" s="1" t="s">
        <v>1593</v>
      </c>
      <c r="F836" s="1">
        <v>1999</v>
      </c>
      <c r="J836" s="6">
        <v>7216</v>
      </c>
      <c r="K836" s="6">
        <v>586</v>
      </c>
      <c r="L836" s="21">
        <v>8.1208425720620842E-2</v>
      </c>
      <c r="M836" s="1">
        <v>0</v>
      </c>
      <c r="N836" s="1" t="s">
        <v>28</v>
      </c>
      <c r="O836" s="1" t="s">
        <v>18</v>
      </c>
      <c r="P836" s="1" t="s">
        <v>18</v>
      </c>
      <c r="Q836" s="22" t="s">
        <v>18</v>
      </c>
      <c r="R836" s="8">
        <v>75.843590631929047</v>
      </c>
      <c r="S836" s="9">
        <v>6</v>
      </c>
      <c r="T836" s="8">
        <v>79.445378325942343</v>
      </c>
      <c r="U836" s="9">
        <v>12</v>
      </c>
      <c r="V836" s="8">
        <v>74.190264689578711</v>
      </c>
      <c r="W836" s="8">
        <v>6</v>
      </c>
      <c r="X836" s="8"/>
    </row>
    <row r="837" spans="1:24" x14ac:dyDescent="0.3">
      <c r="A837" s="1" t="s">
        <v>1916</v>
      </c>
      <c r="B837" s="1" t="s">
        <v>1016</v>
      </c>
      <c r="C837" s="1" t="s">
        <v>1587</v>
      </c>
      <c r="D837" s="1" t="s">
        <v>1593</v>
      </c>
      <c r="F837" s="1">
        <v>2014</v>
      </c>
      <c r="J837" s="6">
        <v>6757</v>
      </c>
      <c r="K837" s="6">
        <v>389</v>
      </c>
      <c r="L837" s="21">
        <v>5.7569927482610625E-2</v>
      </c>
      <c r="M837" s="1">
        <v>0</v>
      </c>
      <c r="N837" s="1" t="s">
        <v>28</v>
      </c>
      <c r="O837" s="1" t="s">
        <v>18</v>
      </c>
      <c r="P837" s="1" t="s">
        <v>18</v>
      </c>
      <c r="Q837" s="22" t="s">
        <v>18</v>
      </c>
      <c r="R837" s="8">
        <v>74.503759064673673</v>
      </c>
      <c r="S837" s="9">
        <v>5</v>
      </c>
      <c r="T837" s="8">
        <v>69.98207784519758</v>
      </c>
      <c r="U837" s="9">
        <v>5</v>
      </c>
      <c r="V837" s="8">
        <v>70.063741305313016</v>
      </c>
      <c r="W837" s="8">
        <v>5</v>
      </c>
      <c r="X837" s="8"/>
    </row>
    <row r="838" spans="1:24" x14ac:dyDescent="0.3">
      <c r="A838" s="1" t="s">
        <v>487</v>
      </c>
      <c r="B838" s="1" t="s">
        <v>488</v>
      </c>
      <c r="C838" s="1" t="s">
        <v>1587</v>
      </c>
      <c r="D838" s="1" t="s">
        <v>1593</v>
      </c>
      <c r="F838" s="1">
        <v>2017</v>
      </c>
      <c r="J838" s="6">
        <v>22054</v>
      </c>
      <c r="K838" s="6">
        <v>3010</v>
      </c>
      <c r="L838" s="21">
        <v>0.13648317765484719</v>
      </c>
      <c r="M838" s="1">
        <v>0</v>
      </c>
      <c r="N838" s="1" t="s">
        <v>28</v>
      </c>
      <c r="O838" s="1" t="s">
        <v>18</v>
      </c>
      <c r="P838" s="1" t="s">
        <v>18</v>
      </c>
      <c r="Q838" s="22" t="s">
        <v>18</v>
      </c>
      <c r="R838" s="8">
        <v>64.308520903237508</v>
      </c>
      <c r="S838" s="9">
        <v>2</v>
      </c>
      <c r="T838" s="8">
        <v>67.197409993651945</v>
      </c>
      <c r="U838" s="9">
        <v>4</v>
      </c>
      <c r="V838" s="8">
        <v>69.487253106012503</v>
      </c>
      <c r="W838" s="8">
        <v>4</v>
      </c>
      <c r="X838" s="8"/>
    </row>
    <row r="839" spans="1:24" x14ac:dyDescent="0.3">
      <c r="A839" s="1" t="s">
        <v>2311</v>
      </c>
      <c r="B839" s="1" t="s">
        <v>2312</v>
      </c>
      <c r="C839" s="1" t="s">
        <v>1587</v>
      </c>
      <c r="D839" s="1" t="s">
        <v>1593</v>
      </c>
      <c r="F839" s="1">
        <v>2021</v>
      </c>
      <c r="J839" s="6">
        <v>13769</v>
      </c>
      <c r="K839" s="6">
        <v>1459</v>
      </c>
      <c r="L839" s="21">
        <v>0.10596266976541506</v>
      </c>
      <c r="M839" s="1">
        <v>0</v>
      </c>
      <c r="N839" s="1" t="s">
        <v>28</v>
      </c>
      <c r="O839" s="1" t="s">
        <v>18</v>
      </c>
      <c r="P839" s="1" t="s">
        <v>18</v>
      </c>
      <c r="Q839" s="22" t="s">
        <v>18</v>
      </c>
      <c r="R839" s="8" t="s">
        <v>18</v>
      </c>
      <c r="S839" s="9" t="s">
        <v>18</v>
      </c>
      <c r="T839" s="8">
        <v>2.970440845377297</v>
      </c>
      <c r="U839" s="9">
        <v>1</v>
      </c>
      <c r="V839" s="8">
        <v>45.338190137264874</v>
      </c>
      <c r="W839" s="8">
        <v>3</v>
      </c>
      <c r="X839" s="8"/>
    </row>
    <row r="840" spans="1:24" x14ac:dyDescent="0.3">
      <c r="A840" s="1" t="s">
        <v>2506</v>
      </c>
      <c r="B840" s="1" t="s">
        <v>2507</v>
      </c>
      <c r="C840" s="1" t="s">
        <v>1587</v>
      </c>
      <c r="D840" s="1" t="s">
        <v>1593</v>
      </c>
      <c r="F840" s="1">
        <v>1939</v>
      </c>
      <c r="J840" s="6">
        <v>13002</v>
      </c>
      <c r="K840" s="6">
        <v>360</v>
      </c>
      <c r="L840" s="21">
        <v>2.7688047992616521E-2</v>
      </c>
      <c r="M840" s="1">
        <v>0</v>
      </c>
      <c r="N840" s="1" t="s">
        <v>28</v>
      </c>
      <c r="O840" s="1" t="s">
        <v>18</v>
      </c>
      <c r="P840" s="1" t="s">
        <v>18</v>
      </c>
      <c r="Q840" s="22" t="s">
        <v>18</v>
      </c>
      <c r="R840" s="8">
        <v>35.726030610675281</v>
      </c>
      <c r="S840" s="9">
        <v>1</v>
      </c>
      <c r="T840" s="8">
        <v>35.346873557914165</v>
      </c>
      <c r="U840" s="9">
        <v>3</v>
      </c>
      <c r="V840" s="8">
        <v>34.656537455776032</v>
      </c>
      <c r="W840" s="8">
        <v>2</v>
      </c>
      <c r="X840" s="8"/>
    </row>
    <row r="841" spans="1:24" x14ac:dyDescent="0.3">
      <c r="A841" s="1" t="s">
        <v>2562</v>
      </c>
      <c r="B841" s="1" t="s">
        <v>2563</v>
      </c>
      <c r="C841" s="1" t="s">
        <v>1587</v>
      </c>
      <c r="D841" s="1" t="s">
        <v>1593</v>
      </c>
      <c r="F841" s="1">
        <v>2022</v>
      </c>
      <c r="G841" s="1" t="s">
        <v>25</v>
      </c>
      <c r="H841" s="1">
        <v>2022</v>
      </c>
      <c r="I841" s="1" t="s">
        <v>1875</v>
      </c>
      <c r="J841" s="6">
        <v>11169.33</v>
      </c>
      <c r="K841" s="6">
        <v>500</v>
      </c>
      <c r="L841" s="21">
        <v>4.4765442510875768E-2</v>
      </c>
      <c r="M841" s="1">
        <v>0</v>
      </c>
      <c r="N841" s="1" t="s">
        <v>28</v>
      </c>
      <c r="O841" s="1" t="s">
        <v>18</v>
      </c>
      <c r="P841" s="1" t="s">
        <v>18</v>
      </c>
      <c r="Q841" s="22" t="s">
        <v>18</v>
      </c>
      <c r="R841" s="8" t="s">
        <v>18</v>
      </c>
      <c r="S841" s="9" t="s">
        <v>18</v>
      </c>
      <c r="T841" s="8" t="s">
        <v>18</v>
      </c>
      <c r="U841" s="9" t="s">
        <v>18</v>
      </c>
      <c r="V841" s="8">
        <v>24.044414481441592</v>
      </c>
      <c r="W841" s="8">
        <v>1</v>
      </c>
      <c r="X841" s="8"/>
    </row>
    <row r="842" spans="1:24" x14ac:dyDescent="0.3">
      <c r="A842" s="1" t="s">
        <v>2389</v>
      </c>
      <c r="B842" s="1" t="s">
        <v>136</v>
      </c>
      <c r="C842" s="1" t="s">
        <v>82</v>
      </c>
      <c r="D842" s="1" t="s">
        <v>110</v>
      </c>
      <c r="F842" s="1">
        <v>2018</v>
      </c>
      <c r="G842" s="1" t="s">
        <v>19</v>
      </c>
      <c r="H842" s="1">
        <v>2019</v>
      </c>
      <c r="I842" s="1" t="s">
        <v>1601</v>
      </c>
      <c r="J842" s="6">
        <v>41351</v>
      </c>
      <c r="K842" s="6">
        <v>32462</v>
      </c>
      <c r="L842" s="21">
        <v>0.78503542840560081</v>
      </c>
      <c r="M842" s="1">
        <v>0</v>
      </c>
      <c r="N842" s="1" t="s">
        <v>1589</v>
      </c>
      <c r="O842" s="1">
        <v>2017</v>
      </c>
      <c r="P842" s="1">
        <v>0.61399999999999999</v>
      </c>
      <c r="Q842" s="22">
        <v>43224</v>
      </c>
      <c r="R842" s="8">
        <v>303.63874150564675</v>
      </c>
      <c r="S842" s="9">
        <v>11</v>
      </c>
      <c r="T842" s="8">
        <v>304.18859036057171</v>
      </c>
      <c r="U842" s="9">
        <v>11</v>
      </c>
      <c r="V842" s="8">
        <v>293.66086430799737</v>
      </c>
      <c r="W842" s="8">
        <v>11</v>
      </c>
      <c r="X842" s="8"/>
    </row>
    <row r="843" spans="1:24" x14ac:dyDescent="0.3">
      <c r="A843" s="1" t="s">
        <v>2144</v>
      </c>
      <c r="B843" s="1" t="s">
        <v>2145</v>
      </c>
      <c r="C843" s="1" t="s">
        <v>82</v>
      </c>
      <c r="D843" s="1" t="s">
        <v>110</v>
      </c>
      <c r="F843" s="1">
        <v>2016</v>
      </c>
      <c r="J843" s="6">
        <v>23328</v>
      </c>
      <c r="K843" s="6">
        <v>1441453</v>
      </c>
      <c r="L843" s="21">
        <v>61.790680727023322</v>
      </c>
      <c r="M843" s="1">
        <v>0</v>
      </c>
      <c r="N843" s="1" t="s">
        <v>1589</v>
      </c>
      <c r="O843" s="1">
        <v>6</v>
      </c>
      <c r="P843" s="1">
        <v>0.60699999999999998</v>
      </c>
      <c r="Q843" s="22">
        <v>43971</v>
      </c>
      <c r="R843" s="8">
        <v>123.45335005144032</v>
      </c>
      <c r="S843" s="9">
        <v>7</v>
      </c>
      <c r="T843" s="8">
        <v>130.13077117626887</v>
      </c>
      <c r="U843" s="9">
        <v>7</v>
      </c>
      <c r="V843" s="8">
        <v>184.68191915294923</v>
      </c>
      <c r="W843" s="8">
        <v>10</v>
      </c>
      <c r="X843" s="8"/>
    </row>
    <row r="844" spans="1:24" x14ac:dyDescent="0.3">
      <c r="A844" s="1" t="s">
        <v>1878</v>
      </c>
      <c r="B844" s="1" t="s">
        <v>596</v>
      </c>
      <c r="C844" s="1" t="s">
        <v>82</v>
      </c>
      <c r="D844" s="1" t="s">
        <v>110</v>
      </c>
      <c r="F844" s="1">
        <v>2014</v>
      </c>
      <c r="J844" s="6">
        <v>19175</v>
      </c>
      <c r="K844" s="6">
        <v>16699</v>
      </c>
      <c r="L844" s="21">
        <v>0.87087353324641459</v>
      </c>
      <c r="M844" s="1">
        <v>0</v>
      </c>
      <c r="N844" s="1" t="s">
        <v>1589</v>
      </c>
      <c r="O844" s="1">
        <v>20</v>
      </c>
      <c r="P844" s="1" t="s">
        <v>18</v>
      </c>
      <c r="Q844" s="22" t="s">
        <v>18</v>
      </c>
      <c r="R844" s="8">
        <v>159.37647770534551</v>
      </c>
      <c r="S844" s="9">
        <v>9</v>
      </c>
      <c r="T844" s="8">
        <v>164.01719217731423</v>
      </c>
      <c r="U844" s="9">
        <v>9</v>
      </c>
      <c r="V844" s="8">
        <v>182.94126101694917</v>
      </c>
      <c r="W844" s="8">
        <v>9</v>
      </c>
      <c r="X844" s="8"/>
    </row>
    <row r="845" spans="1:24" x14ac:dyDescent="0.3">
      <c r="A845" s="1" t="s">
        <v>2294</v>
      </c>
      <c r="B845" s="1" t="s">
        <v>1387</v>
      </c>
      <c r="C845" s="1" t="s">
        <v>82</v>
      </c>
      <c r="D845" s="1" t="s">
        <v>110</v>
      </c>
      <c r="F845" s="1">
        <v>2014</v>
      </c>
      <c r="G845" s="1" t="s">
        <v>21</v>
      </c>
      <c r="H845" s="1">
        <v>2022</v>
      </c>
      <c r="I845" s="1" t="s">
        <v>1783</v>
      </c>
      <c r="J845" s="6">
        <v>100637</v>
      </c>
      <c r="K845" s="6">
        <v>54191</v>
      </c>
      <c r="L845" s="21">
        <v>0.53847988314437034</v>
      </c>
      <c r="M845" s="1">
        <v>0</v>
      </c>
      <c r="N845" s="1" t="s">
        <v>1589</v>
      </c>
      <c r="O845" s="1">
        <v>7</v>
      </c>
      <c r="P845" s="1">
        <v>0.65</v>
      </c>
      <c r="Q845" s="22">
        <v>45078</v>
      </c>
      <c r="R845" s="8">
        <v>166.81403425612791</v>
      </c>
      <c r="S845" s="9">
        <v>10</v>
      </c>
      <c r="T845" s="8">
        <v>174.41539429186076</v>
      </c>
      <c r="U845" s="9">
        <v>10</v>
      </c>
      <c r="V845" s="8">
        <v>180.09409952325825</v>
      </c>
      <c r="W845" s="8">
        <v>8</v>
      </c>
      <c r="X845" s="8"/>
    </row>
    <row r="846" spans="1:24" x14ac:dyDescent="0.3">
      <c r="A846" s="1" t="s">
        <v>108</v>
      </c>
      <c r="B846" s="1" t="s">
        <v>1093</v>
      </c>
      <c r="C846" s="1" t="s">
        <v>82</v>
      </c>
      <c r="D846" s="1" t="s">
        <v>110</v>
      </c>
      <c r="F846" s="1">
        <v>1999</v>
      </c>
      <c r="J846" s="6">
        <v>78440</v>
      </c>
      <c r="K846" s="6">
        <v>74944</v>
      </c>
      <c r="L846" s="21">
        <v>0.95543090260071395</v>
      </c>
      <c r="M846" s="1">
        <v>0</v>
      </c>
      <c r="N846" s="1" t="s">
        <v>1589</v>
      </c>
      <c r="O846" s="1">
        <v>7</v>
      </c>
      <c r="P846" s="1">
        <v>0.63200000000000001</v>
      </c>
      <c r="Q846" s="22">
        <v>44679</v>
      </c>
      <c r="R846" s="8">
        <v>146.74902154513003</v>
      </c>
      <c r="S846" s="9">
        <v>8</v>
      </c>
      <c r="T846" s="8">
        <v>144.10236486486485</v>
      </c>
      <c r="U846" s="9">
        <v>8</v>
      </c>
      <c r="V846" s="8">
        <v>161.41688551759307</v>
      </c>
      <c r="W846" s="8">
        <v>7</v>
      </c>
      <c r="X846" s="8"/>
    </row>
    <row r="847" spans="1:24" x14ac:dyDescent="0.3">
      <c r="A847" s="1" t="s">
        <v>1914</v>
      </c>
      <c r="B847" s="1" t="s">
        <v>109</v>
      </c>
      <c r="C847" s="1" t="s">
        <v>82</v>
      </c>
      <c r="D847" s="1" t="s">
        <v>110</v>
      </c>
      <c r="F847" s="1">
        <v>1988</v>
      </c>
      <c r="J847" s="6">
        <v>10063</v>
      </c>
      <c r="K847" s="6">
        <v>1503</v>
      </c>
      <c r="L847" s="21">
        <v>0.14935903806022061</v>
      </c>
      <c r="M847" s="1">
        <v>0</v>
      </c>
      <c r="N847" s="1" t="s">
        <v>1787</v>
      </c>
      <c r="O847" s="1" t="s">
        <v>18</v>
      </c>
      <c r="P847" s="1" t="s">
        <v>18</v>
      </c>
      <c r="Q847" s="22" t="s">
        <v>18</v>
      </c>
      <c r="R847" s="8">
        <v>107.13225678227168</v>
      </c>
      <c r="S847" s="9">
        <v>6</v>
      </c>
      <c r="T847" s="8">
        <v>125.34228957567325</v>
      </c>
      <c r="U847" s="9">
        <v>6</v>
      </c>
      <c r="V847" s="8">
        <v>131.91843386664016</v>
      </c>
      <c r="W847" s="8">
        <v>6</v>
      </c>
      <c r="X847" s="8"/>
    </row>
    <row r="848" spans="1:24" x14ac:dyDescent="0.3">
      <c r="A848" s="1" t="s">
        <v>1058</v>
      </c>
      <c r="B848" s="1" t="s">
        <v>1059</v>
      </c>
      <c r="C848" s="1" t="s">
        <v>82</v>
      </c>
      <c r="D848" s="1" t="s">
        <v>110</v>
      </c>
      <c r="F848" s="1">
        <v>2005</v>
      </c>
      <c r="G848" s="1" t="s">
        <v>19</v>
      </c>
      <c r="H848" s="1">
        <v>2018</v>
      </c>
      <c r="I848" s="1" t="s">
        <v>1601</v>
      </c>
      <c r="J848" s="6">
        <v>102750</v>
      </c>
      <c r="K848" s="6">
        <v>69060</v>
      </c>
      <c r="L848" s="21">
        <v>0.67211678832116784</v>
      </c>
      <c r="M848" s="1">
        <v>0</v>
      </c>
      <c r="N848" s="1" t="s">
        <v>1589</v>
      </c>
      <c r="O848" s="1">
        <v>7</v>
      </c>
      <c r="P848" s="1">
        <v>0.53</v>
      </c>
      <c r="Q848" s="22">
        <v>44350</v>
      </c>
      <c r="R848" s="8">
        <v>105.54457049425085</v>
      </c>
      <c r="S848" s="9">
        <v>5</v>
      </c>
      <c r="T848" s="8">
        <v>110.03095391858247</v>
      </c>
      <c r="U848" s="9">
        <v>5</v>
      </c>
      <c r="V848" s="8">
        <v>123.57458819239032</v>
      </c>
      <c r="W848" s="8">
        <v>5</v>
      </c>
      <c r="X848" s="8"/>
    </row>
    <row r="849" spans="1:24" x14ac:dyDescent="0.3">
      <c r="A849" s="1" t="s">
        <v>1794</v>
      </c>
      <c r="B849" s="1" t="s">
        <v>486</v>
      </c>
      <c r="C849" s="1" t="s">
        <v>82</v>
      </c>
      <c r="D849" s="1" t="s">
        <v>110</v>
      </c>
      <c r="F849" s="1">
        <v>2015</v>
      </c>
      <c r="G849" s="1" t="s">
        <v>19</v>
      </c>
      <c r="H849" s="1">
        <v>2020</v>
      </c>
      <c r="I849" s="1" t="s">
        <v>1600</v>
      </c>
      <c r="J849" s="6">
        <v>20100</v>
      </c>
      <c r="K849" s="6">
        <v>9769</v>
      </c>
      <c r="L849" s="21">
        <v>0.48601990049751242</v>
      </c>
      <c r="M849" s="1">
        <v>0</v>
      </c>
      <c r="N849" s="1" t="s">
        <v>1589</v>
      </c>
      <c r="O849" s="1">
        <v>6</v>
      </c>
      <c r="P849" s="1">
        <v>0.63600000000000001</v>
      </c>
      <c r="Q849" s="22">
        <v>43495</v>
      </c>
      <c r="R849" s="8">
        <v>94.251534328358218</v>
      </c>
      <c r="S849" s="9">
        <v>4</v>
      </c>
      <c r="T849" s="8">
        <v>93.93304626865671</v>
      </c>
      <c r="U849" s="9">
        <v>4</v>
      </c>
      <c r="V849" s="8">
        <v>93.597762686567165</v>
      </c>
      <c r="W849" s="8">
        <v>4</v>
      </c>
      <c r="X849" s="8"/>
    </row>
    <row r="850" spans="1:24" x14ac:dyDescent="0.3">
      <c r="A850" s="1" t="s">
        <v>1858</v>
      </c>
      <c r="B850" s="1" t="s">
        <v>1859</v>
      </c>
      <c r="C850" s="1" t="s">
        <v>82</v>
      </c>
      <c r="D850" s="1" t="s">
        <v>110</v>
      </c>
      <c r="F850" s="1">
        <v>2014</v>
      </c>
      <c r="G850" s="1" t="s">
        <v>19</v>
      </c>
      <c r="H850" s="1">
        <v>2020</v>
      </c>
      <c r="I850" s="1" t="s">
        <v>1600</v>
      </c>
      <c r="J850" s="6">
        <v>11670</v>
      </c>
      <c r="K850" s="6">
        <v>6113</v>
      </c>
      <c r="L850" s="21">
        <v>0.52382176520994006</v>
      </c>
      <c r="M850" s="1">
        <v>0</v>
      </c>
      <c r="N850" s="1" t="s">
        <v>1589</v>
      </c>
      <c r="O850" s="1">
        <v>9</v>
      </c>
      <c r="P850" s="1">
        <v>0.56999999999999995</v>
      </c>
      <c r="Q850" s="22">
        <v>43628</v>
      </c>
      <c r="R850" s="8">
        <v>77.831165381319622</v>
      </c>
      <c r="S850" s="9">
        <v>3</v>
      </c>
      <c r="T850" s="8">
        <v>76.817917737789202</v>
      </c>
      <c r="U850" s="9">
        <v>3</v>
      </c>
      <c r="V850" s="8">
        <v>74.436409597257935</v>
      </c>
      <c r="W850" s="8">
        <v>3</v>
      </c>
      <c r="X850" s="8"/>
    </row>
    <row r="851" spans="1:24" x14ac:dyDescent="0.3">
      <c r="A851" s="1" t="s">
        <v>2111</v>
      </c>
      <c r="B851" s="1" t="s">
        <v>2112</v>
      </c>
      <c r="C851" s="1" t="s">
        <v>82</v>
      </c>
      <c r="D851" s="1" t="s">
        <v>110</v>
      </c>
      <c r="F851" s="1">
        <v>2000</v>
      </c>
      <c r="G851" s="1" t="s">
        <v>19</v>
      </c>
      <c r="H851" s="1">
        <v>2017</v>
      </c>
      <c r="I851" s="1" t="s">
        <v>1601</v>
      </c>
      <c r="J851" s="6">
        <v>109181</v>
      </c>
      <c r="K851" s="6">
        <v>60000</v>
      </c>
      <c r="L851" s="21">
        <v>0.54954616645753385</v>
      </c>
      <c r="M851" s="1">
        <v>0</v>
      </c>
      <c r="N851" s="1" t="s">
        <v>1589</v>
      </c>
      <c r="O851" s="1">
        <v>7</v>
      </c>
      <c r="P851" s="1">
        <v>0.6</v>
      </c>
      <c r="Q851" s="22">
        <v>44428</v>
      </c>
      <c r="R851" s="8">
        <v>70.43980179701596</v>
      </c>
      <c r="S851" s="9">
        <v>2</v>
      </c>
      <c r="T851" s="8">
        <v>71.433463697896158</v>
      </c>
      <c r="U851" s="9">
        <v>2</v>
      </c>
      <c r="V851" s="8">
        <v>72.23878696842857</v>
      </c>
      <c r="W851" s="8">
        <v>2</v>
      </c>
      <c r="X851" s="8"/>
    </row>
    <row r="852" spans="1:24" x14ac:dyDescent="0.3">
      <c r="A852" s="1" t="s">
        <v>1822</v>
      </c>
      <c r="B852" s="1" t="s">
        <v>1823</v>
      </c>
      <c r="C852" s="1" t="s">
        <v>82</v>
      </c>
      <c r="D852" s="1" t="s">
        <v>110</v>
      </c>
      <c r="F852" s="1">
        <v>2015</v>
      </c>
      <c r="J852" s="6">
        <v>24157</v>
      </c>
      <c r="K852" s="6">
        <v>7907</v>
      </c>
      <c r="L852" s="21">
        <v>0.32731713375005173</v>
      </c>
      <c r="M852" s="1">
        <v>0</v>
      </c>
      <c r="N852" s="1" t="s">
        <v>28</v>
      </c>
      <c r="O852" s="1" t="s">
        <v>18</v>
      </c>
      <c r="P852" s="1">
        <v>0.73</v>
      </c>
      <c r="Q852" s="22">
        <v>42114</v>
      </c>
      <c r="R852" s="8">
        <v>52.806706130728159</v>
      </c>
      <c r="S852" s="9">
        <v>1</v>
      </c>
      <c r="T852" s="8">
        <v>53.74137310096453</v>
      </c>
      <c r="U852" s="9">
        <v>1</v>
      </c>
      <c r="V852" s="8">
        <v>62.80813014861117</v>
      </c>
      <c r="W852" s="8">
        <v>1</v>
      </c>
      <c r="X852" s="8"/>
    </row>
    <row r="853" spans="1:24" x14ac:dyDescent="0.3">
      <c r="A853" s="1" t="s">
        <v>1816</v>
      </c>
      <c r="B853" s="1" t="s">
        <v>2613</v>
      </c>
      <c r="C853" s="1" t="s">
        <v>82</v>
      </c>
      <c r="D853" s="1" t="s">
        <v>110</v>
      </c>
      <c r="F853" s="1">
        <v>1998</v>
      </c>
      <c r="J853" s="6">
        <v>20335</v>
      </c>
      <c r="K853" s="6">
        <v>14851</v>
      </c>
      <c r="L853" s="21">
        <v>0.73031718711581017</v>
      </c>
      <c r="M853" s="1">
        <v>0</v>
      </c>
      <c r="N853" s="1" t="s">
        <v>1589</v>
      </c>
      <c r="O853" s="1">
        <v>19</v>
      </c>
      <c r="P853" s="1" t="s">
        <v>18</v>
      </c>
      <c r="Q853" s="22" t="s">
        <v>18</v>
      </c>
      <c r="R853" s="8"/>
      <c r="S853" s="9" t="s">
        <v>18</v>
      </c>
      <c r="T853" s="8"/>
      <c r="U853" s="9" t="s">
        <v>18</v>
      </c>
      <c r="V853" s="8"/>
      <c r="W853" s="8" t="s">
        <v>18</v>
      </c>
      <c r="X853" s="8"/>
    </row>
    <row r="854" spans="1:24" x14ac:dyDescent="0.3">
      <c r="A854" s="1" t="s">
        <v>1891</v>
      </c>
      <c r="B854" s="1" t="s">
        <v>595</v>
      </c>
      <c r="C854" s="1" t="s">
        <v>82</v>
      </c>
      <c r="D854" s="1" t="s">
        <v>110</v>
      </c>
      <c r="F854" s="1">
        <v>2014</v>
      </c>
      <c r="G854" s="1" t="s">
        <v>19</v>
      </c>
      <c r="H854" s="1">
        <v>2020</v>
      </c>
      <c r="I854" s="1" t="s">
        <v>1600</v>
      </c>
      <c r="J854" s="6">
        <v>15063</v>
      </c>
      <c r="K854" s="6">
        <v>7153</v>
      </c>
      <c r="L854" s="21">
        <v>0.47487220341233488</v>
      </c>
      <c r="M854" s="1">
        <v>0</v>
      </c>
      <c r="N854" s="1" t="s">
        <v>1589</v>
      </c>
      <c r="O854" s="1">
        <v>8</v>
      </c>
      <c r="P854" s="1">
        <v>0.62</v>
      </c>
      <c r="Q854" s="22">
        <v>43632</v>
      </c>
      <c r="R854" s="8"/>
      <c r="S854" s="9" t="s">
        <v>18</v>
      </c>
      <c r="T854" s="8"/>
      <c r="U854" s="9" t="s">
        <v>18</v>
      </c>
      <c r="V854" s="8"/>
      <c r="W854" s="8" t="s">
        <v>18</v>
      </c>
      <c r="X854" s="8"/>
    </row>
    <row r="855" spans="1:24" x14ac:dyDescent="0.3">
      <c r="A855" s="1" t="s">
        <v>1902</v>
      </c>
      <c r="B855" s="1" t="s">
        <v>594</v>
      </c>
      <c r="C855" s="1" t="s">
        <v>82</v>
      </c>
      <c r="D855" s="1" t="s">
        <v>110</v>
      </c>
      <c r="F855" s="1">
        <v>2015</v>
      </c>
      <c r="G855" s="1" t="s">
        <v>19</v>
      </c>
      <c r="H855" s="1">
        <v>2020</v>
      </c>
      <c r="I855" s="1" t="s">
        <v>1601</v>
      </c>
      <c r="J855" s="6">
        <v>15931</v>
      </c>
      <c r="K855" s="6">
        <v>12745</v>
      </c>
      <c r="L855" s="21">
        <v>0.80001255413972761</v>
      </c>
      <c r="M855" s="1">
        <v>280</v>
      </c>
      <c r="N855" s="1" t="s">
        <v>1589</v>
      </c>
      <c r="O855" s="1">
        <v>8</v>
      </c>
      <c r="P855" s="1">
        <v>0.62</v>
      </c>
      <c r="Q855" s="22">
        <v>43838</v>
      </c>
      <c r="R855" s="8"/>
      <c r="S855" s="9" t="s">
        <v>18</v>
      </c>
      <c r="T855" s="8"/>
      <c r="U855" s="9" t="s">
        <v>18</v>
      </c>
      <c r="V855" s="8"/>
      <c r="W855" s="8" t="s">
        <v>18</v>
      </c>
      <c r="X855" s="8"/>
    </row>
    <row r="856" spans="1:24" x14ac:dyDescent="0.3">
      <c r="A856" s="1" t="s">
        <v>1950</v>
      </c>
      <c r="B856" s="1" t="s">
        <v>126</v>
      </c>
      <c r="C856" s="1" t="s">
        <v>82</v>
      </c>
      <c r="D856" s="1" t="s">
        <v>110</v>
      </c>
      <c r="F856" s="1">
        <v>2008</v>
      </c>
      <c r="G856" s="1" t="s">
        <v>19</v>
      </c>
      <c r="H856" s="1">
        <v>2020</v>
      </c>
      <c r="I856" s="1" t="s">
        <v>1599</v>
      </c>
      <c r="J856" s="6">
        <v>44151</v>
      </c>
      <c r="K856" s="6">
        <v>39883</v>
      </c>
      <c r="L856" s="21">
        <v>0.90333174786528048</v>
      </c>
      <c r="M856" s="1">
        <v>0</v>
      </c>
      <c r="N856" s="1" t="s">
        <v>1821</v>
      </c>
      <c r="O856" s="1" t="s">
        <v>18</v>
      </c>
      <c r="P856" s="1">
        <v>0.74</v>
      </c>
      <c r="Q856" s="22">
        <v>40360</v>
      </c>
      <c r="R856" s="8"/>
      <c r="S856" s="9"/>
      <c r="T856" s="8"/>
      <c r="U856" s="9"/>
      <c r="V856" s="8"/>
      <c r="W856" s="8"/>
      <c r="X856" s="8"/>
    </row>
    <row r="857" spans="1:24" x14ac:dyDescent="0.3">
      <c r="A857" s="1" t="s">
        <v>1950</v>
      </c>
      <c r="B857" s="1" t="s">
        <v>124</v>
      </c>
      <c r="C857" s="1" t="s">
        <v>82</v>
      </c>
      <c r="D857" s="1" t="s">
        <v>110</v>
      </c>
      <c r="F857" s="1">
        <v>1997</v>
      </c>
      <c r="G857" s="1" t="s">
        <v>19</v>
      </c>
      <c r="H857" s="1">
        <v>2018</v>
      </c>
      <c r="I857" s="1" t="s">
        <v>1601</v>
      </c>
      <c r="J857" s="6">
        <v>10260</v>
      </c>
      <c r="K857" s="6">
        <v>9113</v>
      </c>
      <c r="L857" s="21">
        <v>0.88820662768031189</v>
      </c>
      <c r="M857" s="1">
        <v>0</v>
      </c>
      <c r="N857" s="1" t="s">
        <v>1589</v>
      </c>
      <c r="O857" s="1">
        <v>3</v>
      </c>
      <c r="P857" s="1">
        <v>0.64200000000000002</v>
      </c>
      <c r="Q857" s="22">
        <v>43157</v>
      </c>
      <c r="R857" s="8"/>
      <c r="S857" s="9" t="s">
        <v>18</v>
      </c>
      <c r="T857" s="8"/>
      <c r="U857" s="9" t="s">
        <v>18</v>
      </c>
      <c r="V857" s="8"/>
      <c r="W857" s="8" t="s">
        <v>18</v>
      </c>
      <c r="X857" s="8"/>
    </row>
    <row r="858" spans="1:24" x14ac:dyDescent="0.3">
      <c r="A858" s="1" t="s">
        <v>2020</v>
      </c>
      <c r="B858" s="1" t="s">
        <v>121</v>
      </c>
      <c r="C858" s="1" t="s">
        <v>82</v>
      </c>
      <c r="D858" s="1" t="s">
        <v>110</v>
      </c>
      <c r="F858" s="1">
        <v>1958</v>
      </c>
      <c r="J858" s="6">
        <v>1190</v>
      </c>
      <c r="K858" s="6">
        <v>974</v>
      </c>
      <c r="L858" s="21">
        <v>0.81848739495798317</v>
      </c>
      <c r="M858" s="1">
        <v>0</v>
      </c>
      <c r="N858" s="1" t="s">
        <v>28</v>
      </c>
      <c r="O858" s="1" t="s">
        <v>18</v>
      </c>
      <c r="P858" s="1" t="s">
        <v>18</v>
      </c>
      <c r="Q858" s="22" t="s">
        <v>18</v>
      </c>
      <c r="R858" s="8"/>
      <c r="S858" s="9" t="s">
        <v>18</v>
      </c>
      <c r="T858" s="8"/>
      <c r="U858" s="9" t="s">
        <v>18</v>
      </c>
      <c r="V858" s="8"/>
      <c r="W858" s="8" t="s">
        <v>18</v>
      </c>
      <c r="X858" s="8"/>
    </row>
    <row r="859" spans="1:24" x14ac:dyDescent="0.3">
      <c r="A859" s="1" t="s">
        <v>2020</v>
      </c>
      <c r="B859" s="1" t="s">
        <v>122</v>
      </c>
      <c r="C859" s="1" t="s">
        <v>82</v>
      </c>
      <c r="D859" s="1" t="s">
        <v>110</v>
      </c>
      <c r="F859" s="1">
        <v>1966</v>
      </c>
      <c r="G859" s="1" t="s">
        <v>19</v>
      </c>
      <c r="H859" s="1">
        <v>2020</v>
      </c>
      <c r="I859" s="1" t="s">
        <v>1601</v>
      </c>
      <c r="J859" s="6">
        <v>7440</v>
      </c>
      <c r="K859" s="6">
        <v>6305</v>
      </c>
      <c r="L859" s="21">
        <v>0.84744623655913975</v>
      </c>
      <c r="M859" s="1">
        <v>0</v>
      </c>
      <c r="N859" s="1" t="s">
        <v>1589</v>
      </c>
      <c r="O859" s="1">
        <v>3</v>
      </c>
      <c r="P859" s="1">
        <v>0.64</v>
      </c>
      <c r="Q859" s="22">
        <v>42027</v>
      </c>
      <c r="R859" s="8"/>
      <c r="S859" s="9" t="s">
        <v>18</v>
      </c>
      <c r="T859" s="8"/>
      <c r="U859" s="9" t="s">
        <v>18</v>
      </c>
      <c r="V859" s="8"/>
      <c r="W859" s="8" t="s">
        <v>18</v>
      </c>
      <c r="X859" s="8"/>
    </row>
    <row r="860" spans="1:24" x14ac:dyDescent="0.3">
      <c r="A860" s="1" t="s">
        <v>2020</v>
      </c>
      <c r="B860" s="1" t="s">
        <v>2021</v>
      </c>
      <c r="C860" s="1" t="s">
        <v>82</v>
      </c>
      <c r="D860" s="1" t="s">
        <v>110</v>
      </c>
      <c r="F860" s="1">
        <v>1954</v>
      </c>
      <c r="G860" s="1" t="s">
        <v>19</v>
      </c>
      <c r="H860" s="1">
        <v>2020</v>
      </c>
      <c r="I860" s="1" t="s">
        <v>1599</v>
      </c>
      <c r="J860" s="6">
        <v>3186</v>
      </c>
      <c r="K860" s="6">
        <v>2389</v>
      </c>
      <c r="L860" s="21">
        <v>0.74984306340238549</v>
      </c>
      <c r="M860" s="1">
        <v>0</v>
      </c>
      <c r="N860" s="1" t="s">
        <v>28</v>
      </c>
      <c r="O860" s="1" t="s">
        <v>18</v>
      </c>
      <c r="P860" s="1" t="s">
        <v>18</v>
      </c>
      <c r="Q860" s="22" t="s">
        <v>18</v>
      </c>
      <c r="R860" s="8"/>
      <c r="S860" s="9" t="s">
        <v>18</v>
      </c>
      <c r="T860" s="8"/>
      <c r="U860" s="9" t="s">
        <v>18</v>
      </c>
      <c r="V860" s="8"/>
      <c r="W860" s="8" t="s">
        <v>18</v>
      </c>
      <c r="X860" s="8"/>
    </row>
    <row r="861" spans="1:24" x14ac:dyDescent="0.3">
      <c r="A861" s="1" t="s">
        <v>2020</v>
      </c>
      <c r="B861" s="1" t="s">
        <v>2022</v>
      </c>
      <c r="C861" s="1" t="s">
        <v>82</v>
      </c>
      <c r="D861" s="1" t="s">
        <v>110</v>
      </c>
      <c r="F861" s="1">
        <v>2009</v>
      </c>
      <c r="G861" s="1" t="s">
        <v>19</v>
      </c>
      <c r="H861" s="1">
        <v>2019</v>
      </c>
      <c r="I861" s="1" t="s">
        <v>1601</v>
      </c>
      <c r="J861" s="6">
        <v>15420</v>
      </c>
      <c r="K861" s="6">
        <v>14000</v>
      </c>
      <c r="L861" s="21">
        <v>0.90791180285343709</v>
      </c>
      <c r="M861" s="1">
        <v>0</v>
      </c>
      <c r="N861" s="1" t="s">
        <v>1589</v>
      </c>
      <c r="O861" s="1">
        <v>7</v>
      </c>
      <c r="P861" s="1">
        <v>0.64</v>
      </c>
      <c r="Q861" s="22">
        <v>43520</v>
      </c>
      <c r="R861" s="8"/>
      <c r="S861" s="9" t="s">
        <v>18</v>
      </c>
      <c r="T861" s="8"/>
      <c r="U861" s="9" t="s">
        <v>18</v>
      </c>
      <c r="V861" s="8"/>
      <c r="W861" s="8" t="s">
        <v>18</v>
      </c>
      <c r="X861" s="8"/>
    </row>
    <row r="862" spans="1:24" x14ac:dyDescent="0.3">
      <c r="A862" s="1" t="s">
        <v>2020</v>
      </c>
      <c r="B862" s="1" t="s">
        <v>132</v>
      </c>
      <c r="C862" s="1" t="s">
        <v>82</v>
      </c>
      <c r="D862" s="1" t="s">
        <v>110</v>
      </c>
      <c r="F862" s="1">
        <v>2003</v>
      </c>
      <c r="G862" s="1" t="s">
        <v>19</v>
      </c>
      <c r="H862" s="1">
        <v>2018</v>
      </c>
      <c r="I862" s="1" t="s">
        <v>1601</v>
      </c>
      <c r="J862" s="6">
        <v>20792</v>
      </c>
      <c r="K862" s="6">
        <v>14887</v>
      </c>
      <c r="L862" s="21">
        <v>0.71599653712966527</v>
      </c>
      <c r="M862" s="1">
        <v>0</v>
      </c>
      <c r="N862" s="1" t="s">
        <v>1589</v>
      </c>
      <c r="O862" s="1">
        <v>3</v>
      </c>
      <c r="P862" s="1">
        <v>0.63</v>
      </c>
      <c r="Q862" s="22">
        <v>42088</v>
      </c>
      <c r="R862" s="8"/>
      <c r="S862" s="9" t="s">
        <v>18</v>
      </c>
      <c r="T862" s="8"/>
      <c r="U862" s="9" t="s">
        <v>18</v>
      </c>
      <c r="V862" s="8"/>
      <c r="W862" s="8" t="s">
        <v>18</v>
      </c>
      <c r="X862" s="8"/>
    </row>
    <row r="863" spans="1:24" x14ac:dyDescent="0.3">
      <c r="A863" s="1" t="s">
        <v>2020</v>
      </c>
      <c r="B863" s="1" t="s">
        <v>118</v>
      </c>
      <c r="C863" s="1" t="s">
        <v>82</v>
      </c>
      <c r="D863" s="1" t="s">
        <v>110</v>
      </c>
      <c r="F863" s="1">
        <v>1986</v>
      </c>
      <c r="G863" s="1" t="s">
        <v>19</v>
      </c>
      <c r="H863" s="1">
        <v>2020</v>
      </c>
      <c r="I863" s="1" t="s">
        <v>1599</v>
      </c>
      <c r="J863" s="6">
        <v>3356</v>
      </c>
      <c r="K863" s="6">
        <v>1542</v>
      </c>
      <c r="L863" s="21">
        <v>0.45947556615017876</v>
      </c>
      <c r="M863" s="1">
        <v>0</v>
      </c>
      <c r="N863" s="1" t="s">
        <v>28</v>
      </c>
      <c r="O863" s="1" t="s">
        <v>18</v>
      </c>
      <c r="P863" s="1" t="s">
        <v>18</v>
      </c>
      <c r="Q863" s="22" t="s">
        <v>18</v>
      </c>
      <c r="R863" s="8"/>
      <c r="S863" s="9" t="s">
        <v>18</v>
      </c>
      <c r="T863" s="8"/>
      <c r="U863" s="9" t="s">
        <v>18</v>
      </c>
      <c r="V863" s="8"/>
      <c r="W863" s="8" t="s">
        <v>18</v>
      </c>
      <c r="X863" s="8"/>
    </row>
    <row r="864" spans="1:24" x14ac:dyDescent="0.3">
      <c r="A864" s="1" t="s">
        <v>2020</v>
      </c>
      <c r="B864" s="1" t="s">
        <v>135</v>
      </c>
      <c r="C864" s="1" t="s">
        <v>82</v>
      </c>
      <c r="D864" s="1" t="s">
        <v>110</v>
      </c>
      <c r="F864" s="1">
        <v>2015</v>
      </c>
      <c r="G864" s="1" t="s">
        <v>19</v>
      </c>
      <c r="H864" s="1">
        <v>2016</v>
      </c>
      <c r="I864" s="1" t="s">
        <v>1598</v>
      </c>
      <c r="J864" s="6">
        <v>15273</v>
      </c>
      <c r="K864" s="6">
        <v>5216</v>
      </c>
      <c r="L864" s="21">
        <v>0.34151771099325606</v>
      </c>
      <c r="M864" s="1">
        <v>0</v>
      </c>
      <c r="N864" s="1" t="s">
        <v>1589</v>
      </c>
      <c r="O864" s="1">
        <v>2</v>
      </c>
      <c r="P864" s="1">
        <v>0.67</v>
      </c>
      <c r="Q864" s="22">
        <v>44867</v>
      </c>
      <c r="R864" s="8"/>
      <c r="S864" s="9" t="s">
        <v>18</v>
      </c>
      <c r="T864" s="8"/>
      <c r="U864" s="9" t="s">
        <v>18</v>
      </c>
      <c r="V864" s="8"/>
      <c r="W864" s="8" t="s">
        <v>18</v>
      </c>
      <c r="X864" s="8"/>
    </row>
    <row r="865" spans="1:24" x14ac:dyDescent="0.3">
      <c r="A865" s="1" t="s">
        <v>1058</v>
      </c>
      <c r="B865" s="1" t="s">
        <v>1057</v>
      </c>
      <c r="C865" s="1" t="s">
        <v>82</v>
      </c>
      <c r="D865" s="1" t="s">
        <v>110</v>
      </c>
      <c r="F865" s="1">
        <v>2005</v>
      </c>
      <c r="G865" s="1" t="s">
        <v>19</v>
      </c>
      <c r="H865" s="1">
        <v>2022</v>
      </c>
      <c r="I865" s="1" t="s">
        <v>1818</v>
      </c>
      <c r="J865" s="6">
        <v>22071.03</v>
      </c>
      <c r="K865" s="6">
        <v>19804</v>
      </c>
      <c r="L865" s="21">
        <v>0.8972848118098703</v>
      </c>
      <c r="M865" s="1">
        <v>0</v>
      </c>
      <c r="N865" s="1" t="s">
        <v>1589</v>
      </c>
      <c r="O865" s="1">
        <v>9</v>
      </c>
      <c r="P865" s="1">
        <v>0.56499999999999995</v>
      </c>
      <c r="Q865" s="22">
        <v>44865</v>
      </c>
      <c r="R865" s="8"/>
      <c r="S865" s="9" t="s">
        <v>18</v>
      </c>
      <c r="T865" s="8"/>
      <c r="U865" s="9" t="s">
        <v>18</v>
      </c>
      <c r="V865" s="8"/>
      <c r="W865" s="8" t="s">
        <v>18</v>
      </c>
      <c r="X865" s="8"/>
    </row>
    <row r="866" spans="1:24" x14ac:dyDescent="0.3">
      <c r="A866" s="1" t="s">
        <v>2020</v>
      </c>
      <c r="B866" s="1" t="s">
        <v>131</v>
      </c>
      <c r="C866" s="1" t="s">
        <v>82</v>
      </c>
      <c r="D866" s="1" t="s">
        <v>110</v>
      </c>
      <c r="F866" s="1">
        <v>2004</v>
      </c>
      <c r="G866" s="1" t="s">
        <v>19</v>
      </c>
      <c r="H866" s="1">
        <v>2020</v>
      </c>
      <c r="I866" s="1" t="s">
        <v>1601</v>
      </c>
      <c r="J866" s="6">
        <v>37181</v>
      </c>
      <c r="K866" s="6">
        <v>36185</v>
      </c>
      <c r="L866" s="21">
        <v>0.97321212447217664</v>
      </c>
      <c r="M866" s="1">
        <v>0</v>
      </c>
      <c r="N866" s="1" t="s">
        <v>1589</v>
      </c>
      <c r="O866" s="1">
        <v>2</v>
      </c>
      <c r="P866" s="1">
        <v>0.65</v>
      </c>
      <c r="Q866" s="22">
        <v>41915</v>
      </c>
      <c r="R866" s="8"/>
      <c r="S866" s="9" t="s">
        <v>18</v>
      </c>
      <c r="T866" s="8"/>
      <c r="U866" s="9" t="s">
        <v>18</v>
      </c>
      <c r="V866" s="8"/>
      <c r="W866" s="8" t="s">
        <v>18</v>
      </c>
      <c r="X866" s="8"/>
    </row>
    <row r="867" spans="1:24" x14ac:dyDescent="0.3">
      <c r="A867" s="1" t="s">
        <v>2020</v>
      </c>
      <c r="B867" s="1" t="s">
        <v>119</v>
      </c>
      <c r="C867" s="1" t="s">
        <v>82</v>
      </c>
      <c r="D867" s="1" t="s">
        <v>110</v>
      </c>
      <c r="F867" s="1">
        <v>2003</v>
      </c>
      <c r="G867" s="1" t="s">
        <v>19</v>
      </c>
      <c r="H867" s="1">
        <v>2018</v>
      </c>
      <c r="I867" s="1" t="s">
        <v>1601</v>
      </c>
      <c r="J867" s="6">
        <v>18322</v>
      </c>
      <c r="K867" s="6">
        <v>16500</v>
      </c>
      <c r="L867" s="21">
        <v>0.90055670778299313</v>
      </c>
      <c r="M867" s="1">
        <v>170</v>
      </c>
      <c r="N867" s="1" t="s">
        <v>1589</v>
      </c>
      <c r="O867" s="1">
        <v>6</v>
      </c>
      <c r="P867" s="1">
        <v>0.65</v>
      </c>
      <c r="Q867" s="22">
        <v>43203</v>
      </c>
      <c r="R867" s="8"/>
      <c r="S867" s="9" t="s">
        <v>18</v>
      </c>
      <c r="T867" s="8"/>
      <c r="U867" s="9" t="s">
        <v>18</v>
      </c>
      <c r="V867" s="8"/>
      <c r="W867" s="8" t="s">
        <v>18</v>
      </c>
      <c r="X867" s="8"/>
    </row>
    <row r="868" spans="1:24" x14ac:dyDescent="0.3">
      <c r="A868" s="1" t="s">
        <v>2020</v>
      </c>
      <c r="B868" s="1" t="s">
        <v>129</v>
      </c>
      <c r="C868" s="1" t="s">
        <v>82</v>
      </c>
      <c r="D868" s="1" t="s">
        <v>110</v>
      </c>
      <c r="F868" s="1">
        <v>2006</v>
      </c>
      <c r="G868" s="1" t="s">
        <v>19</v>
      </c>
      <c r="H868" s="1">
        <v>2020</v>
      </c>
      <c r="I868" s="1" t="s">
        <v>1601</v>
      </c>
      <c r="J868" s="6">
        <v>19282</v>
      </c>
      <c r="K868" s="6">
        <v>15279</v>
      </c>
      <c r="L868" s="21">
        <v>0.79239705424748474</v>
      </c>
      <c r="M868" s="1">
        <v>0</v>
      </c>
      <c r="N868" s="1" t="s">
        <v>1589</v>
      </c>
      <c r="O868" s="1">
        <v>2</v>
      </c>
      <c r="P868" s="1">
        <v>0.63</v>
      </c>
      <c r="Q868" s="22">
        <v>41976</v>
      </c>
      <c r="R868" s="8"/>
      <c r="S868" s="9" t="s">
        <v>18</v>
      </c>
      <c r="T868" s="8"/>
      <c r="U868" s="9" t="s">
        <v>18</v>
      </c>
      <c r="V868" s="8"/>
      <c r="W868" s="8" t="s">
        <v>18</v>
      </c>
      <c r="X868" s="8"/>
    </row>
    <row r="869" spans="1:24" x14ac:dyDescent="0.3">
      <c r="A869" s="1" t="s">
        <v>2020</v>
      </c>
      <c r="B869" s="1" t="s">
        <v>130</v>
      </c>
      <c r="C869" s="1" t="s">
        <v>82</v>
      </c>
      <c r="D869" s="1" t="s">
        <v>110</v>
      </c>
      <c r="F869" s="1">
        <v>2007</v>
      </c>
      <c r="G869" s="1" t="s">
        <v>19</v>
      </c>
      <c r="H869" s="1">
        <v>2020</v>
      </c>
      <c r="I869" s="1" t="s">
        <v>1601</v>
      </c>
      <c r="J869" s="6">
        <v>14798</v>
      </c>
      <c r="K869" s="6">
        <v>10896</v>
      </c>
      <c r="L869" s="21">
        <v>0.73631571834031628</v>
      </c>
      <c r="M869" s="1">
        <v>0</v>
      </c>
      <c r="N869" s="1" t="s">
        <v>1589</v>
      </c>
      <c r="O869" s="1">
        <v>11</v>
      </c>
      <c r="P869" s="1">
        <v>0.64</v>
      </c>
      <c r="Q869" s="22">
        <v>43455</v>
      </c>
      <c r="R869" s="8"/>
      <c r="S869" s="9" t="s">
        <v>18</v>
      </c>
      <c r="T869" s="8"/>
      <c r="U869" s="9" t="s">
        <v>18</v>
      </c>
      <c r="V869" s="8"/>
      <c r="W869" s="8" t="s">
        <v>18</v>
      </c>
      <c r="X869" s="8"/>
    </row>
    <row r="870" spans="1:24" x14ac:dyDescent="0.3">
      <c r="A870" s="1" t="s">
        <v>2020</v>
      </c>
      <c r="B870" s="1" t="s">
        <v>127</v>
      </c>
      <c r="C870" s="1" t="s">
        <v>82</v>
      </c>
      <c r="D870" s="1" t="s">
        <v>110</v>
      </c>
      <c r="F870" s="1">
        <v>2006</v>
      </c>
      <c r="G870" s="1" t="s">
        <v>19</v>
      </c>
      <c r="H870" s="1">
        <v>2020</v>
      </c>
      <c r="I870" s="1" t="s">
        <v>1601</v>
      </c>
      <c r="J870" s="6">
        <v>11706</v>
      </c>
      <c r="K870" s="6">
        <v>6267</v>
      </c>
      <c r="L870" s="21">
        <v>0.53536647872885701</v>
      </c>
      <c r="M870" s="1">
        <v>0</v>
      </c>
      <c r="N870" s="1" t="s">
        <v>1589</v>
      </c>
      <c r="O870" s="1">
        <v>10</v>
      </c>
      <c r="P870" s="1">
        <v>0.63</v>
      </c>
      <c r="Q870" s="22">
        <v>41915</v>
      </c>
      <c r="R870" s="8"/>
      <c r="S870" s="9" t="s">
        <v>18</v>
      </c>
      <c r="T870" s="8"/>
      <c r="U870" s="9" t="s">
        <v>18</v>
      </c>
      <c r="V870" s="8"/>
      <c r="W870" s="8" t="s">
        <v>18</v>
      </c>
      <c r="X870" s="8"/>
    </row>
    <row r="871" spans="1:24" x14ac:dyDescent="0.3">
      <c r="A871" s="1" t="s">
        <v>2020</v>
      </c>
      <c r="B871" s="1" t="s">
        <v>125</v>
      </c>
      <c r="C871" s="1" t="s">
        <v>82</v>
      </c>
      <c r="D871" s="1" t="s">
        <v>110</v>
      </c>
      <c r="F871" s="1">
        <v>2008</v>
      </c>
      <c r="G871" s="1" t="s">
        <v>19</v>
      </c>
      <c r="H871" s="1">
        <v>2022</v>
      </c>
      <c r="I871" s="1" t="s">
        <v>1783</v>
      </c>
      <c r="J871" s="6">
        <v>15484</v>
      </c>
      <c r="K871" s="6">
        <v>10408</v>
      </c>
      <c r="L871" s="21">
        <v>0.67217773185223462</v>
      </c>
      <c r="M871" s="1">
        <v>0</v>
      </c>
      <c r="N871" s="1" t="s">
        <v>1589</v>
      </c>
      <c r="O871" s="1">
        <v>2</v>
      </c>
      <c r="P871" s="1">
        <v>0.59299999999999997</v>
      </c>
      <c r="Q871" s="22">
        <v>43801</v>
      </c>
      <c r="R871" s="8"/>
      <c r="S871" s="9" t="s">
        <v>18</v>
      </c>
      <c r="T871" s="8"/>
      <c r="U871" s="9" t="s">
        <v>18</v>
      </c>
      <c r="V871" s="8"/>
      <c r="W871" s="8" t="s">
        <v>18</v>
      </c>
      <c r="X871" s="8"/>
    </row>
    <row r="872" spans="1:24" x14ac:dyDescent="0.3">
      <c r="A872" s="1" t="s">
        <v>2020</v>
      </c>
      <c r="B872" s="1" t="s">
        <v>128</v>
      </c>
      <c r="C872" s="1" t="s">
        <v>82</v>
      </c>
      <c r="D872" s="1" t="s">
        <v>110</v>
      </c>
      <c r="F872" s="1">
        <v>2006</v>
      </c>
      <c r="G872" s="1" t="s">
        <v>19</v>
      </c>
      <c r="H872" s="1">
        <v>2018</v>
      </c>
      <c r="I872" s="1" t="s">
        <v>1601</v>
      </c>
      <c r="J872" s="6">
        <v>19039</v>
      </c>
      <c r="K872" s="6">
        <v>16826</v>
      </c>
      <c r="L872" s="21">
        <v>0.8837649036188876</v>
      </c>
      <c r="M872" s="1">
        <v>0</v>
      </c>
      <c r="N872" s="1" t="s">
        <v>1589</v>
      </c>
      <c r="O872" s="1">
        <v>10</v>
      </c>
      <c r="P872" s="1">
        <v>0.67</v>
      </c>
      <c r="Q872" s="22">
        <v>43439</v>
      </c>
      <c r="R872" s="8"/>
      <c r="S872" s="9" t="s">
        <v>18</v>
      </c>
      <c r="T872" s="8"/>
      <c r="U872" s="9" t="s">
        <v>18</v>
      </c>
      <c r="V872" s="8"/>
      <c r="W872" s="8" t="s">
        <v>18</v>
      </c>
      <c r="X872" s="8"/>
    </row>
    <row r="873" spans="1:24" x14ac:dyDescent="0.3">
      <c r="A873" s="1" t="s">
        <v>1242</v>
      </c>
      <c r="B873" s="1" t="s">
        <v>1243</v>
      </c>
      <c r="C873" s="1" t="s">
        <v>82</v>
      </c>
      <c r="D873" s="1" t="s">
        <v>110</v>
      </c>
      <c r="F873" s="1">
        <v>1993</v>
      </c>
      <c r="G873" s="1" t="s">
        <v>19</v>
      </c>
      <c r="H873" s="1">
        <v>2023</v>
      </c>
      <c r="I873" s="1" t="s">
        <v>1783</v>
      </c>
      <c r="J873" s="6">
        <v>11606</v>
      </c>
      <c r="K873" s="6">
        <v>7455</v>
      </c>
      <c r="L873" s="21">
        <v>0.64234016887816647</v>
      </c>
      <c r="M873" s="1">
        <v>0</v>
      </c>
      <c r="N873" s="1" t="s">
        <v>1589</v>
      </c>
      <c r="O873" s="1">
        <v>4</v>
      </c>
      <c r="P873" s="1">
        <v>0.52</v>
      </c>
      <c r="Q873" s="22">
        <v>44528</v>
      </c>
      <c r="R873" s="8"/>
      <c r="S873" s="9" t="s">
        <v>18</v>
      </c>
      <c r="T873" s="8"/>
      <c r="U873" s="9" t="s">
        <v>18</v>
      </c>
      <c r="V873" s="8"/>
      <c r="W873" s="8" t="s">
        <v>18</v>
      </c>
      <c r="X873" s="8"/>
    </row>
    <row r="874" spans="1:24" x14ac:dyDescent="0.3">
      <c r="A874" s="1" t="s">
        <v>2020</v>
      </c>
      <c r="B874" s="1" t="s">
        <v>123</v>
      </c>
      <c r="C874" s="1" t="s">
        <v>82</v>
      </c>
      <c r="D874" s="1" t="s">
        <v>110</v>
      </c>
      <c r="F874" s="1">
        <v>1961</v>
      </c>
      <c r="G874" s="1" t="s">
        <v>19</v>
      </c>
      <c r="H874" s="1">
        <v>2020</v>
      </c>
      <c r="I874" s="1" t="s">
        <v>1601</v>
      </c>
      <c r="J874" s="6">
        <v>4370</v>
      </c>
      <c r="K874" s="6">
        <v>2861</v>
      </c>
      <c r="L874" s="21">
        <v>0.65469107551487415</v>
      </c>
      <c r="M874" s="1">
        <v>0</v>
      </c>
      <c r="N874" s="1" t="s">
        <v>28</v>
      </c>
      <c r="O874" s="1" t="s">
        <v>18</v>
      </c>
      <c r="P874" s="1" t="s">
        <v>18</v>
      </c>
      <c r="Q874" s="22" t="s">
        <v>18</v>
      </c>
      <c r="R874" s="8"/>
      <c r="S874" s="9" t="s">
        <v>18</v>
      </c>
      <c r="T874" s="8"/>
      <c r="U874" s="9" t="s">
        <v>18</v>
      </c>
      <c r="V874" s="8"/>
      <c r="W874" s="8" t="s">
        <v>18</v>
      </c>
      <c r="X874" s="8"/>
    </row>
    <row r="875" spans="1:24" x14ac:dyDescent="0.3">
      <c r="A875" s="1" t="s">
        <v>2174</v>
      </c>
      <c r="B875" s="1" t="s">
        <v>2175</v>
      </c>
      <c r="C875" s="1" t="s">
        <v>82</v>
      </c>
      <c r="D875" s="1" t="s">
        <v>110</v>
      </c>
      <c r="F875" s="1">
        <v>2016</v>
      </c>
      <c r="G875" s="1" t="s">
        <v>19</v>
      </c>
      <c r="H875" s="1">
        <v>2021</v>
      </c>
      <c r="I875" s="1" t="s">
        <v>1600</v>
      </c>
      <c r="J875" s="6">
        <v>68353</v>
      </c>
      <c r="K875" s="6">
        <v>29685</v>
      </c>
      <c r="L875" s="21">
        <v>0.43428964346846516</v>
      </c>
      <c r="M875" s="1">
        <v>0</v>
      </c>
      <c r="N875" s="1" t="s">
        <v>1821</v>
      </c>
      <c r="O875" s="1" t="s">
        <v>18</v>
      </c>
      <c r="P875" s="1" t="s">
        <v>18</v>
      </c>
      <c r="Q875" s="22" t="s">
        <v>18</v>
      </c>
      <c r="R875" s="8"/>
      <c r="S875" s="9"/>
      <c r="T875" s="8"/>
      <c r="U875" s="9"/>
      <c r="V875" s="8"/>
      <c r="W875" s="8"/>
      <c r="X875" s="8"/>
    </row>
    <row r="876" spans="1:24" x14ac:dyDescent="0.3">
      <c r="A876" s="1" t="s">
        <v>2219</v>
      </c>
      <c r="B876" s="1" t="s">
        <v>1185</v>
      </c>
      <c r="C876" s="1" t="s">
        <v>82</v>
      </c>
      <c r="D876" s="1" t="s">
        <v>110</v>
      </c>
      <c r="F876" s="1">
        <v>2009</v>
      </c>
      <c r="G876" s="1" t="s">
        <v>47</v>
      </c>
      <c r="H876" s="1">
        <v>2022</v>
      </c>
      <c r="I876" s="1" t="s">
        <v>1818</v>
      </c>
      <c r="J876" s="6">
        <v>28340</v>
      </c>
      <c r="K876" s="6">
        <v>20884</v>
      </c>
      <c r="L876" s="21">
        <v>0.73690896259703598</v>
      </c>
      <c r="M876" s="1">
        <v>0</v>
      </c>
      <c r="N876" s="1" t="s">
        <v>1589</v>
      </c>
      <c r="O876" s="1">
        <v>14</v>
      </c>
      <c r="P876" s="1">
        <v>0.74</v>
      </c>
      <c r="Q876" s="22">
        <v>42642</v>
      </c>
      <c r="R876" s="8"/>
      <c r="S876" s="9" t="s">
        <v>18</v>
      </c>
      <c r="T876" s="8"/>
      <c r="U876" s="9" t="s">
        <v>18</v>
      </c>
      <c r="V876" s="8"/>
      <c r="W876" s="8" t="s">
        <v>18</v>
      </c>
      <c r="X876" s="8"/>
    </row>
    <row r="877" spans="1:24" x14ac:dyDescent="0.3">
      <c r="A877" s="1" t="s">
        <v>2229</v>
      </c>
      <c r="B877" s="1" t="s">
        <v>1203</v>
      </c>
      <c r="C877" s="1" t="s">
        <v>82</v>
      </c>
      <c r="D877" s="1" t="s">
        <v>110</v>
      </c>
      <c r="F877" s="1">
        <v>2014</v>
      </c>
      <c r="G877" s="1" t="s">
        <v>19</v>
      </c>
      <c r="H877" s="1">
        <v>2021</v>
      </c>
      <c r="I877" s="1" t="s">
        <v>1601</v>
      </c>
      <c r="J877" s="6">
        <v>12835</v>
      </c>
      <c r="K877" s="6">
        <v>5605</v>
      </c>
      <c r="L877" s="21">
        <v>0.43669653291780286</v>
      </c>
      <c r="M877" s="1">
        <v>0</v>
      </c>
      <c r="N877" s="1" t="s">
        <v>1821</v>
      </c>
      <c r="O877" s="1" t="s">
        <v>18</v>
      </c>
      <c r="P877" s="1" t="s">
        <v>18</v>
      </c>
      <c r="Q877" s="22" t="s">
        <v>18</v>
      </c>
      <c r="R877" s="8"/>
      <c r="S877" s="9"/>
      <c r="T877" s="8"/>
      <c r="U877" s="9"/>
      <c r="V877" s="8"/>
      <c r="W877" s="8"/>
      <c r="X877" s="8"/>
    </row>
    <row r="878" spans="1:24" x14ac:dyDescent="0.3">
      <c r="A878" s="1" t="s">
        <v>2230</v>
      </c>
      <c r="B878" s="1" t="s">
        <v>1202</v>
      </c>
      <c r="C878" s="1" t="s">
        <v>82</v>
      </c>
      <c r="D878" s="1" t="s">
        <v>110</v>
      </c>
      <c r="F878" s="1">
        <v>2012</v>
      </c>
      <c r="G878" s="1" t="s">
        <v>19</v>
      </c>
      <c r="H878" s="1">
        <v>2021</v>
      </c>
      <c r="I878" s="1" t="s">
        <v>1603</v>
      </c>
      <c r="J878" s="6">
        <v>23848</v>
      </c>
      <c r="K878" s="6">
        <v>16693</v>
      </c>
      <c r="L878" s="21">
        <v>0.69997484065749749</v>
      </c>
      <c r="M878" s="1">
        <v>0</v>
      </c>
      <c r="N878" s="1" t="s">
        <v>1821</v>
      </c>
      <c r="O878" s="1" t="s">
        <v>18</v>
      </c>
      <c r="P878" s="1" t="s">
        <v>18</v>
      </c>
      <c r="Q878" s="22" t="s">
        <v>18</v>
      </c>
      <c r="R878" s="8"/>
      <c r="S878" s="9"/>
      <c r="T878" s="8"/>
      <c r="U878" s="9"/>
      <c r="V878" s="8"/>
      <c r="W878" s="8"/>
      <c r="X878" s="8"/>
    </row>
    <row r="879" spans="1:24" x14ac:dyDescent="0.3">
      <c r="A879" s="1" t="s">
        <v>2232</v>
      </c>
      <c r="B879" s="1" t="s">
        <v>2233</v>
      </c>
      <c r="C879" s="1" t="s">
        <v>82</v>
      </c>
      <c r="D879" s="1" t="s">
        <v>110</v>
      </c>
      <c r="F879" s="1">
        <v>1976</v>
      </c>
      <c r="G879" s="1" t="s">
        <v>25</v>
      </c>
      <c r="H879" s="1">
        <v>2021</v>
      </c>
      <c r="I879" s="1" t="s">
        <v>1599</v>
      </c>
      <c r="J879" s="6">
        <v>24475</v>
      </c>
      <c r="K879" s="6">
        <v>24240</v>
      </c>
      <c r="L879" s="21">
        <v>0.99039836567926454</v>
      </c>
      <c r="M879" s="1">
        <v>0</v>
      </c>
      <c r="N879" s="1" t="s">
        <v>1589</v>
      </c>
      <c r="O879" s="1">
        <v>2</v>
      </c>
      <c r="P879" s="1">
        <v>0.57399999999999995</v>
      </c>
      <c r="Q879" s="22">
        <v>44249</v>
      </c>
      <c r="R879" s="8"/>
      <c r="S879" s="9" t="s">
        <v>18</v>
      </c>
      <c r="T879" s="8"/>
      <c r="U879" s="9" t="s">
        <v>18</v>
      </c>
      <c r="V879" s="8"/>
      <c r="W879" s="8" t="s">
        <v>18</v>
      </c>
      <c r="X879" s="8"/>
    </row>
    <row r="880" spans="1:24" x14ac:dyDescent="0.3">
      <c r="A880" s="1" t="s">
        <v>2234</v>
      </c>
      <c r="B880" s="1" t="s">
        <v>2235</v>
      </c>
      <c r="C880" s="1" t="s">
        <v>82</v>
      </c>
      <c r="D880" s="1" t="s">
        <v>110</v>
      </c>
      <c r="F880" s="1">
        <v>2022</v>
      </c>
      <c r="J880" s="6">
        <v>16862</v>
      </c>
      <c r="K880" s="6">
        <v>8809</v>
      </c>
      <c r="L880" s="21">
        <v>0.52241726960028467</v>
      </c>
      <c r="M880" s="1">
        <v>0</v>
      </c>
      <c r="N880" s="1" t="s">
        <v>1821</v>
      </c>
      <c r="O880" s="1" t="s">
        <v>18</v>
      </c>
      <c r="P880" s="1">
        <v>0.56499999999999995</v>
      </c>
      <c r="Q880" s="22">
        <v>44279</v>
      </c>
      <c r="R880" s="8"/>
      <c r="S880" s="9"/>
      <c r="T880" s="8"/>
      <c r="U880" s="9"/>
      <c r="V880" s="8"/>
      <c r="W880" s="8"/>
      <c r="X880" s="8"/>
    </row>
    <row r="881" spans="1:24" x14ac:dyDescent="0.3">
      <c r="A881" s="1" t="s">
        <v>2237</v>
      </c>
      <c r="B881" s="1" t="s">
        <v>2238</v>
      </c>
      <c r="C881" s="1" t="s">
        <v>82</v>
      </c>
      <c r="D881" s="1" t="s">
        <v>110</v>
      </c>
      <c r="F881" s="1">
        <v>2020</v>
      </c>
      <c r="J881" s="6">
        <v>7450</v>
      </c>
      <c r="K881" s="6">
        <v>8525</v>
      </c>
      <c r="L881" s="21">
        <v>1.1442953020134228</v>
      </c>
      <c r="M881" s="1">
        <v>0</v>
      </c>
      <c r="N881" s="1" t="s">
        <v>1821</v>
      </c>
      <c r="O881" s="1" t="s">
        <v>18</v>
      </c>
      <c r="P881" s="1">
        <v>0.53400000000000003</v>
      </c>
      <c r="Q881" s="22">
        <v>44279</v>
      </c>
      <c r="R881" s="8"/>
      <c r="S881" s="9"/>
      <c r="T881" s="8"/>
      <c r="U881" s="9"/>
      <c r="V881" s="8"/>
      <c r="W881" s="8"/>
      <c r="X881" s="8"/>
    </row>
    <row r="882" spans="1:24" x14ac:dyDescent="0.3">
      <c r="A882" s="1" t="s">
        <v>2243</v>
      </c>
      <c r="B882" s="1" t="s">
        <v>2244</v>
      </c>
      <c r="C882" s="1" t="s">
        <v>82</v>
      </c>
      <c r="D882" s="1" t="s">
        <v>110</v>
      </c>
      <c r="F882" s="1">
        <v>2017</v>
      </c>
      <c r="J882" s="6">
        <v>9178</v>
      </c>
      <c r="K882" s="6">
        <v>714</v>
      </c>
      <c r="L882" s="21">
        <v>7.7794726519938989E-2</v>
      </c>
      <c r="M882" s="1">
        <v>0</v>
      </c>
      <c r="N882" s="1" t="s">
        <v>28</v>
      </c>
      <c r="O882" s="1" t="s">
        <v>18</v>
      </c>
      <c r="P882" s="1" t="s">
        <v>18</v>
      </c>
      <c r="Q882" s="22" t="s">
        <v>18</v>
      </c>
      <c r="R882" s="8"/>
      <c r="S882" s="9" t="s">
        <v>18</v>
      </c>
      <c r="T882" s="8"/>
      <c r="U882" s="9" t="s">
        <v>18</v>
      </c>
      <c r="V882" s="8"/>
      <c r="W882" s="8" t="s">
        <v>18</v>
      </c>
      <c r="X882" s="8"/>
    </row>
    <row r="883" spans="1:24" x14ac:dyDescent="0.3">
      <c r="A883" s="1" t="s">
        <v>2245</v>
      </c>
      <c r="B883" s="1" t="s">
        <v>2246</v>
      </c>
      <c r="C883" s="1" t="s">
        <v>82</v>
      </c>
      <c r="D883" s="1" t="s">
        <v>110</v>
      </c>
      <c r="F883" s="1">
        <v>2018</v>
      </c>
      <c r="G883" s="1" t="s">
        <v>19</v>
      </c>
      <c r="H883" s="1">
        <v>2022</v>
      </c>
      <c r="I883" s="1" t="s">
        <v>1783</v>
      </c>
      <c r="J883" s="6">
        <v>8333</v>
      </c>
      <c r="K883" s="6">
        <v>3362</v>
      </c>
      <c r="L883" s="21">
        <v>0.40345613824552984</v>
      </c>
      <c r="M883" s="1">
        <v>0</v>
      </c>
      <c r="N883" s="1" t="s">
        <v>1821</v>
      </c>
      <c r="O883" s="1" t="s">
        <v>18</v>
      </c>
      <c r="P883" s="1" t="s">
        <v>18</v>
      </c>
      <c r="Q883" s="22" t="s">
        <v>18</v>
      </c>
      <c r="R883" s="8"/>
      <c r="S883" s="9"/>
      <c r="T883" s="8"/>
      <c r="U883" s="9"/>
      <c r="V883" s="8"/>
      <c r="W883" s="8"/>
      <c r="X883" s="8"/>
    </row>
    <row r="884" spans="1:24" x14ac:dyDescent="0.3">
      <c r="A884" s="1" t="s">
        <v>2247</v>
      </c>
      <c r="B884" s="1" t="s">
        <v>1229</v>
      </c>
      <c r="C884" s="1" t="s">
        <v>82</v>
      </c>
      <c r="D884" s="1" t="s">
        <v>110</v>
      </c>
      <c r="F884" s="1">
        <v>2015</v>
      </c>
      <c r="G884" s="1" t="s">
        <v>21</v>
      </c>
      <c r="H884" s="1">
        <v>2021</v>
      </c>
      <c r="I884" s="1" t="s">
        <v>1783</v>
      </c>
      <c r="J884" s="6">
        <v>2107</v>
      </c>
      <c r="K884" s="6">
        <v>1475</v>
      </c>
      <c r="L884" s="21">
        <v>0.70004746084480307</v>
      </c>
      <c r="M884" s="1">
        <v>0</v>
      </c>
      <c r="N884" s="1" t="s">
        <v>1821</v>
      </c>
      <c r="O884" s="1" t="s">
        <v>18</v>
      </c>
      <c r="P884" s="1" t="s">
        <v>18</v>
      </c>
      <c r="Q884" s="22" t="s">
        <v>18</v>
      </c>
      <c r="R884" s="8"/>
      <c r="S884" s="9"/>
      <c r="T884" s="8"/>
      <c r="U884" s="9"/>
      <c r="V884" s="8"/>
      <c r="W884" s="8"/>
      <c r="X884" s="8"/>
    </row>
    <row r="885" spans="1:24" x14ac:dyDescent="0.3">
      <c r="A885" s="1" t="s">
        <v>2275</v>
      </c>
      <c r="B885" s="1" t="s">
        <v>2276</v>
      </c>
      <c r="C885" s="1" t="s">
        <v>82</v>
      </c>
      <c r="D885" s="1" t="s">
        <v>110</v>
      </c>
      <c r="F885" s="1">
        <v>2006</v>
      </c>
      <c r="J885" s="6">
        <v>18083</v>
      </c>
      <c r="K885" s="6">
        <v>11295</v>
      </c>
      <c r="L885" s="21">
        <v>0.6246198086600675</v>
      </c>
      <c r="M885" s="1">
        <v>0</v>
      </c>
      <c r="N885" s="1" t="s">
        <v>1821</v>
      </c>
      <c r="O885" s="1" t="s">
        <v>18</v>
      </c>
      <c r="P885" s="1">
        <v>0.77500000000000002</v>
      </c>
      <c r="Q885" s="22">
        <v>43628</v>
      </c>
      <c r="R885" s="8"/>
      <c r="S885" s="9"/>
      <c r="T885" s="8"/>
      <c r="U885" s="9"/>
      <c r="V885" s="8"/>
      <c r="W885" s="8"/>
      <c r="X885" s="8"/>
    </row>
    <row r="886" spans="1:24" x14ac:dyDescent="0.3">
      <c r="A886" s="1" t="s">
        <v>2277</v>
      </c>
      <c r="B886" s="1" t="s">
        <v>2278</v>
      </c>
      <c r="C886" s="1" t="s">
        <v>82</v>
      </c>
      <c r="D886" s="1" t="s">
        <v>110</v>
      </c>
      <c r="F886" s="1">
        <v>2014</v>
      </c>
      <c r="G886" s="1" t="s">
        <v>25</v>
      </c>
      <c r="H886" s="1">
        <v>2014</v>
      </c>
      <c r="I886" s="1" t="s">
        <v>1600</v>
      </c>
      <c r="J886" s="6">
        <v>8369</v>
      </c>
      <c r="K886" s="6">
        <v>5858</v>
      </c>
      <c r="L886" s="21">
        <v>0.69996415342334806</v>
      </c>
      <c r="M886" s="1">
        <v>0</v>
      </c>
      <c r="N886" s="1" t="s">
        <v>1821</v>
      </c>
      <c r="O886" s="1" t="s">
        <v>18</v>
      </c>
      <c r="P886" s="1">
        <v>0.77500000000000002</v>
      </c>
      <c r="Q886" s="22">
        <v>43640</v>
      </c>
      <c r="R886" s="8"/>
      <c r="S886" s="9"/>
      <c r="T886" s="8"/>
      <c r="U886" s="9"/>
      <c r="V886" s="8"/>
      <c r="W886" s="8"/>
      <c r="X886" s="8"/>
    </row>
    <row r="887" spans="1:24" x14ac:dyDescent="0.3">
      <c r="A887" s="1" t="s">
        <v>2279</v>
      </c>
      <c r="B887" s="1" t="s">
        <v>2280</v>
      </c>
      <c r="C887" s="1" t="s">
        <v>82</v>
      </c>
      <c r="D887" s="1" t="s">
        <v>110</v>
      </c>
      <c r="F887" s="1">
        <v>2006</v>
      </c>
      <c r="G887" s="1" t="s">
        <v>25</v>
      </c>
      <c r="H887" s="1">
        <v>2016</v>
      </c>
      <c r="I887" s="1" t="s">
        <v>1597</v>
      </c>
      <c r="J887" s="6">
        <v>19587</v>
      </c>
      <c r="K887" s="6">
        <v>19487</v>
      </c>
      <c r="L887" s="21">
        <v>0.99489457293102568</v>
      </c>
      <c r="M887" s="1">
        <v>0</v>
      </c>
      <c r="N887" s="1" t="s">
        <v>1821</v>
      </c>
      <c r="O887" s="1" t="s">
        <v>18</v>
      </c>
      <c r="P887" s="1">
        <v>0.54149999999999998</v>
      </c>
      <c r="Q887" s="22">
        <v>44279</v>
      </c>
      <c r="R887" s="8"/>
      <c r="S887" s="9"/>
      <c r="T887" s="8"/>
      <c r="U887" s="9"/>
      <c r="V887" s="8"/>
      <c r="W887" s="8"/>
      <c r="X887" s="8"/>
    </row>
    <row r="888" spans="1:24" x14ac:dyDescent="0.3">
      <c r="A888" s="1" t="s">
        <v>2281</v>
      </c>
      <c r="B888" s="1" t="s">
        <v>1210</v>
      </c>
      <c r="C888" s="1" t="s">
        <v>82</v>
      </c>
      <c r="D888" s="1" t="s">
        <v>110</v>
      </c>
      <c r="F888" s="1">
        <v>1980</v>
      </c>
      <c r="J888" s="6">
        <v>11734</v>
      </c>
      <c r="K888" s="6">
        <v>7243</v>
      </c>
      <c r="L888" s="21">
        <v>0.61726606442815746</v>
      </c>
      <c r="M888" s="1">
        <v>0</v>
      </c>
      <c r="N888" s="1" t="s">
        <v>1821</v>
      </c>
      <c r="O888" s="1" t="s">
        <v>18</v>
      </c>
      <c r="P888" s="1">
        <v>0.93500000000000005</v>
      </c>
      <c r="Q888" s="22">
        <v>43571</v>
      </c>
      <c r="R888" s="8"/>
      <c r="S888" s="9"/>
      <c r="T888" s="8"/>
      <c r="U888" s="9"/>
      <c r="V888" s="8"/>
      <c r="W888" s="8"/>
      <c r="X888" s="8"/>
    </row>
    <row r="889" spans="1:24" x14ac:dyDescent="0.3">
      <c r="A889" s="1" t="s">
        <v>2282</v>
      </c>
      <c r="B889" s="1" t="s">
        <v>1209</v>
      </c>
      <c r="C889" s="1" t="s">
        <v>82</v>
      </c>
      <c r="D889" s="1" t="s">
        <v>110</v>
      </c>
      <c r="F889" s="1">
        <v>2001</v>
      </c>
      <c r="G889" s="1" t="s">
        <v>19</v>
      </c>
      <c r="H889" s="1">
        <v>2017</v>
      </c>
      <c r="I889" s="1" t="s">
        <v>1601</v>
      </c>
      <c r="J889" s="6">
        <v>20116</v>
      </c>
      <c r="K889" s="6">
        <v>12379</v>
      </c>
      <c r="L889" s="21">
        <v>0.61538079140982305</v>
      </c>
      <c r="M889" s="1">
        <v>0</v>
      </c>
      <c r="N889" s="1" t="s">
        <v>1821</v>
      </c>
      <c r="O889" s="1" t="s">
        <v>18</v>
      </c>
      <c r="P889" s="1">
        <v>0.60599999999999998</v>
      </c>
      <c r="Q889" s="22">
        <v>44556</v>
      </c>
      <c r="R889" s="8"/>
      <c r="S889" s="9"/>
      <c r="T889" s="8"/>
      <c r="U889" s="9"/>
      <c r="V889" s="8"/>
      <c r="W889" s="8"/>
      <c r="X889" s="8"/>
    </row>
    <row r="890" spans="1:24" x14ac:dyDescent="0.3">
      <c r="A890" s="1" t="s">
        <v>2394</v>
      </c>
      <c r="B890" s="1" t="s">
        <v>1188</v>
      </c>
      <c r="C890" s="1" t="s">
        <v>82</v>
      </c>
      <c r="D890" s="1" t="s">
        <v>110</v>
      </c>
      <c r="F890" s="1">
        <v>1986</v>
      </c>
      <c r="J890" s="6">
        <v>6842</v>
      </c>
      <c r="K890" s="6">
        <v>4768</v>
      </c>
      <c r="L890" s="21">
        <v>0.69687225957322418</v>
      </c>
      <c r="M890" s="1">
        <v>0</v>
      </c>
      <c r="N890" s="1" t="s">
        <v>1821</v>
      </c>
      <c r="O890" s="1" t="s">
        <v>18</v>
      </c>
      <c r="P890" s="1">
        <v>0.60599999999999998</v>
      </c>
      <c r="Q890" s="22">
        <v>44556</v>
      </c>
      <c r="R890" s="8"/>
      <c r="S890" s="9"/>
      <c r="T890" s="8"/>
      <c r="U890" s="9"/>
      <c r="V890" s="8"/>
      <c r="W890" s="8"/>
      <c r="X890" s="8"/>
    </row>
    <row r="891" spans="1:24" x14ac:dyDescent="0.3">
      <c r="A891" s="1" t="s">
        <v>2395</v>
      </c>
      <c r="B891" s="1" t="s">
        <v>2396</v>
      </c>
      <c r="C891" s="1" t="s">
        <v>82</v>
      </c>
      <c r="D891" s="1" t="s">
        <v>110</v>
      </c>
      <c r="F891" s="1">
        <v>1986</v>
      </c>
      <c r="J891" s="6">
        <v>7163</v>
      </c>
      <c r="K891" s="6">
        <v>4750</v>
      </c>
      <c r="L891" s="21">
        <v>0.66312997347480107</v>
      </c>
      <c r="M891" s="1">
        <v>0</v>
      </c>
      <c r="N891" s="1" t="s">
        <v>1821</v>
      </c>
      <c r="O891" s="1" t="s">
        <v>18</v>
      </c>
      <c r="P891" s="1">
        <v>0.60599999999999998</v>
      </c>
      <c r="Q891" s="22">
        <v>44556</v>
      </c>
      <c r="R891" s="8"/>
      <c r="S891" s="9"/>
      <c r="T891" s="8"/>
      <c r="U891" s="9"/>
      <c r="V891" s="8"/>
      <c r="W891" s="8"/>
      <c r="X891" s="8"/>
    </row>
    <row r="892" spans="1:24" x14ac:dyDescent="0.3">
      <c r="A892" s="1" t="s">
        <v>2397</v>
      </c>
      <c r="B892" s="1" t="s">
        <v>1189</v>
      </c>
      <c r="C892" s="1" t="s">
        <v>82</v>
      </c>
      <c r="D892" s="1" t="s">
        <v>110</v>
      </c>
      <c r="F892" s="1">
        <v>1993</v>
      </c>
      <c r="J892" s="6">
        <v>15567</v>
      </c>
      <c r="K892" s="6">
        <v>9315</v>
      </c>
      <c r="L892" s="21">
        <v>0.59838119098092113</v>
      </c>
      <c r="M892" s="1">
        <v>0</v>
      </c>
      <c r="N892" s="1" t="s">
        <v>1821</v>
      </c>
      <c r="O892" s="1" t="s">
        <v>18</v>
      </c>
      <c r="P892" s="1">
        <v>0.60599999999999998</v>
      </c>
      <c r="Q892" s="22">
        <v>44556</v>
      </c>
      <c r="R892" s="8"/>
      <c r="S892" s="9"/>
      <c r="T892" s="8"/>
      <c r="U892" s="9"/>
      <c r="V892" s="8"/>
      <c r="W892" s="8"/>
      <c r="X892" s="8"/>
    </row>
    <row r="893" spans="1:24" x14ac:dyDescent="0.3">
      <c r="A893" s="1" t="s">
        <v>2398</v>
      </c>
      <c r="B893" s="1" t="s">
        <v>1190</v>
      </c>
      <c r="C893" s="1" t="s">
        <v>82</v>
      </c>
      <c r="D893" s="1" t="s">
        <v>110</v>
      </c>
      <c r="F893" s="1">
        <v>1981</v>
      </c>
      <c r="G893" s="1" t="s">
        <v>19</v>
      </c>
      <c r="H893" s="1">
        <v>2013</v>
      </c>
      <c r="I893" s="1" t="s">
        <v>1601</v>
      </c>
      <c r="J893" s="6">
        <v>8735</v>
      </c>
      <c r="K893" s="6">
        <v>5842</v>
      </c>
      <c r="L893" s="21">
        <v>0.6688036634230109</v>
      </c>
      <c r="M893" s="1">
        <v>0</v>
      </c>
      <c r="N893" s="1" t="s">
        <v>1821</v>
      </c>
      <c r="O893" s="1" t="s">
        <v>18</v>
      </c>
      <c r="P893" s="1">
        <v>0.60599999999999998</v>
      </c>
      <c r="Q893" s="22">
        <v>44556</v>
      </c>
      <c r="R893" s="8"/>
      <c r="S893" s="9"/>
      <c r="T893" s="8"/>
      <c r="U893" s="9"/>
      <c r="V893" s="8"/>
      <c r="W893" s="8"/>
      <c r="X893" s="8"/>
    </row>
    <row r="894" spans="1:24" x14ac:dyDescent="0.3">
      <c r="A894" s="1" t="s">
        <v>2399</v>
      </c>
      <c r="B894" s="1" t="s">
        <v>1191</v>
      </c>
      <c r="C894" s="1" t="s">
        <v>82</v>
      </c>
      <c r="D894" s="1" t="s">
        <v>110</v>
      </c>
      <c r="F894" s="1">
        <v>2016</v>
      </c>
      <c r="G894" s="1" t="s">
        <v>19</v>
      </c>
      <c r="H894" s="1">
        <v>2021</v>
      </c>
      <c r="I894" s="1" t="s">
        <v>1783</v>
      </c>
      <c r="J894" s="6">
        <v>4801</v>
      </c>
      <c r="K894" s="6">
        <v>1761</v>
      </c>
      <c r="L894" s="21">
        <v>0.36679858362841072</v>
      </c>
      <c r="M894" s="1">
        <v>0</v>
      </c>
      <c r="N894" s="1" t="s">
        <v>1821</v>
      </c>
      <c r="O894" s="1" t="s">
        <v>18</v>
      </c>
      <c r="P894" s="1">
        <v>0.60599999999999998</v>
      </c>
      <c r="Q894" s="22">
        <v>44556</v>
      </c>
      <c r="R894" s="8"/>
      <c r="S894" s="9"/>
      <c r="T894" s="8"/>
      <c r="U894" s="9"/>
      <c r="V894" s="8"/>
      <c r="W894" s="8"/>
      <c r="X894" s="8"/>
    </row>
    <row r="895" spans="1:24" x14ac:dyDescent="0.3">
      <c r="A895" s="1" t="s">
        <v>2400</v>
      </c>
      <c r="B895" s="1" t="s">
        <v>1192</v>
      </c>
      <c r="C895" s="1" t="s">
        <v>82</v>
      </c>
      <c r="D895" s="1" t="s">
        <v>110</v>
      </c>
      <c r="F895" s="1">
        <v>1986</v>
      </c>
      <c r="J895" s="6">
        <v>7823</v>
      </c>
      <c r="K895" s="6">
        <v>5033</v>
      </c>
      <c r="L895" s="21">
        <v>0.6433593250671098</v>
      </c>
      <c r="M895" s="1">
        <v>0</v>
      </c>
      <c r="N895" s="1" t="s">
        <v>1821</v>
      </c>
      <c r="O895" s="1" t="s">
        <v>18</v>
      </c>
      <c r="P895" s="1">
        <v>0.60599999999999998</v>
      </c>
      <c r="Q895" s="22">
        <v>44556</v>
      </c>
      <c r="R895" s="8"/>
      <c r="S895" s="9"/>
      <c r="T895" s="8"/>
      <c r="U895" s="9"/>
      <c r="V895" s="8"/>
      <c r="W895" s="8"/>
      <c r="X895" s="8"/>
    </row>
    <row r="896" spans="1:24" x14ac:dyDescent="0.3">
      <c r="A896" s="1" t="s">
        <v>2401</v>
      </c>
      <c r="B896" s="1" t="s">
        <v>1193</v>
      </c>
      <c r="C896" s="1" t="s">
        <v>82</v>
      </c>
      <c r="D896" s="1" t="s">
        <v>110</v>
      </c>
      <c r="F896" s="1">
        <v>1986</v>
      </c>
      <c r="J896" s="6">
        <v>9625</v>
      </c>
      <c r="K896" s="6">
        <v>3269</v>
      </c>
      <c r="L896" s="21">
        <v>0.33963636363636363</v>
      </c>
      <c r="M896" s="1">
        <v>0</v>
      </c>
      <c r="N896" s="1" t="s">
        <v>1821</v>
      </c>
      <c r="O896" s="1" t="s">
        <v>18</v>
      </c>
      <c r="P896" s="1">
        <v>0.60599999999999998</v>
      </c>
      <c r="Q896" s="22">
        <v>44556</v>
      </c>
      <c r="R896" s="8"/>
      <c r="S896" s="9"/>
      <c r="T896" s="8"/>
      <c r="U896" s="9"/>
      <c r="V896" s="8"/>
      <c r="W896" s="8"/>
      <c r="X896" s="8"/>
    </row>
    <row r="897" spans="1:24" x14ac:dyDescent="0.3">
      <c r="A897" s="1" t="s">
        <v>2402</v>
      </c>
      <c r="B897" s="1" t="s">
        <v>1194</v>
      </c>
      <c r="C897" s="1" t="s">
        <v>82</v>
      </c>
      <c r="D897" s="1" t="s">
        <v>110</v>
      </c>
      <c r="F897" s="1">
        <v>2014</v>
      </c>
      <c r="G897" s="1" t="s">
        <v>19</v>
      </c>
      <c r="H897" s="1">
        <v>2021</v>
      </c>
      <c r="I897" s="1" t="s">
        <v>1603</v>
      </c>
      <c r="J897" s="6">
        <v>38448</v>
      </c>
      <c r="K897" s="6">
        <v>23333</v>
      </c>
      <c r="L897" s="21">
        <v>0.6068716188098211</v>
      </c>
      <c r="M897" s="1">
        <v>0</v>
      </c>
      <c r="N897" s="1" t="s">
        <v>1821</v>
      </c>
      <c r="O897" s="1" t="s">
        <v>18</v>
      </c>
      <c r="P897" s="1">
        <v>0.60599999999999998</v>
      </c>
      <c r="Q897" s="22">
        <v>44556</v>
      </c>
      <c r="R897" s="8"/>
      <c r="S897" s="9"/>
      <c r="T897" s="8"/>
      <c r="U897" s="9"/>
      <c r="V897" s="8"/>
      <c r="W897" s="8"/>
      <c r="X897" s="8"/>
    </row>
    <row r="898" spans="1:24" x14ac:dyDescent="0.3">
      <c r="A898" s="1" t="s">
        <v>2410</v>
      </c>
      <c r="B898" s="1" t="s">
        <v>2411</v>
      </c>
      <c r="C898" s="1" t="s">
        <v>82</v>
      </c>
      <c r="D898" s="1" t="s">
        <v>110</v>
      </c>
      <c r="F898" s="1">
        <v>1986</v>
      </c>
      <c r="G898" s="1" t="s">
        <v>19</v>
      </c>
      <c r="H898" s="1">
        <v>2020</v>
      </c>
      <c r="I898" s="1" t="s">
        <v>1601</v>
      </c>
      <c r="J898" s="6">
        <v>738667</v>
      </c>
      <c r="K898" s="6">
        <v>517068</v>
      </c>
      <c r="L898" s="21">
        <v>0.70000148916900307</v>
      </c>
      <c r="M898" s="1">
        <v>0</v>
      </c>
      <c r="N898" s="1" t="s">
        <v>1589</v>
      </c>
      <c r="O898" s="1" t="s">
        <v>18</v>
      </c>
      <c r="P898" s="1">
        <v>0.65</v>
      </c>
      <c r="Q898" s="22">
        <v>43515</v>
      </c>
      <c r="R898" s="8"/>
      <c r="S898" s="9" t="s">
        <v>18</v>
      </c>
      <c r="T898" s="8"/>
      <c r="U898" s="9" t="s">
        <v>18</v>
      </c>
      <c r="V898" s="8"/>
      <c r="W898" s="8" t="s">
        <v>18</v>
      </c>
      <c r="X898" s="8"/>
    </row>
    <row r="899" spans="1:24" x14ac:dyDescent="0.3">
      <c r="A899" s="1" t="s">
        <v>2455</v>
      </c>
      <c r="B899" s="1" t="s">
        <v>1195</v>
      </c>
      <c r="C899" s="1" t="s">
        <v>82</v>
      </c>
      <c r="D899" s="1" t="s">
        <v>110</v>
      </c>
      <c r="F899" s="1">
        <v>1981</v>
      </c>
      <c r="J899" s="6">
        <v>5141</v>
      </c>
      <c r="K899" s="6">
        <v>3067</v>
      </c>
      <c r="L899" s="21">
        <v>0.5965765415288854</v>
      </c>
      <c r="M899" s="1">
        <v>0</v>
      </c>
      <c r="N899" s="1" t="s">
        <v>1821</v>
      </c>
      <c r="O899" s="1" t="s">
        <v>18</v>
      </c>
      <c r="P899" s="1">
        <v>0.60599999999999998</v>
      </c>
      <c r="Q899" s="22">
        <v>45286</v>
      </c>
      <c r="R899" s="8"/>
      <c r="S899" s="9"/>
      <c r="T899" s="8"/>
      <c r="U899" s="9"/>
      <c r="V899" s="8"/>
      <c r="W899" s="8"/>
      <c r="X899" s="8"/>
    </row>
    <row r="900" spans="1:24" x14ac:dyDescent="0.3">
      <c r="A900" s="1" t="s">
        <v>2456</v>
      </c>
      <c r="B900" s="1" t="s">
        <v>1196</v>
      </c>
      <c r="C900" s="1" t="s">
        <v>82</v>
      </c>
      <c r="D900" s="1" t="s">
        <v>110</v>
      </c>
      <c r="F900" s="1">
        <v>1981</v>
      </c>
      <c r="J900" s="6">
        <v>5678</v>
      </c>
      <c r="K900" s="6">
        <v>3106</v>
      </c>
      <c r="L900" s="21">
        <v>0.54702359985910531</v>
      </c>
      <c r="M900" s="1">
        <v>0</v>
      </c>
      <c r="N900" s="1" t="s">
        <v>1821</v>
      </c>
      <c r="O900" s="1" t="s">
        <v>18</v>
      </c>
      <c r="P900" s="1">
        <v>0.60599999999999998</v>
      </c>
      <c r="Q900" s="22">
        <v>44556</v>
      </c>
      <c r="R900" s="8"/>
      <c r="S900" s="9"/>
      <c r="T900" s="8"/>
      <c r="U900" s="9"/>
      <c r="V900" s="8"/>
      <c r="W900" s="8"/>
      <c r="X900" s="8"/>
    </row>
    <row r="901" spans="1:24" x14ac:dyDescent="0.3">
      <c r="A901" s="1" t="s">
        <v>2457</v>
      </c>
      <c r="B901" s="1" t="s">
        <v>1197</v>
      </c>
      <c r="C901" s="1" t="s">
        <v>82</v>
      </c>
      <c r="D901" s="1" t="s">
        <v>110</v>
      </c>
      <c r="F901" s="1">
        <v>1981</v>
      </c>
      <c r="J901" s="6">
        <v>3163</v>
      </c>
      <c r="K901" s="6">
        <v>2218</v>
      </c>
      <c r="L901" s="21">
        <v>0.70123300663926647</v>
      </c>
      <c r="M901" s="1">
        <v>0</v>
      </c>
      <c r="N901" s="1" t="s">
        <v>1821</v>
      </c>
      <c r="O901" s="1" t="s">
        <v>18</v>
      </c>
      <c r="P901" s="1">
        <v>0.60599999999999998</v>
      </c>
      <c r="Q901" s="22">
        <v>44556</v>
      </c>
      <c r="R901" s="8"/>
      <c r="S901" s="9"/>
      <c r="T901" s="8"/>
      <c r="U901" s="9"/>
      <c r="V901" s="8"/>
      <c r="W901" s="8"/>
      <c r="X901" s="8"/>
    </row>
    <row r="902" spans="1:24" x14ac:dyDescent="0.3">
      <c r="A902" s="1" t="s">
        <v>2458</v>
      </c>
      <c r="B902" s="1" t="s">
        <v>1198</v>
      </c>
      <c r="C902" s="1" t="s">
        <v>82</v>
      </c>
      <c r="D902" s="1" t="s">
        <v>110</v>
      </c>
      <c r="F902" s="1">
        <v>1981</v>
      </c>
      <c r="J902" s="6">
        <v>4658</v>
      </c>
      <c r="K902" s="6">
        <v>3269</v>
      </c>
      <c r="L902" s="21">
        <v>0.70180334907685704</v>
      </c>
      <c r="M902" s="1">
        <v>0</v>
      </c>
      <c r="N902" s="1" t="s">
        <v>1821</v>
      </c>
      <c r="O902" s="1" t="s">
        <v>18</v>
      </c>
      <c r="P902" s="1">
        <v>0.60599999999999998</v>
      </c>
      <c r="Q902" s="22">
        <v>44556</v>
      </c>
      <c r="R902" s="8"/>
      <c r="S902" s="9"/>
      <c r="T902" s="8"/>
      <c r="U902" s="9"/>
      <c r="V902" s="8"/>
      <c r="W902" s="8"/>
      <c r="X902" s="8"/>
    </row>
    <row r="903" spans="1:24" x14ac:dyDescent="0.3">
      <c r="A903" s="1" t="s">
        <v>2459</v>
      </c>
      <c r="B903" s="1" t="s">
        <v>2460</v>
      </c>
      <c r="C903" s="1" t="s">
        <v>82</v>
      </c>
      <c r="D903" s="1" t="s">
        <v>110</v>
      </c>
      <c r="F903" s="1">
        <v>1991</v>
      </c>
      <c r="J903" s="6">
        <v>10531</v>
      </c>
      <c r="K903" s="6">
        <v>7493</v>
      </c>
      <c r="L903" s="21">
        <v>0.71151837432342613</v>
      </c>
      <c r="M903" s="1">
        <v>0</v>
      </c>
      <c r="N903" s="1" t="s">
        <v>1821</v>
      </c>
      <c r="O903" s="1" t="s">
        <v>18</v>
      </c>
      <c r="P903" s="1">
        <v>0.60599999999999998</v>
      </c>
      <c r="Q903" s="22">
        <v>44556</v>
      </c>
      <c r="R903" s="8"/>
      <c r="S903" s="9"/>
      <c r="T903" s="8"/>
      <c r="U903" s="9"/>
      <c r="V903" s="8"/>
      <c r="W903" s="8"/>
      <c r="X903" s="8"/>
    </row>
    <row r="904" spans="1:24" x14ac:dyDescent="0.3">
      <c r="A904" s="1" t="s">
        <v>2461</v>
      </c>
      <c r="B904" s="1" t="s">
        <v>1187</v>
      </c>
      <c r="C904" s="1" t="s">
        <v>82</v>
      </c>
      <c r="D904" s="1" t="s">
        <v>110</v>
      </c>
      <c r="F904" s="1">
        <v>2003</v>
      </c>
      <c r="J904" s="6">
        <v>3103</v>
      </c>
      <c r="K904" s="6">
        <v>3103</v>
      </c>
      <c r="L904" s="21">
        <v>1</v>
      </c>
      <c r="M904" s="1">
        <v>0</v>
      </c>
      <c r="N904" s="1" t="s">
        <v>1821</v>
      </c>
      <c r="O904" s="1" t="s">
        <v>18</v>
      </c>
      <c r="P904" s="1">
        <v>0.53400000000000003</v>
      </c>
      <c r="Q904" s="22">
        <v>44279</v>
      </c>
      <c r="R904" s="8"/>
      <c r="S904" s="9"/>
      <c r="T904" s="8"/>
      <c r="U904" s="9"/>
      <c r="V904" s="8"/>
      <c r="W904" s="8"/>
      <c r="X904" s="8"/>
    </row>
    <row r="905" spans="1:24" x14ac:dyDescent="0.3">
      <c r="A905" s="1" t="s">
        <v>2462</v>
      </c>
      <c r="B905" s="1" t="s">
        <v>1180</v>
      </c>
      <c r="C905" s="1" t="s">
        <v>82</v>
      </c>
      <c r="D905" s="1" t="s">
        <v>110</v>
      </c>
      <c r="F905" s="1">
        <v>1981</v>
      </c>
      <c r="J905" s="6">
        <v>1180</v>
      </c>
      <c r="K905" s="6">
        <v>763</v>
      </c>
      <c r="L905" s="21">
        <v>0.64661016949152539</v>
      </c>
      <c r="M905" s="1">
        <v>0</v>
      </c>
      <c r="N905" s="1" t="s">
        <v>1821</v>
      </c>
      <c r="O905" s="1" t="s">
        <v>18</v>
      </c>
      <c r="P905" s="1">
        <v>0.60599999999999998</v>
      </c>
      <c r="Q905" s="22">
        <v>44554</v>
      </c>
      <c r="R905" s="8"/>
      <c r="S905" s="9"/>
      <c r="T905" s="8"/>
      <c r="U905" s="9"/>
      <c r="V905" s="8"/>
      <c r="W905" s="8"/>
      <c r="X905" s="8"/>
    </row>
    <row r="906" spans="1:24" x14ac:dyDescent="0.3">
      <c r="A906" s="1" t="s">
        <v>2463</v>
      </c>
      <c r="B906" s="1" t="s">
        <v>1181</v>
      </c>
      <c r="C906" s="1" t="s">
        <v>82</v>
      </c>
      <c r="D906" s="1" t="s">
        <v>110</v>
      </c>
      <c r="F906" s="1">
        <v>1981</v>
      </c>
      <c r="J906" s="6">
        <v>5047</v>
      </c>
      <c r="K906" s="6">
        <v>3471</v>
      </c>
      <c r="L906" s="21">
        <v>0.68773528829007335</v>
      </c>
      <c r="M906" s="1">
        <v>0</v>
      </c>
      <c r="N906" s="1" t="s">
        <v>1821</v>
      </c>
      <c r="O906" s="1" t="s">
        <v>18</v>
      </c>
      <c r="P906" s="1">
        <v>0.60599999999999998</v>
      </c>
      <c r="Q906" s="22">
        <v>44554</v>
      </c>
      <c r="R906" s="8"/>
      <c r="S906" s="9"/>
      <c r="T906" s="8"/>
      <c r="U906" s="9"/>
      <c r="V906" s="8"/>
      <c r="W906" s="8"/>
      <c r="X906" s="8"/>
    </row>
    <row r="907" spans="1:24" x14ac:dyDescent="0.3">
      <c r="A907" s="1" t="s">
        <v>2464</v>
      </c>
      <c r="B907" s="1" t="s">
        <v>1182</v>
      </c>
      <c r="C907" s="1" t="s">
        <v>82</v>
      </c>
      <c r="D907" s="1" t="s">
        <v>110</v>
      </c>
      <c r="F907" s="1">
        <v>1981</v>
      </c>
      <c r="J907" s="6">
        <v>6492</v>
      </c>
      <c r="K907" s="6">
        <v>3694</v>
      </c>
      <c r="L907" s="21">
        <v>0.56900800985828714</v>
      </c>
      <c r="M907" s="1">
        <v>0</v>
      </c>
      <c r="N907" s="1" t="s">
        <v>1821</v>
      </c>
      <c r="O907" s="1" t="s">
        <v>18</v>
      </c>
      <c r="P907" s="1">
        <v>0.60599999999999998</v>
      </c>
      <c r="Q907" s="22">
        <v>44554</v>
      </c>
      <c r="R907" s="8"/>
      <c r="S907" s="9"/>
      <c r="T907" s="8"/>
      <c r="U907" s="9"/>
      <c r="V907" s="8"/>
      <c r="W907" s="8"/>
      <c r="X907" s="8"/>
    </row>
    <row r="908" spans="1:24" x14ac:dyDescent="0.3">
      <c r="A908" s="1" t="s">
        <v>2465</v>
      </c>
      <c r="B908" s="1" t="s">
        <v>1183</v>
      </c>
      <c r="C908" s="1" t="s">
        <v>82</v>
      </c>
      <c r="D908" s="1" t="s">
        <v>110</v>
      </c>
      <c r="F908" s="1">
        <v>1981</v>
      </c>
      <c r="J908" s="6">
        <v>4553</v>
      </c>
      <c r="K908" s="6">
        <v>2978</v>
      </c>
      <c r="L908" s="21">
        <v>0.65407423676696685</v>
      </c>
      <c r="M908" s="1">
        <v>0</v>
      </c>
      <c r="N908" s="1" t="s">
        <v>1821</v>
      </c>
      <c r="O908" s="1" t="s">
        <v>18</v>
      </c>
      <c r="P908" s="1">
        <v>0.60599999999999998</v>
      </c>
      <c r="Q908" s="22">
        <v>44554</v>
      </c>
      <c r="R908" s="8"/>
      <c r="S908" s="9"/>
      <c r="T908" s="8"/>
      <c r="U908" s="9"/>
      <c r="V908" s="8"/>
      <c r="W908" s="8"/>
      <c r="X908" s="8"/>
    </row>
    <row r="909" spans="1:24" x14ac:dyDescent="0.3">
      <c r="A909" s="1" t="s">
        <v>2466</v>
      </c>
      <c r="B909" s="1" t="s">
        <v>1184</v>
      </c>
      <c r="C909" s="1" t="s">
        <v>82</v>
      </c>
      <c r="D909" s="1" t="s">
        <v>110</v>
      </c>
      <c r="F909" s="1">
        <v>1996</v>
      </c>
      <c r="J909" s="6">
        <v>2347</v>
      </c>
      <c r="K909" s="6">
        <v>1553</v>
      </c>
      <c r="L909" s="21">
        <v>0.66169578184916911</v>
      </c>
      <c r="M909" s="1">
        <v>0</v>
      </c>
      <c r="N909" s="1" t="s">
        <v>1821</v>
      </c>
      <c r="O909" s="1" t="s">
        <v>18</v>
      </c>
      <c r="P909" s="1">
        <v>0.60599999999999998</v>
      </c>
      <c r="Q909" s="22">
        <v>44554</v>
      </c>
      <c r="R909" s="8"/>
      <c r="S909" s="9"/>
      <c r="T909" s="8"/>
      <c r="U909" s="9"/>
      <c r="V909" s="8"/>
      <c r="W909" s="8"/>
      <c r="X909" s="8"/>
    </row>
    <row r="910" spans="1:24" x14ac:dyDescent="0.3">
      <c r="A910" s="1" t="s">
        <v>2467</v>
      </c>
      <c r="B910" s="1" t="s">
        <v>1173</v>
      </c>
      <c r="C910" s="1" t="s">
        <v>82</v>
      </c>
      <c r="D910" s="1" t="s">
        <v>110</v>
      </c>
      <c r="F910" s="1">
        <v>1981</v>
      </c>
      <c r="G910" s="1" t="s">
        <v>19</v>
      </c>
      <c r="H910" s="1">
        <v>2013</v>
      </c>
      <c r="I910" s="1" t="s">
        <v>1601</v>
      </c>
      <c r="J910" s="6">
        <v>4307</v>
      </c>
      <c r="K910" s="6">
        <v>2593</v>
      </c>
      <c r="L910" s="21">
        <v>0.60204318551195724</v>
      </c>
      <c r="M910" s="1">
        <v>0</v>
      </c>
      <c r="N910" s="1" t="s">
        <v>1821</v>
      </c>
      <c r="O910" s="1" t="s">
        <v>18</v>
      </c>
      <c r="P910" s="1">
        <v>0.60599999999999998</v>
      </c>
      <c r="Q910" s="22">
        <v>44554</v>
      </c>
      <c r="R910" s="8"/>
      <c r="S910" s="9"/>
      <c r="T910" s="8"/>
      <c r="U910" s="9"/>
      <c r="V910" s="8"/>
      <c r="W910" s="8"/>
      <c r="X910" s="8"/>
    </row>
    <row r="911" spans="1:24" x14ac:dyDescent="0.3">
      <c r="A911" s="1" t="s">
        <v>2468</v>
      </c>
      <c r="B911" s="1" t="s">
        <v>1174</v>
      </c>
      <c r="C911" s="1" t="s">
        <v>82</v>
      </c>
      <c r="D911" s="1" t="s">
        <v>110</v>
      </c>
      <c r="F911" s="1">
        <v>1981</v>
      </c>
      <c r="G911" s="1" t="s">
        <v>19</v>
      </c>
      <c r="H911" s="1">
        <v>2021</v>
      </c>
      <c r="I911" s="1" t="s">
        <v>1599</v>
      </c>
      <c r="J911" s="6">
        <v>4289</v>
      </c>
      <c r="K911" s="6">
        <v>3200</v>
      </c>
      <c r="L911" s="21">
        <v>0.74609466076008391</v>
      </c>
      <c r="M911" s="1">
        <v>0</v>
      </c>
      <c r="N911" s="1" t="s">
        <v>1821</v>
      </c>
      <c r="O911" s="1" t="s">
        <v>18</v>
      </c>
      <c r="P911" s="1">
        <v>0.60599999999999998</v>
      </c>
      <c r="Q911" s="22">
        <v>44554</v>
      </c>
      <c r="R911" s="8"/>
      <c r="S911" s="9"/>
      <c r="T911" s="8"/>
      <c r="U911" s="9"/>
      <c r="V911" s="8"/>
      <c r="W911" s="8"/>
      <c r="X911" s="8"/>
    </row>
    <row r="912" spans="1:24" x14ac:dyDescent="0.3">
      <c r="A912" s="1" t="s">
        <v>2470</v>
      </c>
      <c r="B912" s="1" t="s">
        <v>1175</v>
      </c>
      <c r="C912" s="1" t="s">
        <v>82</v>
      </c>
      <c r="D912" s="1" t="s">
        <v>110</v>
      </c>
      <c r="F912" s="1">
        <v>1981</v>
      </c>
      <c r="G912" s="1" t="s">
        <v>25</v>
      </c>
      <c r="H912" s="1">
        <v>2021</v>
      </c>
      <c r="I912" s="1" t="s">
        <v>1599</v>
      </c>
      <c r="J912" s="6">
        <v>5084</v>
      </c>
      <c r="K912" s="6">
        <v>3494</v>
      </c>
      <c r="L912" s="21">
        <v>0.68725413060582219</v>
      </c>
      <c r="M912" s="1">
        <v>0</v>
      </c>
      <c r="N912" s="1" t="s">
        <v>1821</v>
      </c>
      <c r="O912" s="1" t="s">
        <v>18</v>
      </c>
      <c r="P912" s="1">
        <v>0.60599999999999998</v>
      </c>
      <c r="Q912" s="22">
        <v>44554</v>
      </c>
      <c r="R912" s="8"/>
      <c r="S912" s="9"/>
      <c r="T912" s="8"/>
      <c r="U912" s="9"/>
      <c r="V912" s="8"/>
      <c r="W912" s="8"/>
      <c r="X912" s="8"/>
    </row>
    <row r="913" spans="1:24" x14ac:dyDescent="0.3">
      <c r="A913" s="1" t="s">
        <v>2471</v>
      </c>
      <c r="B913" s="1" t="s">
        <v>1176</v>
      </c>
      <c r="C913" s="1" t="s">
        <v>82</v>
      </c>
      <c r="D913" s="1" t="s">
        <v>110</v>
      </c>
      <c r="F913" s="1">
        <v>1995</v>
      </c>
      <c r="G913" s="1" t="s">
        <v>19</v>
      </c>
      <c r="H913" s="1">
        <v>2015</v>
      </c>
      <c r="I913" s="1" t="s">
        <v>1601</v>
      </c>
      <c r="J913" s="6">
        <v>16437</v>
      </c>
      <c r="K913" s="6">
        <v>11592</v>
      </c>
      <c r="L913" s="21">
        <v>0.70523818215002743</v>
      </c>
      <c r="M913" s="1">
        <v>0</v>
      </c>
      <c r="N913" s="1" t="s">
        <v>1821</v>
      </c>
      <c r="O913" s="1" t="s">
        <v>18</v>
      </c>
      <c r="P913" s="1">
        <v>0.60599999999999998</v>
      </c>
      <c r="Q913" s="22">
        <v>44554</v>
      </c>
      <c r="R913" s="8"/>
      <c r="S913" s="9"/>
      <c r="T913" s="8"/>
      <c r="U913" s="9"/>
      <c r="V913" s="8"/>
      <c r="W913" s="8"/>
      <c r="X913" s="8"/>
    </row>
    <row r="914" spans="1:24" x14ac:dyDescent="0.3">
      <c r="A914" s="1" t="s">
        <v>2472</v>
      </c>
      <c r="B914" s="1" t="s">
        <v>1177</v>
      </c>
      <c r="C914" s="1" t="s">
        <v>82</v>
      </c>
      <c r="D914" s="1" t="s">
        <v>110</v>
      </c>
      <c r="F914" s="1">
        <v>2011</v>
      </c>
      <c r="G914" s="1" t="s">
        <v>25</v>
      </c>
      <c r="H914" s="1">
        <v>2021</v>
      </c>
      <c r="I914" s="1" t="s">
        <v>1599</v>
      </c>
      <c r="J914" s="6">
        <v>40764</v>
      </c>
      <c r="K914" s="6">
        <v>23758</v>
      </c>
      <c r="L914" s="21">
        <v>0.58281817289765481</v>
      </c>
      <c r="M914" s="1">
        <v>0</v>
      </c>
      <c r="N914" s="1" t="s">
        <v>1821</v>
      </c>
      <c r="O914" s="1" t="s">
        <v>18</v>
      </c>
      <c r="P914" s="1">
        <v>0.60599999999999998</v>
      </c>
      <c r="Q914" s="22">
        <v>44554</v>
      </c>
      <c r="R914" s="8"/>
      <c r="S914" s="9"/>
      <c r="T914" s="8"/>
      <c r="U914" s="9"/>
      <c r="V914" s="8"/>
      <c r="W914" s="8"/>
      <c r="X914" s="8"/>
    </row>
    <row r="915" spans="1:24" x14ac:dyDescent="0.3">
      <c r="A915" s="1" t="s">
        <v>2473</v>
      </c>
      <c r="B915" s="1" t="s">
        <v>1178</v>
      </c>
      <c r="C915" s="1" t="s">
        <v>82</v>
      </c>
      <c r="D915" s="1" t="s">
        <v>110</v>
      </c>
      <c r="F915" s="1">
        <v>1997</v>
      </c>
      <c r="G915" s="1" t="s">
        <v>19</v>
      </c>
      <c r="H915" s="1">
        <v>2021</v>
      </c>
      <c r="I915" s="1" t="s">
        <v>1599</v>
      </c>
      <c r="J915" s="6">
        <v>5910</v>
      </c>
      <c r="K915" s="6">
        <v>3633</v>
      </c>
      <c r="L915" s="21">
        <v>0.61472081218274111</v>
      </c>
      <c r="M915" s="1">
        <v>0</v>
      </c>
      <c r="N915" s="1" t="s">
        <v>1821</v>
      </c>
      <c r="O915" s="1" t="s">
        <v>18</v>
      </c>
      <c r="P915" s="1">
        <v>0.60599999999999998</v>
      </c>
      <c r="Q915" s="22">
        <v>44554</v>
      </c>
      <c r="R915" s="8"/>
      <c r="S915" s="9"/>
      <c r="T915" s="8"/>
      <c r="U915" s="9"/>
      <c r="V915" s="8"/>
      <c r="W915" s="8"/>
      <c r="X915" s="8"/>
    </row>
    <row r="916" spans="1:24" x14ac:dyDescent="0.3">
      <c r="A916" s="1" t="s">
        <v>2474</v>
      </c>
      <c r="B916" s="1" t="s">
        <v>1179</v>
      </c>
      <c r="C916" s="1" t="s">
        <v>82</v>
      </c>
      <c r="D916" s="1" t="s">
        <v>110</v>
      </c>
      <c r="F916" s="1">
        <v>2008</v>
      </c>
      <c r="G916" s="1" t="s">
        <v>19</v>
      </c>
      <c r="H916" s="1">
        <v>2021</v>
      </c>
      <c r="I916" s="1" t="s">
        <v>1599</v>
      </c>
      <c r="J916" s="6">
        <v>7373</v>
      </c>
      <c r="K916" s="6">
        <v>3708</v>
      </c>
      <c r="L916" s="21">
        <v>0.50291604502916043</v>
      </c>
      <c r="M916" s="1">
        <v>0</v>
      </c>
      <c r="N916" s="1" t="s">
        <v>1821</v>
      </c>
      <c r="O916" s="1" t="s">
        <v>18</v>
      </c>
      <c r="P916" s="1">
        <v>0.60599999999999998</v>
      </c>
      <c r="Q916" s="22">
        <v>44554</v>
      </c>
      <c r="R916" s="8"/>
      <c r="S916" s="9"/>
      <c r="T916" s="8"/>
      <c r="U916" s="9"/>
      <c r="V916" s="8"/>
      <c r="W916" s="8"/>
      <c r="X916" s="8"/>
    </row>
    <row r="917" spans="1:24" x14ac:dyDescent="0.3">
      <c r="A917" s="1" t="s">
        <v>2475</v>
      </c>
      <c r="B917" s="1" t="s">
        <v>1226</v>
      </c>
      <c r="C917" s="1" t="s">
        <v>82</v>
      </c>
      <c r="D917" s="1" t="s">
        <v>110</v>
      </c>
      <c r="F917" s="1">
        <v>1998</v>
      </c>
      <c r="J917" s="6">
        <v>10454</v>
      </c>
      <c r="K917" s="6">
        <v>6597</v>
      </c>
      <c r="L917" s="21">
        <v>0.63105031566864356</v>
      </c>
      <c r="M917" s="1">
        <v>0</v>
      </c>
      <c r="N917" s="1" t="s">
        <v>1821</v>
      </c>
      <c r="O917" s="1" t="s">
        <v>18</v>
      </c>
      <c r="P917" s="1">
        <v>0.60599999999999998</v>
      </c>
      <c r="Q917" s="22">
        <v>44554</v>
      </c>
      <c r="R917" s="8"/>
      <c r="S917" s="9"/>
      <c r="T917" s="8"/>
      <c r="U917" s="9"/>
      <c r="V917" s="8"/>
      <c r="W917" s="8"/>
      <c r="X917" s="8"/>
    </row>
    <row r="918" spans="1:24" x14ac:dyDescent="0.3">
      <c r="A918" s="1" t="s">
        <v>2476</v>
      </c>
      <c r="B918" s="1" t="s">
        <v>1225</v>
      </c>
      <c r="C918" s="1" t="s">
        <v>82</v>
      </c>
      <c r="D918" s="1" t="s">
        <v>110</v>
      </c>
      <c r="F918" s="1">
        <v>2021</v>
      </c>
      <c r="G918" s="1" t="s">
        <v>19</v>
      </c>
      <c r="H918" s="1">
        <v>2022</v>
      </c>
      <c r="I918" s="1" t="s">
        <v>1783</v>
      </c>
      <c r="J918" s="6">
        <v>5717</v>
      </c>
      <c r="K918" s="6">
        <v>4758</v>
      </c>
      <c r="L918" s="21">
        <v>0.83225467902746197</v>
      </c>
      <c r="M918" s="1">
        <v>0</v>
      </c>
      <c r="N918" s="1" t="s">
        <v>1821</v>
      </c>
      <c r="O918" s="1" t="s">
        <v>18</v>
      </c>
      <c r="P918" s="1">
        <v>0.53400000000000003</v>
      </c>
      <c r="Q918" s="22">
        <v>44279</v>
      </c>
      <c r="R918" s="8"/>
      <c r="S918" s="9"/>
      <c r="T918" s="8"/>
      <c r="U918" s="9"/>
      <c r="V918" s="8"/>
      <c r="W918" s="8"/>
      <c r="X918" s="8"/>
    </row>
    <row r="919" spans="1:24" x14ac:dyDescent="0.3">
      <c r="A919" s="1" t="s">
        <v>2477</v>
      </c>
      <c r="B919" s="1" t="s">
        <v>1224</v>
      </c>
      <c r="C919" s="1" t="s">
        <v>82</v>
      </c>
      <c r="D919" s="1" t="s">
        <v>110</v>
      </c>
      <c r="F919" s="1">
        <v>1976</v>
      </c>
      <c r="J919" s="6">
        <v>5617</v>
      </c>
      <c r="K919" s="6">
        <v>3546</v>
      </c>
      <c r="L919" s="21">
        <v>0.63129784582517356</v>
      </c>
      <c r="M919" s="1">
        <v>0</v>
      </c>
      <c r="N919" s="1" t="s">
        <v>1821</v>
      </c>
      <c r="O919" s="1" t="s">
        <v>18</v>
      </c>
      <c r="P919" s="1">
        <v>0.53400000000000003</v>
      </c>
      <c r="Q919" s="22">
        <v>44279</v>
      </c>
      <c r="R919" s="8"/>
      <c r="S919" s="9"/>
      <c r="T919" s="8"/>
      <c r="U919" s="9"/>
      <c r="V919" s="8"/>
      <c r="W919" s="8"/>
      <c r="X919" s="8"/>
    </row>
    <row r="920" spans="1:24" x14ac:dyDescent="0.3">
      <c r="A920" s="1" t="s">
        <v>2478</v>
      </c>
      <c r="B920" s="1" t="s">
        <v>1213</v>
      </c>
      <c r="C920" s="1" t="s">
        <v>82</v>
      </c>
      <c r="D920" s="1" t="s">
        <v>110</v>
      </c>
      <c r="F920" s="1">
        <v>1999</v>
      </c>
      <c r="J920" s="6">
        <v>12130</v>
      </c>
      <c r="K920" s="6">
        <v>9035</v>
      </c>
      <c r="L920" s="21">
        <v>0.74484748557295966</v>
      </c>
      <c r="M920" s="1">
        <v>0</v>
      </c>
      <c r="N920" s="1" t="s">
        <v>1821</v>
      </c>
      <c r="O920" s="1" t="s">
        <v>18</v>
      </c>
      <c r="P920" s="1">
        <v>0.53400000000000003</v>
      </c>
      <c r="Q920" s="22">
        <v>44279</v>
      </c>
      <c r="R920" s="8"/>
      <c r="S920" s="9"/>
      <c r="T920" s="8"/>
      <c r="U920" s="9"/>
      <c r="V920" s="8"/>
      <c r="W920" s="8"/>
      <c r="X920" s="8"/>
    </row>
    <row r="921" spans="1:24" x14ac:dyDescent="0.3">
      <c r="A921" s="1" t="s">
        <v>2479</v>
      </c>
      <c r="B921" s="1" t="s">
        <v>1214</v>
      </c>
      <c r="C921" s="1" t="s">
        <v>82</v>
      </c>
      <c r="D921" s="1" t="s">
        <v>110</v>
      </c>
      <c r="F921" s="1">
        <v>1999</v>
      </c>
      <c r="G921" s="1" t="s">
        <v>19</v>
      </c>
      <c r="H921" s="1">
        <v>2022</v>
      </c>
      <c r="I921" s="1" t="s">
        <v>1783</v>
      </c>
      <c r="J921" s="6">
        <v>19178</v>
      </c>
      <c r="K921" s="6">
        <v>11559</v>
      </c>
      <c r="L921" s="21">
        <v>0.60272186880800915</v>
      </c>
      <c r="M921" s="1">
        <v>0</v>
      </c>
      <c r="N921" s="1" t="s">
        <v>1821</v>
      </c>
      <c r="O921" s="1" t="s">
        <v>18</v>
      </c>
      <c r="P921" s="1">
        <v>0.53400000000000003</v>
      </c>
      <c r="Q921" s="22">
        <v>44279</v>
      </c>
      <c r="R921" s="8"/>
      <c r="S921" s="9"/>
      <c r="T921" s="8"/>
      <c r="U921" s="9"/>
      <c r="V921" s="8"/>
      <c r="W921" s="8"/>
      <c r="X921" s="8"/>
    </row>
    <row r="922" spans="1:24" x14ac:dyDescent="0.3">
      <c r="A922" s="1" t="s">
        <v>2480</v>
      </c>
      <c r="B922" s="1" t="s">
        <v>1215</v>
      </c>
      <c r="C922" s="1" t="s">
        <v>82</v>
      </c>
      <c r="D922" s="1" t="s">
        <v>110</v>
      </c>
      <c r="F922" s="1">
        <v>1999</v>
      </c>
      <c r="G922" s="1" t="s">
        <v>21</v>
      </c>
      <c r="H922" s="1">
        <v>2020</v>
      </c>
      <c r="I922" s="1" t="s">
        <v>1611</v>
      </c>
      <c r="J922" s="6">
        <v>7584</v>
      </c>
      <c r="K922" s="6">
        <v>5115</v>
      </c>
      <c r="L922" s="21">
        <v>0.67444620253164556</v>
      </c>
      <c r="M922" s="1">
        <v>0</v>
      </c>
      <c r="N922" s="1" t="s">
        <v>1821</v>
      </c>
      <c r="O922" s="1" t="s">
        <v>18</v>
      </c>
      <c r="P922" s="1">
        <v>0.53400000000000003</v>
      </c>
      <c r="Q922" s="22">
        <v>44279</v>
      </c>
      <c r="R922" s="8"/>
      <c r="S922" s="9"/>
      <c r="T922" s="8"/>
      <c r="U922" s="9"/>
      <c r="V922" s="8"/>
      <c r="W922" s="8"/>
      <c r="X922" s="8"/>
    </row>
    <row r="923" spans="1:24" x14ac:dyDescent="0.3">
      <c r="A923" s="1" t="s">
        <v>2481</v>
      </c>
      <c r="B923" s="1" t="s">
        <v>1216</v>
      </c>
      <c r="C923" s="1" t="s">
        <v>82</v>
      </c>
      <c r="D923" s="1" t="s">
        <v>110</v>
      </c>
      <c r="F923" s="1">
        <v>1976</v>
      </c>
      <c r="J923" s="6">
        <v>8948</v>
      </c>
      <c r="K923" s="6">
        <v>4815</v>
      </c>
      <c r="L923" s="21">
        <v>0.53810907465355384</v>
      </c>
      <c r="M923" s="1">
        <v>0</v>
      </c>
      <c r="N923" s="1" t="s">
        <v>28</v>
      </c>
      <c r="O923" s="1" t="s">
        <v>18</v>
      </c>
      <c r="P923" s="1" t="s">
        <v>18</v>
      </c>
      <c r="Q923" s="22" t="s">
        <v>18</v>
      </c>
      <c r="R923" s="8"/>
      <c r="S923" s="9" t="s">
        <v>18</v>
      </c>
      <c r="T923" s="8"/>
      <c r="U923" s="9" t="s">
        <v>18</v>
      </c>
      <c r="V923" s="8"/>
      <c r="W923" s="8" t="s">
        <v>18</v>
      </c>
      <c r="X923" s="8"/>
    </row>
    <row r="924" spans="1:24" x14ac:dyDescent="0.3">
      <c r="A924" s="1" t="s">
        <v>2482</v>
      </c>
      <c r="B924" s="1" t="s">
        <v>1217</v>
      </c>
      <c r="C924" s="1" t="s">
        <v>82</v>
      </c>
      <c r="D924" s="1" t="s">
        <v>110</v>
      </c>
      <c r="F924" s="1">
        <v>1976</v>
      </c>
      <c r="J924" s="6">
        <v>12453</v>
      </c>
      <c r="K924" s="6">
        <v>11560</v>
      </c>
      <c r="L924" s="21">
        <v>0.92829037179796037</v>
      </c>
      <c r="M924" s="1">
        <v>0</v>
      </c>
      <c r="N924" s="1" t="s">
        <v>1821</v>
      </c>
      <c r="O924" s="1" t="s">
        <v>18</v>
      </c>
      <c r="P924" s="1">
        <v>0.53400000000000003</v>
      </c>
      <c r="Q924" s="22">
        <v>44279</v>
      </c>
      <c r="R924" s="8"/>
      <c r="S924" s="9"/>
      <c r="T924" s="8"/>
      <c r="U924" s="9"/>
      <c r="V924" s="8"/>
      <c r="W924" s="8"/>
      <c r="X924" s="8"/>
    </row>
    <row r="925" spans="1:24" x14ac:dyDescent="0.3">
      <c r="A925" s="1" t="s">
        <v>2483</v>
      </c>
      <c r="B925" s="1" t="s">
        <v>1218</v>
      </c>
      <c r="C925" s="1" t="s">
        <v>82</v>
      </c>
      <c r="D925" s="1" t="s">
        <v>110</v>
      </c>
      <c r="F925" s="1">
        <v>1976</v>
      </c>
      <c r="J925" s="6">
        <v>8663</v>
      </c>
      <c r="K925" s="6">
        <v>5119</v>
      </c>
      <c r="L925" s="21">
        <v>0.59090384393397211</v>
      </c>
      <c r="M925" s="1">
        <v>0</v>
      </c>
      <c r="N925" s="1" t="s">
        <v>1821</v>
      </c>
      <c r="O925" s="1" t="s">
        <v>18</v>
      </c>
      <c r="P925" s="1">
        <v>0.53400000000000003</v>
      </c>
      <c r="Q925" s="22">
        <v>44279</v>
      </c>
      <c r="R925" s="8"/>
      <c r="S925" s="9"/>
      <c r="T925" s="8"/>
      <c r="U925" s="9"/>
      <c r="V925" s="8"/>
      <c r="W925" s="8"/>
      <c r="X925" s="8"/>
    </row>
    <row r="926" spans="1:24" x14ac:dyDescent="0.3">
      <c r="A926" s="1" t="s">
        <v>2484</v>
      </c>
      <c r="B926" s="1" t="s">
        <v>1219</v>
      </c>
      <c r="C926" s="1" t="s">
        <v>82</v>
      </c>
      <c r="D926" s="1" t="s">
        <v>110</v>
      </c>
      <c r="F926" s="1">
        <v>2021</v>
      </c>
      <c r="G926" s="1" t="s">
        <v>19</v>
      </c>
      <c r="H926" s="1">
        <v>2022</v>
      </c>
      <c r="I926" s="1" t="s">
        <v>1783</v>
      </c>
      <c r="J926" s="6">
        <v>15737</v>
      </c>
      <c r="K926" s="6">
        <v>10079</v>
      </c>
      <c r="L926" s="21">
        <v>0.64046514583465719</v>
      </c>
      <c r="M926" s="1">
        <v>0</v>
      </c>
      <c r="N926" s="1" t="s">
        <v>1821</v>
      </c>
      <c r="O926" s="1" t="s">
        <v>18</v>
      </c>
      <c r="P926" s="1">
        <v>0.53400000000000003</v>
      </c>
      <c r="Q926" s="22">
        <v>44279</v>
      </c>
      <c r="R926" s="8"/>
      <c r="S926" s="9"/>
      <c r="T926" s="8"/>
      <c r="U926" s="9"/>
      <c r="V926" s="8"/>
      <c r="W926" s="8"/>
      <c r="X926" s="8"/>
    </row>
    <row r="927" spans="1:24" x14ac:dyDescent="0.3">
      <c r="A927" s="1" t="s">
        <v>2485</v>
      </c>
      <c r="B927" s="1" t="s">
        <v>1220</v>
      </c>
      <c r="C927" s="1" t="s">
        <v>82</v>
      </c>
      <c r="D927" s="1" t="s">
        <v>110</v>
      </c>
      <c r="F927" s="1">
        <v>1976</v>
      </c>
      <c r="J927" s="6">
        <v>9395</v>
      </c>
      <c r="K927" s="6">
        <v>7438</v>
      </c>
      <c r="L927" s="21">
        <v>0.79169771154869617</v>
      </c>
      <c r="M927" s="1">
        <v>0</v>
      </c>
      <c r="N927" s="1" t="s">
        <v>1821</v>
      </c>
      <c r="O927" s="1" t="s">
        <v>18</v>
      </c>
      <c r="P927" s="1">
        <v>0.53400000000000003</v>
      </c>
      <c r="Q927" s="22">
        <v>44279</v>
      </c>
      <c r="R927" s="8"/>
      <c r="S927" s="9"/>
      <c r="T927" s="8"/>
      <c r="U927" s="9"/>
      <c r="V927" s="8"/>
      <c r="W927" s="8"/>
      <c r="X927" s="8"/>
    </row>
    <row r="928" spans="1:24" x14ac:dyDescent="0.3">
      <c r="A928" s="1" t="s">
        <v>2486</v>
      </c>
      <c r="B928" s="1" t="s">
        <v>1221</v>
      </c>
      <c r="C928" s="1" t="s">
        <v>82</v>
      </c>
      <c r="D928" s="1" t="s">
        <v>110</v>
      </c>
      <c r="F928" s="1">
        <v>1998</v>
      </c>
      <c r="J928" s="6">
        <v>8318</v>
      </c>
      <c r="K928" s="6">
        <v>5821</v>
      </c>
      <c r="L928" s="21">
        <v>0.69980764606876655</v>
      </c>
      <c r="M928" s="1">
        <v>0</v>
      </c>
      <c r="N928" s="1" t="s">
        <v>1821</v>
      </c>
      <c r="O928" s="1" t="s">
        <v>18</v>
      </c>
      <c r="P928" s="1">
        <v>0.53400000000000003</v>
      </c>
      <c r="Q928" s="22">
        <v>44279</v>
      </c>
      <c r="R928" s="8"/>
      <c r="S928" s="9"/>
      <c r="T928" s="8"/>
      <c r="U928" s="9"/>
      <c r="V928" s="8"/>
      <c r="W928" s="8"/>
      <c r="X928" s="8"/>
    </row>
    <row r="929" spans="1:24" x14ac:dyDescent="0.3">
      <c r="A929" s="1" t="s">
        <v>2487</v>
      </c>
      <c r="B929" s="1" t="s">
        <v>1222</v>
      </c>
      <c r="C929" s="1" t="s">
        <v>82</v>
      </c>
      <c r="D929" s="1" t="s">
        <v>110</v>
      </c>
      <c r="F929" s="1">
        <v>1976</v>
      </c>
      <c r="G929" s="1" t="s">
        <v>19</v>
      </c>
      <c r="H929" s="1">
        <v>2019</v>
      </c>
      <c r="I929" s="1" t="s">
        <v>1599</v>
      </c>
      <c r="J929" s="6">
        <v>19015</v>
      </c>
      <c r="K929" s="6">
        <v>11218</v>
      </c>
      <c r="L929" s="21">
        <v>0.58995529844859318</v>
      </c>
      <c r="M929" s="1">
        <v>0</v>
      </c>
      <c r="N929" s="1" t="s">
        <v>1821</v>
      </c>
      <c r="O929" s="1" t="s">
        <v>18</v>
      </c>
      <c r="P929" s="1">
        <v>0.53400000000000003</v>
      </c>
      <c r="Q929" s="22">
        <v>44279</v>
      </c>
      <c r="R929" s="8"/>
      <c r="S929" s="9"/>
      <c r="T929" s="8"/>
      <c r="U929" s="9"/>
      <c r="V929" s="8"/>
      <c r="W929" s="8"/>
      <c r="X929" s="8"/>
    </row>
    <row r="930" spans="1:24" x14ac:dyDescent="0.3">
      <c r="A930" s="1" t="s">
        <v>2488</v>
      </c>
      <c r="B930" s="1" t="s">
        <v>1223</v>
      </c>
      <c r="C930" s="1" t="s">
        <v>82</v>
      </c>
      <c r="D930" s="1" t="s">
        <v>110</v>
      </c>
      <c r="F930" s="1">
        <v>1976</v>
      </c>
      <c r="J930" s="6">
        <v>9410</v>
      </c>
      <c r="K930" s="6">
        <v>5755</v>
      </c>
      <c r="L930" s="21">
        <v>0.61158342189160464</v>
      </c>
      <c r="M930" s="1">
        <v>0</v>
      </c>
      <c r="N930" s="1" t="s">
        <v>1821</v>
      </c>
      <c r="O930" s="1" t="s">
        <v>18</v>
      </c>
      <c r="P930" s="1">
        <v>0.53400000000000003</v>
      </c>
      <c r="Q930" s="22">
        <v>44279</v>
      </c>
      <c r="R930" s="8"/>
      <c r="S930" s="9"/>
      <c r="T930" s="8"/>
      <c r="U930" s="9"/>
      <c r="V930" s="8"/>
      <c r="W930" s="8"/>
      <c r="X930" s="8"/>
    </row>
    <row r="931" spans="1:24" x14ac:dyDescent="0.3">
      <c r="A931" s="1" t="s">
        <v>2489</v>
      </c>
      <c r="B931" s="1" t="s">
        <v>1208</v>
      </c>
      <c r="C931" s="1" t="s">
        <v>82</v>
      </c>
      <c r="D931" s="1" t="s">
        <v>110</v>
      </c>
      <c r="F931" s="1">
        <v>2009</v>
      </c>
      <c r="G931" s="1" t="s">
        <v>19</v>
      </c>
      <c r="H931" s="1">
        <v>2018</v>
      </c>
      <c r="I931" s="1" t="s">
        <v>1601</v>
      </c>
      <c r="J931" s="6">
        <v>12289</v>
      </c>
      <c r="K931" s="6">
        <v>9622</v>
      </c>
      <c r="L931" s="21">
        <v>0.78297664578077952</v>
      </c>
      <c r="M931" s="1">
        <v>0</v>
      </c>
      <c r="N931" s="1" t="s">
        <v>1821</v>
      </c>
      <c r="O931" s="1" t="s">
        <v>18</v>
      </c>
      <c r="P931" s="1">
        <v>0.53400000000000003</v>
      </c>
      <c r="Q931" s="22">
        <v>44279</v>
      </c>
      <c r="R931" s="8"/>
      <c r="S931" s="9"/>
      <c r="T931" s="8"/>
      <c r="U931" s="9"/>
      <c r="V931" s="8"/>
      <c r="W931" s="8"/>
      <c r="X931" s="8"/>
    </row>
    <row r="932" spans="1:24" x14ac:dyDescent="0.3">
      <c r="A932" s="1" t="s">
        <v>2490</v>
      </c>
      <c r="B932" s="1" t="s">
        <v>2491</v>
      </c>
      <c r="C932" s="1" t="s">
        <v>82</v>
      </c>
      <c r="D932" s="1" t="s">
        <v>110</v>
      </c>
      <c r="F932" s="1">
        <v>1980</v>
      </c>
      <c r="J932" s="6">
        <v>7971</v>
      </c>
      <c r="K932" s="6">
        <v>3922</v>
      </c>
      <c r="L932" s="21">
        <v>0.49203362187931249</v>
      </c>
      <c r="M932" s="1">
        <v>0</v>
      </c>
      <c r="N932" s="1" t="s">
        <v>1821</v>
      </c>
      <c r="O932" s="1" t="s">
        <v>18</v>
      </c>
      <c r="P932" s="1">
        <v>0.56999999999999995</v>
      </c>
      <c r="Q932" s="22">
        <v>44279</v>
      </c>
      <c r="R932" s="8"/>
      <c r="S932" s="9"/>
      <c r="T932" s="8"/>
      <c r="U932" s="9"/>
      <c r="V932" s="8"/>
      <c r="W932" s="8"/>
      <c r="X932" s="8"/>
    </row>
    <row r="933" spans="1:24" x14ac:dyDescent="0.3">
      <c r="A933" s="1" t="s">
        <v>2492</v>
      </c>
      <c r="B933" s="1" t="s">
        <v>1166</v>
      </c>
      <c r="C933" s="1" t="s">
        <v>82</v>
      </c>
      <c r="D933" s="1" t="s">
        <v>110</v>
      </c>
      <c r="F933" s="1">
        <v>1993</v>
      </c>
      <c r="J933" s="6">
        <v>8164</v>
      </c>
      <c r="K933" s="6">
        <v>5214</v>
      </c>
      <c r="L933" s="21">
        <v>0.63865752082312588</v>
      </c>
      <c r="M933" s="1">
        <v>0</v>
      </c>
      <c r="N933" s="1" t="s">
        <v>1821</v>
      </c>
      <c r="O933" s="1" t="s">
        <v>18</v>
      </c>
      <c r="P933" s="1">
        <v>0.56999999999999995</v>
      </c>
      <c r="Q933" s="22">
        <v>44279</v>
      </c>
      <c r="R933" s="8"/>
      <c r="S933" s="9"/>
      <c r="T933" s="8"/>
      <c r="U933" s="9"/>
      <c r="V933" s="8"/>
      <c r="W933" s="8"/>
      <c r="X933" s="8"/>
    </row>
    <row r="934" spans="1:24" x14ac:dyDescent="0.3">
      <c r="A934" s="1" t="s">
        <v>2493</v>
      </c>
      <c r="B934" s="1" t="s">
        <v>1167</v>
      </c>
      <c r="C934" s="1" t="s">
        <v>82</v>
      </c>
      <c r="D934" s="1" t="s">
        <v>110</v>
      </c>
      <c r="F934" s="1">
        <v>1981</v>
      </c>
      <c r="J934" s="6">
        <v>6413</v>
      </c>
      <c r="K934" s="6">
        <v>2637</v>
      </c>
      <c r="L934" s="21">
        <v>0.41119600810852958</v>
      </c>
      <c r="M934" s="1">
        <v>0</v>
      </c>
      <c r="N934" s="1" t="s">
        <v>1821</v>
      </c>
      <c r="O934" s="1" t="s">
        <v>18</v>
      </c>
      <c r="P934" s="1">
        <v>0.56999999999999995</v>
      </c>
      <c r="Q934" s="22">
        <v>44279</v>
      </c>
      <c r="R934" s="8"/>
      <c r="S934" s="9"/>
      <c r="T934" s="8"/>
      <c r="U934" s="9"/>
      <c r="V934" s="8"/>
      <c r="W934" s="8"/>
      <c r="X934" s="8"/>
    </row>
    <row r="935" spans="1:24" x14ac:dyDescent="0.3">
      <c r="A935" s="1" t="s">
        <v>2494</v>
      </c>
      <c r="B935" s="1" t="s">
        <v>1168</v>
      </c>
      <c r="C935" s="1" t="s">
        <v>82</v>
      </c>
      <c r="D935" s="1" t="s">
        <v>110</v>
      </c>
      <c r="F935" s="1">
        <v>1980</v>
      </c>
      <c r="J935" s="6">
        <v>7530</v>
      </c>
      <c r="K935" s="6">
        <v>4038</v>
      </c>
      <c r="L935" s="21">
        <v>0.53625498007968131</v>
      </c>
      <c r="M935" s="1">
        <v>0</v>
      </c>
      <c r="N935" s="1" t="s">
        <v>1821</v>
      </c>
      <c r="O935" s="1" t="s">
        <v>18</v>
      </c>
      <c r="P935" s="1">
        <v>0.56999999999999995</v>
      </c>
      <c r="Q935" s="22">
        <v>44279</v>
      </c>
      <c r="R935" s="8"/>
      <c r="S935" s="9"/>
      <c r="T935" s="8"/>
      <c r="U935" s="9"/>
      <c r="V935" s="8"/>
      <c r="W935" s="8"/>
      <c r="X935" s="8"/>
    </row>
    <row r="936" spans="1:24" x14ac:dyDescent="0.3">
      <c r="A936" s="1" t="s">
        <v>2495</v>
      </c>
      <c r="B936" s="1" t="s">
        <v>1169</v>
      </c>
      <c r="C936" s="1" t="s">
        <v>82</v>
      </c>
      <c r="D936" s="1" t="s">
        <v>110</v>
      </c>
      <c r="F936" s="1">
        <v>1980</v>
      </c>
      <c r="J936" s="6">
        <v>6770</v>
      </c>
      <c r="K936" s="6">
        <v>3777</v>
      </c>
      <c r="L936" s="21">
        <v>0.55790251107828659</v>
      </c>
      <c r="M936" s="1">
        <v>0</v>
      </c>
      <c r="N936" s="1" t="s">
        <v>1821</v>
      </c>
      <c r="O936" s="1" t="s">
        <v>18</v>
      </c>
      <c r="P936" s="1">
        <v>0.56999999999999995</v>
      </c>
      <c r="Q936" s="22">
        <v>44279</v>
      </c>
      <c r="R936" s="8"/>
      <c r="S936" s="9"/>
      <c r="T936" s="8"/>
      <c r="U936" s="9"/>
      <c r="V936" s="8"/>
      <c r="W936" s="8"/>
      <c r="X936" s="8"/>
    </row>
    <row r="937" spans="1:24" x14ac:dyDescent="0.3">
      <c r="A937" s="1" t="s">
        <v>2496</v>
      </c>
      <c r="B937" s="1" t="s">
        <v>1211</v>
      </c>
      <c r="C937" s="1" t="s">
        <v>82</v>
      </c>
      <c r="D937" s="1" t="s">
        <v>110</v>
      </c>
      <c r="F937" s="1">
        <v>1999</v>
      </c>
      <c r="G937" s="1" t="s">
        <v>19</v>
      </c>
      <c r="H937" s="1">
        <v>2017</v>
      </c>
      <c r="I937" s="1" t="s">
        <v>1601</v>
      </c>
      <c r="J937" s="6">
        <v>16206</v>
      </c>
      <c r="K937" s="6">
        <v>12320</v>
      </c>
      <c r="L937" s="21">
        <v>0.76021226706158218</v>
      </c>
      <c r="M937" s="1">
        <v>0</v>
      </c>
      <c r="N937" s="1" t="s">
        <v>1821</v>
      </c>
      <c r="O937" s="1" t="s">
        <v>18</v>
      </c>
      <c r="P937" s="1">
        <v>0.56999999999999995</v>
      </c>
      <c r="Q937" s="22">
        <v>44279</v>
      </c>
      <c r="R937" s="8"/>
      <c r="S937" s="9"/>
      <c r="T937" s="8"/>
      <c r="U937" s="9"/>
      <c r="V937" s="8"/>
      <c r="W937" s="8"/>
      <c r="X937" s="8"/>
    </row>
    <row r="938" spans="1:24" x14ac:dyDescent="0.3">
      <c r="A938" s="1" t="s">
        <v>2497</v>
      </c>
      <c r="B938" s="1" t="s">
        <v>1206</v>
      </c>
      <c r="C938" s="1" t="s">
        <v>82</v>
      </c>
      <c r="D938" s="1" t="s">
        <v>110</v>
      </c>
      <c r="F938" s="1">
        <v>2010</v>
      </c>
      <c r="J938" s="6">
        <v>11709</v>
      </c>
      <c r="K938" s="6">
        <v>7977</v>
      </c>
      <c r="L938" s="21">
        <v>0.68127081732001027</v>
      </c>
      <c r="M938" s="1">
        <v>0</v>
      </c>
      <c r="N938" s="1" t="s">
        <v>1821</v>
      </c>
      <c r="O938" s="1" t="s">
        <v>18</v>
      </c>
      <c r="P938" s="1">
        <v>0.56999999999999995</v>
      </c>
      <c r="Q938" s="22">
        <v>44279</v>
      </c>
      <c r="R938" s="8"/>
      <c r="S938" s="9"/>
      <c r="T938" s="8"/>
      <c r="U938" s="9"/>
      <c r="V938" s="8"/>
      <c r="W938" s="8"/>
      <c r="X938" s="8"/>
    </row>
    <row r="939" spans="1:24" x14ac:dyDescent="0.3">
      <c r="A939" s="1" t="s">
        <v>2498</v>
      </c>
      <c r="B939" s="1" t="s">
        <v>1205</v>
      </c>
      <c r="C939" s="1" t="s">
        <v>82</v>
      </c>
      <c r="D939" s="1" t="s">
        <v>110</v>
      </c>
      <c r="F939" s="1">
        <v>2016</v>
      </c>
      <c r="G939" s="1" t="s">
        <v>19</v>
      </c>
      <c r="H939" s="1">
        <v>2014</v>
      </c>
      <c r="I939" s="1" t="s">
        <v>1598</v>
      </c>
      <c r="J939" s="6">
        <v>10475</v>
      </c>
      <c r="K939" s="6">
        <v>4827</v>
      </c>
      <c r="L939" s="21">
        <v>0.46081145584725536</v>
      </c>
      <c r="M939" s="1">
        <v>0</v>
      </c>
      <c r="N939" s="1" t="s">
        <v>1821</v>
      </c>
      <c r="O939" s="1" t="s">
        <v>18</v>
      </c>
      <c r="P939" s="1">
        <v>0.56999999999999995</v>
      </c>
      <c r="Q939" s="22">
        <v>44279</v>
      </c>
      <c r="R939" s="8"/>
      <c r="S939" s="9"/>
      <c r="T939" s="8"/>
      <c r="U939" s="9"/>
      <c r="V939" s="8"/>
      <c r="W939" s="8"/>
      <c r="X939" s="8"/>
    </row>
    <row r="940" spans="1:24" x14ac:dyDescent="0.3">
      <c r="A940" s="1" t="s">
        <v>2499</v>
      </c>
      <c r="B940" s="1" t="s">
        <v>1170</v>
      </c>
      <c r="C940" s="1" t="s">
        <v>82</v>
      </c>
      <c r="D940" s="1" t="s">
        <v>110</v>
      </c>
      <c r="F940" s="1">
        <v>2013</v>
      </c>
      <c r="G940" s="1" t="s">
        <v>19</v>
      </c>
      <c r="H940" s="1">
        <v>2013</v>
      </c>
      <c r="I940" s="1" t="s">
        <v>1600</v>
      </c>
      <c r="J940" s="6">
        <v>5256</v>
      </c>
      <c r="K940" s="6">
        <v>27982801</v>
      </c>
      <c r="L940" s="21">
        <v>5323.9727929984783</v>
      </c>
      <c r="M940" s="1">
        <v>0</v>
      </c>
      <c r="N940" s="1" t="s">
        <v>1821</v>
      </c>
      <c r="O940" s="1" t="s">
        <v>18</v>
      </c>
      <c r="P940" s="1">
        <v>0.56999999999999995</v>
      </c>
      <c r="Q940" s="22">
        <v>44279</v>
      </c>
      <c r="R940" s="8"/>
      <c r="S940" s="9"/>
      <c r="T940" s="8"/>
      <c r="U940" s="9"/>
      <c r="V940" s="8"/>
      <c r="W940" s="8"/>
      <c r="X940" s="8"/>
    </row>
    <row r="941" spans="1:24" x14ac:dyDescent="0.3">
      <c r="A941" s="1" t="s">
        <v>2500</v>
      </c>
      <c r="B941" s="1" t="s">
        <v>1207</v>
      </c>
      <c r="C941" s="1" t="s">
        <v>82</v>
      </c>
      <c r="D941" s="1" t="s">
        <v>110</v>
      </c>
      <c r="F941" s="1">
        <v>2009</v>
      </c>
      <c r="G941" s="1" t="s">
        <v>25</v>
      </c>
      <c r="H941" s="1">
        <v>2015</v>
      </c>
      <c r="I941" s="1" t="s">
        <v>1601</v>
      </c>
      <c r="J941" s="6">
        <v>16626</v>
      </c>
      <c r="K941" s="6">
        <v>13545</v>
      </c>
      <c r="L941" s="21">
        <v>0.81468783832551428</v>
      </c>
      <c r="M941" s="1">
        <v>0</v>
      </c>
      <c r="N941" s="1" t="s">
        <v>1821</v>
      </c>
      <c r="O941" s="1" t="s">
        <v>18</v>
      </c>
      <c r="P941" s="1">
        <v>0.93500000000000005</v>
      </c>
      <c r="Q941" s="22">
        <v>43571</v>
      </c>
      <c r="R941" s="8"/>
      <c r="S941" s="9"/>
      <c r="T941" s="8"/>
      <c r="U941" s="9"/>
      <c r="V941" s="8"/>
      <c r="W941" s="8"/>
      <c r="X941" s="8"/>
    </row>
    <row r="942" spans="1:24" x14ac:dyDescent="0.3">
      <c r="A942" s="1" t="s">
        <v>2501</v>
      </c>
      <c r="B942" s="1" t="s">
        <v>1201</v>
      </c>
      <c r="C942" s="1" t="s">
        <v>82</v>
      </c>
      <c r="D942" s="1" t="s">
        <v>110</v>
      </c>
      <c r="F942" s="1">
        <v>1984</v>
      </c>
      <c r="J942" s="6">
        <v>14464</v>
      </c>
      <c r="K942" s="6">
        <v>11559</v>
      </c>
      <c r="L942" s="21">
        <v>0.79915652654867253</v>
      </c>
      <c r="M942" s="1">
        <v>0</v>
      </c>
      <c r="N942" s="1" t="s">
        <v>1589</v>
      </c>
      <c r="O942" s="1">
        <v>25</v>
      </c>
      <c r="P942" s="1" t="s">
        <v>18</v>
      </c>
      <c r="Q942" s="22" t="s">
        <v>18</v>
      </c>
      <c r="R942" s="8"/>
      <c r="S942" s="9" t="s">
        <v>18</v>
      </c>
      <c r="T942" s="8"/>
      <c r="U942" s="9" t="s">
        <v>18</v>
      </c>
      <c r="V942" s="8"/>
      <c r="W942" s="8" t="s">
        <v>18</v>
      </c>
      <c r="X942" s="8"/>
    </row>
    <row r="943" spans="1:24" x14ac:dyDescent="0.3">
      <c r="A943" s="1" t="s">
        <v>1199</v>
      </c>
      <c r="B943" s="1" t="s">
        <v>1200</v>
      </c>
      <c r="C943" s="1" t="s">
        <v>82</v>
      </c>
      <c r="D943" s="1" t="s">
        <v>110</v>
      </c>
      <c r="F943" s="1">
        <v>2001</v>
      </c>
      <c r="G943" s="1" t="s">
        <v>19</v>
      </c>
      <c r="H943" s="1">
        <v>2020</v>
      </c>
      <c r="I943" s="1" t="s">
        <v>1601</v>
      </c>
      <c r="J943" s="6">
        <v>6462</v>
      </c>
      <c r="K943" s="6">
        <v>5323</v>
      </c>
      <c r="L943" s="21">
        <v>0.82373878056329308</v>
      </c>
      <c r="M943" s="1">
        <v>0</v>
      </c>
      <c r="N943" s="1" t="s">
        <v>28</v>
      </c>
      <c r="O943" s="1" t="s">
        <v>18</v>
      </c>
      <c r="P943" s="1" t="s">
        <v>18</v>
      </c>
      <c r="Q943" s="22" t="s">
        <v>18</v>
      </c>
      <c r="R943" s="8"/>
      <c r="S943" s="9" t="s">
        <v>18</v>
      </c>
      <c r="T943" s="8"/>
      <c r="U943" s="9" t="s">
        <v>18</v>
      </c>
      <c r="V943" s="8"/>
      <c r="W943" s="8" t="s">
        <v>18</v>
      </c>
      <c r="X943" s="8"/>
    </row>
    <row r="944" spans="1:24" x14ac:dyDescent="0.3">
      <c r="A944" s="1" t="s">
        <v>2511</v>
      </c>
      <c r="B944" s="1" t="s">
        <v>2512</v>
      </c>
      <c r="C944" s="1" t="s">
        <v>82</v>
      </c>
      <c r="D944" s="1" t="s">
        <v>110</v>
      </c>
      <c r="F944" s="1">
        <v>2018</v>
      </c>
      <c r="G944" s="1" t="s">
        <v>19</v>
      </c>
      <c r="H944" s="1">
        <v>2017</v>
      </c>
      <c r="I944" s="1" t="s">
        <v>1598</v>
      </c>
      <c r="J944" s="6">
        <v>12799</v>
      </c>
      <c r="K944" s="6">
        <v>5620</v>
      </c>
      <c r="L944" s="21">
        <v>0.43909680443784671</v>
      </c>
      <c r="M944" s="1">
        <v>0</v>
      </c>
      <c r="N944" s="1" t="s">
        <v>28</v>
      </c>
      <c r="O944" s="1" t="s">
        <v>18</v>
      </c>
      <c r="P944" s="1" t="s">
        <v>18</v>
      </c>
      <c r="Q944" s="22" t="s">
        <v>18</v>
      </c>
      <c r="R944" s="8"/>
      <c r="S944" s="9" t="s">
        <v>18</v>
      </c>
      <c r="T944" s="8"/>
      <c r="U944" s="9" t="s">
        <v>18</v>
      </c>
      <c r="V944" s="8"/>
      <c r="W944" s="8" t="s">
        <v>18</v>
      </c>
      <c r="X944" s="8"/>
    </row>
    <row r="945" spans="1:24" x14ac:dyDescent="0.3">
      <c r="A945" s="1" t="s">
        <v>2513</v>
      </c>
      <c r="B945" s="1" t="s">
        <v>1227</v>
      </c>
      <c r="C945" s="1" t="s">
        <v>82</v>
      </c>
      <c r="D945" s="1" t="s">
        <v>110</v>
      </c>
      <c r="F945" s="1">
        <v>2005</v>
      </c>
      <c r="G945" s="1" t="s">
        <v>19</v>
      </c>
      <c r="H945" s="1">
        <v>2021</v>
      </c>
      <c r="I945" s="1" t="s">
        <v>1599</v>
      </c>
      <c r="J945" s="6">
        <v>21645</v>
      </c>
      <c r="K945" s="6">
        <v>17647</v>
      </c>
      <c r="L945" s="21">
        <v>0.81529221529221529</v>
      </c>
      <c r="M945" s="1">
        <v>0</v>
      </c>
      <c r="N945" s="1" t="s">
        <v>1821</v>
      </c>
      <c r="O945" s="1" t="s">
        <v>18</v>
      </c>
      <c r="P945" s="1">
        <v>0.69699999999999995</v>
      </c>
      <c r="Q945" s="22">
        <v>44501</v>
      </c>
      <c r="R945" s="8"/>
      <c r="S945" s="9"/>
      <c r="T945" s="8"/>
      <c r="U945" s="9"/>
      <c r="V945" s="8"/>
      <c r="W945" s="8"/>
      <c r="X945" s="8"/>
    </row>
    <row r="946" spans="1:24" x14ac:dyDescent="0.3">
      <c r="A946" s="1" t="s">
        <v>2521</v>
      </c>
      <c r="B946" s="1" t="s">
        <v>1172</v>
      </c>
      <c r="C946" s="1" t="s">
        <v>82</v>
      </c>
      <c r="D946" s="1" t="s">
        <v>110</v>
      </c>
      <c r="F946" s="1">
        <v>2000</v>
      </c>
      <c r="G946" s="1" t="s">
        <v>47</v>
      </c>
      <c r="H946" s="1">
        <v>2018</v>
      </c>
      <c r="I946" s="1" t="s">
        <v>1601</v>
      </c>
      <c r="J946" s="6">
        <v>23819</v>
      </c>
      <c r="K946" s="6">
        <v>10009</v>
      </c>
      <c r="L946" s="21">
        <v>0.42021075611906461</v>
      </c>
      <c r="M946" s="1">
        <v>0</v>
      </c>
      <c r="N946" s="1" t="s">
        <v>1821</v>
      </c>
      <c r="O946" s="1" t="s">
        <v>18</v>
      </c>
      <c r="P946" s="1">
        <v>0.77500000000000002</v>
      </c>
      <c r="Q946" s="22">
        <v>43630</v>
      </c>
      <c r="R946" s="8"/>
      <c r="S946" s="9"/>
      <c r="T946" s="8"/>
      <c r="U946" s="9"/>
      <c r="V946" s="8"/>
      <c r="W946" s="8"/>
      <c r="X946" s="8"/>
    </row>
    <row r="947" spans="1:24" x14ac:dyDescent="0.3">
      <c r="A947" s="1" t="s">
        <v>1161</v>
      </c>
      <c r="B947" s="1" t="s">
        <v>1162</v>
      </c>
      <c r="C947" s="1" t="s">
        <v>82</v>
      </c>
      <c r="D947" s="1" t="s">
        <v>110</v>
      </c>
      <c r="F947" s="1">
        <v>2021</v>
      </c>
      <c r="J947" s="6">
        <v>26036</v>
      </c>
      <c r="K947" s="6">
        <v>18347</v>
      </c>
      <c r="L947" s="21">
        <v>0.70467813796282075</v>
      </c>
      <c r="M947" s="1">
        <v>0</v>
      </c>
      <c r="N947" s="1" t="s">
        <v>1821</v>
      </c>
      <c r="O947" s="1" t="s">
        <v>18</v>
      </c>
      <c r="P947" s="1">
        <v>0.56999999999999995</v>
      </c>
      <c r="Q947" s="22">
        <v>44279</v>
      </c>
      <c r="R947" s="8"/>
      <c r="S947" s="9"/>
      <c r="T947" s="8"/>
      <c r="U947" s="9"/>
      <c r="V947" s="8"/>
      <c r="W947" s="8"/>
      <c r="X947" s="8"/>
    </row>
    <row r="948" spans="1:24" x14ac:dyDescent="0.3">
      <c r="A948" s="1" t="s">
        <v>2522</v>
      </c>
      <c r="B948" s="1" t="s">
        <v>1163</v>
      </c>
      <c r="C948" s="1" t="s">
        <v>82</v>
      </c>
      <c r="D948" s="1" t="s">
        <v>110</v>
      </c>
      <c r="F948" s="1">
        <v>1977</v>
      </c>
      <c r="J948" s="6">
        <v>6819</v>
      </c>
      <c r="K948" s="6">
        <v>5057</v>
      </c>
      <c r="L948" s="21">
        <v>0.74160434081243587</v>
      </c>
      <c r="M948" s="1">
        <v>0</v>
      </c>
      <c r="N948" s="1" t="s">
        <v>1821</v>
      </c>
      <c r="O948" s="1" t="s">
        <v>18</v>
      </c>
      <c r="P948" s="1">
        <v>0.56999999999999995</v>
      </c>
      <c r="Q948" s="22">
        <v>44279</v>
      </c>
      <c r="R948" s="8"/>
      <c r="S948" s="9"/>
      <c r="T948" s="8"/>
      <c r="U948" s="9"/>
      <c r="V948" s="8"/>
      <c r="W948" s="8"/>
      <c r="X948" s="8"/>
    </row>
    <row r="949" spans="1:24" x14ac:dyDescent="0.3">
      <c r="A949" s="1" t="s">
        <v>2523</v>
      </c>
      <c r="B949" s="1" t="s">
        <v>1171</v>
      </c>
      <c r="C949" s="1" t="s">
        <v>82</v>
      </c>
      <c r="D949" s="1" t="s">
        <v>110</v>
      </c>
      <c r="F949" s="1">
        <v>1985</v>
      </c>
      <c r="J949" s="6">
        <v>3143</v>
      </c>
      <c r="K949" s="6">
        <v>2500</v>
      </c>
      <c r="L949" s="21">
        <v>0.79541839007317849</v>
      </c>
      <c r="M949" s="1">
        <v>0</v>
      </c>
      <c r="N949" s="1" t="s">
        <v>28</v>
      </c>
      <c r="O949" s="1" t="s">
        <v>18</v>
      </c>
      <c r="P949" s="1" t="s">
        <v>18</v>
      </c>
      <c r="Q949" s="22" t="s">
        <v>18</v>
      </c>
      <c r="R949" s="8"/>
      <c r="S949" s="9" t="s">
        <v>18</v>
      </c>
      <c r="T949" s="8"/>
      <c r="U949" s="9" t="s">
        <v>18</v>
      </c>
      <c r="V949" s="8"/>
      <c r="W949" s="8" t="s">
        <v>18</v>
      </c>
      <c r="X949" s="8"/>
    </row>
    <row r="950" spans="1:24" x14ac:dyDescent="0.3">
      <c r="A950" s="1" t="s">
        <v>2524</v>
      </c>
      <c r="B950" s="1" t="s">
        <v>1165</v>
      </c>
      <c r="C950" s="1" t="s">
        <v>82</v>
      </c>
      <c r="D950" s="1" t="s">
        <v>110</v>
      </c>
      <c r="F950" s="1">
        <v>1979</v>
      </c>
      <c r="J950" s="6">
        <v>3744</v>
      </c>
      <c r="K950" s="6">
        <v>2809</v>
      </c>
      <c r="L950" s="21">
        <v>0.75026709401709402</v>
      </c>
      <c r="M950" s="1">
        <v>0</v>
      </c>
      <c r="N950" s="1" t="s">
        <v>28</v>
      </c>
      <c r="O950" s="1" t="s">
        <v>18</v>
      </c>
      <c r="P950" s="1" t="s">
        <v>18</v>
      </c>
      <c r="Q950" s="22" t="s">
        <v>18</v>
      </c>
      <c r="R950" s="8"/>
      <c r="S950" s="9" t="s">
        <v>18</v>
      </c>
      <c r="T950" s="8"/>
      <c r="U950" s="9" t="s">
        <v>18</v>
      </c>
      <c r="V950" s="8"/>
      <c r="W950" s="8" t="s">
        <v>18</v>
      </c>
      <c r="X950" s="8"/>
    </row>
    <row r="951" spans="1:24" x14ac:dyDescent="0.3">
      <c r="A951" s="1" t="s">
        <v>2525</v>
      </c>
      <c r="B951" s="1" t="s">
        <v>1212</v>
      </c>
      <c r="C951" s="1" t="s">
        <v>82</v>
      </c>
      <c r="D951" s="1" t="s">
        <v>110</v>
      </c>
      <c r="F951" s="1">
        <v>1999</v>
      </c>
      <c r="J951" s="6">
        <v>2372</v>
      </c>
      <c r="K951" s="6">
        <v>1365</v>
      </c>
      <c r="L951" s="21">
        <v>0.57546374367622255</v>
      </c>
      <c r="M951" s="1">
        <v>0</v>
      </c>
      <c r="N951" s="1" t="s">
        <v>1821</v>
      </c>
      <c r="O951" s="1" t="s">
        <v>18</v>
      </c>
      <c r="P951" s="1">
        <v>0.56999999999999995</v>
      </c>
      <c r="Q951" s="22">
        <v>44279</v>
      </c>
      <c r="R951" s="8"/>
      <c r="S951" s="9"/>
      <c r="T951" s="8"/>
      <c r="U951" s="9"/>
      <c r="V951" s="8"/>
      <c r="W951" s="8"/>
      <c r="X951" s="8"/>
    </row>
    <row r="952" spans="1:24" x14ac:dyDescent="0.3">
      <c r="A952" s="1" t="s">
        <v>2526</v>
      </c>
      <c r="B952" s="1" t="s">
        <v>1164</v>
      </c>
      <c r="C952" s="1" t="s">
        <v>82</v>
      </c>
      <c r="D952" s="1" t="s">
        <v>110</v>
      </c>
      <c r="F952" s="1">
        <v>2009</v>
      </c>
      <c r="J952" s="6">
        <v>2056</v>
      </c>
      <c r="K952" s="6">
        <v>1492</v>
      </c>
      <c r="L952" s="21">
        <v>0.72568093385214005</v>
      </c>
      <c r="M952" s="1">
        <v>0</v>
      </c>
      <c r="N952" s="1" t="s">
        <v>28</v>
      </c>
      <c r="O952" s="1" t="s">
        <v>18</v>
      </c>
      <c r="P952" s="1" t="s">
        <v>18</v>
      </c>
      <c r="Q952" s="22" t="s">
        <v>18</v>
      </c>
      <c r="R952" s="8"/>
      <c r="S952" s="9" t="s">
        <v>18</v>
      </c>
      <c r="T952" s="8"/>
      <c r="U952" s="9" t="s">
        <v>18</v>
      </c>
      <c r="V952" s="8"/>
      <c r="W952" s="8" t="s">
        <v>18</v>
      </c>
      <c r="X952" s="8"/>
    </row>
    <row r="953" spans="1:24" x14ac:dyDescent="0.3">
      <c r="A953" s="1" t="s">
        <v>2527</v>
      </c>
      <c r="B953" s="1" t="s">
        <v>2528</v>
      </c>
      <c r="C953" s="1" t="s">
        <v>82</v>
      </c>
      <c r="D953" s="1" t="s">
        <v>110</v>
      </c>
      <c r="F953" s="1">
        <v>1950</v>
      </c>
      <c r="J953" s="6">
        <v>995</v>
      </c>
      <c r="K953" s="6">
        <v>897</v>
      </c>
      <c r="L953" s="21">
        <v>0.90150753768844216</v>
      </c>
      <c r="M953" s="1">
        <v>0</v>
      </c>
      <c r="N953" s="1" t="s">
        <v>28</v>
      </c>
      <c r="O953" s="1" t="s">
        <v>18</v>
      </c>
      <c r="P953" s="1" t="s">
        <v>18</v>
      </c>
      <c r="Q953" s="22" t="s">
        <v>18</v>
      </c>
      <c r="R953" s="8"/>
      <c r="S953" s="9" t="s">
        <v>18</v>
      </c>
      <c r="T953" s="8"/>
      <c r="U953" s="9" t="s">
        <v>18</v>
      </c>
      <c r="V953" s="8"/>
      <c r="W953" s="8" t="s">
        <v>18</v>
      </c>
      <c r="X953" s="8"/>
    </row>
    <row r="954" spans="1:24" x14ac:dyDescent="0.3">
      <c r="A954" s="1" t="s">
        <v>2529</v>
      </c>
      <c r="B954" s="1" t="s">
        <v>2530</v>
      </c>
      <c r="C954" s="1" t="s">
        <v>82</v>
      </c>
      <c r="D954" s="1" t="s">
        <v>110</v>
      </c>
      <c r="F954" s="1">
        <v>1950</v>
      </c>
      <c r="J954" s="6">
        <v>775</v>
      </c>
      <c r="K954" s="6">
        <v>933</v>
      </c>
      <c r="L954" s="21">
        <v>1.2038709677419355</v>
      </c>
      <c r="M954" s="1">
        <v>0</v>
      </c>
      <c r="N954" s="1" t="s">
        <v>28</v>
      </c>
      <c r="O954" s="1" t="s">
        <v>18</v>
      </c>
      <c r="P954" s="1" t="s">
        <v>18</v>
      </c>
      <c r="Q954" s="22" t="s">
        <v>18</v>
      </c>
      <c r="R954" s="8"/>
      <c r="S954" s="9" t="s">
        <v>18</v>
      </c>
      <c r="T954" s="8"/>
      <c r="U954" s="9" t="s">
        <v>18</v>
      </c>
      <c r="V954" s="8"/>
      <c r="W954" s="8" t="s">
        <v>18</v>
      </c>
      <c r="X954" s="8"/>
    </row>
    <row r="955" spans="1:24" x14ac:dyDescent="0.3">
      <c r="A955" s="1" t="s">
        <v>2531</v>
      </c>
      <c r="B955" s="1" t="s">
        <v>1228</v>
      </c>
      <c r="C955" s="1" t="s">
        <v>82</v>
      </c>
      <c r="D955" s="1" t="s">
        <v>110</v>
      </c>
      <c r="F955" s="1">
        <v>1950</v>
      </c>
      <c r="J955" s="6">
        <v>264</v>
      </c>
      <c r="K955" s="6">
        <v>264</v>
      </c>
      <c r="L955" s="21">
        <v>1</v>
      </c>
      <c r="M955" s="1">
        <v>0</v>
      </c>
      <c r="N955" s="1" t="s">
        <v>28</v>
      </c>
      <c r="O955" s="1" t="s">
        <v>18</v>
      </c>
      <c r="P955" s="1" t="s">
        <v>18</v>
      </c>
      <c r="Q955" s="22" t="s">
        <v>18</v>
      </c>
      <c r="R955" s="8"/>
      <c r="S955" s="9" t="s">
        <v>18</v>
      </c>
      <c r="T955" s="8"/>
      <c r="U955" s="9" t="s">
        <v>18</v>
      </c>
      <c r="V955" s="8"/>
      <c r="W955" s="8" t="s">
        <v>18</v>
      </c>
      <c r="X955" s="8"/>
    </row>
    <row r="956" spans="1:24" x14ac:dyDescent="0.3">
      <c r="A956" s="1" t="s">
        <v>1781</v>
      </c>
      <c r="B956" s="1" t="s">
        <v>679</v>
      </c>
      <c r="C956" s="1" t="s">
        <v>82</v>
      </c>
      <c r="D956" s="1" t="s">
        <v>1591</v>
      </c>
      <c r="F956" s="1">
        <v>1995</v>
      </c>
      <c r="J956" s="6">
        <v>6073</v>
      </c>
      <c r="K956" s="6">
        <v>4500</v>
      </c>
      <c r="L956" s="21">
        <v>0.74098468631648284</v>
      </c>
      <c r="M956" s="1">
        <v>0</v>
      </c>
      <c r="N956" s="1" t="s">
        <v>28</v>
      </c>
      <c r="O956" s="1" t="s">
        <v>18</v>
      </c>
      <c r="P956" s="1" t="s">
        <v>18</v>
      </c>
      <c r="Q956" s="22" t="s">
        <v>18</v>
      </c>
      <c r="R956" s="8">
        <v>136.03858883583072</v>
      </c>
      <c r="S956" s="9">
        <v>9</v>
      </c>
      <c r="T956" s="8">
        <v>168.30824962950766</v>
      </c>
      <c r="U956" s="9">
        <v>9</v>
      </c>
      <c r="V956" s="8">
        <v>144.85991272847028</v>
      </c>
      <c r="W956" s="8">
        <v>10</v>
      </c>
      <c r="X956" s="8"/>
    </row>
    <row r="957" spans="1:24" x14ac:dyDescent="0.3">
      <c r="A957" s="1" t="s">
        <v>368</v>
      </c>
      <c r="B957" s="1" t="s">
        <v>2183</v>
      </c>
      <c r="C957" s="1" t="s">
        <v>82</v>
      </c>
      <c r="D957" s="1" t="s">
        <v>1591</v>
      </c>
      <c r="F957" s="1">
        <v>1998</v>
      </c>
      <c r="G957" s="1" t="s">
        <v>19</v>
      </c>
      <c r="H957" s="1">
        <v>2022</v>
      </c>
      <c r="I957" s="1" t="s">
        <v>1818</v>
      </c>
      <c r="J957" s="6">
        <v>266291</v>
      </c>
      <c r="K957" s="6">
        <v>170816</v>
      </c>
      <c r="L957" s="21">
        <v>0.64146366193374915</v>
      </c>
      <c r="M957" s="1">
        <v>0</v>
      </c>
      <c r="N957" s="1" t="s">
        <v>1589</v>
      </c>
      <c r="O957" s="1">
        <v>4</v>
      </c>
      <c r="P957" s="1">
        <v>0.65</v>
      </c>
      <c r="Q957" s="22">
        <v>44805</v>
      </c>
      <c r="R957" s="8">
        <v>117.88431093252829</v>
      </c>
      <c r="S957" s="9">
        <v>7</v>
      </c>
      <c r="T957" s="8">
        <v>121.96434721602142</v>
      </c>
      <c r="U957" s="9">
        <v>7</v>
      </c>
      <c r="V957" s="8">
        <v>126.45799406141265</v>
      </c>
      <c r="W957" s="8">
        <v>9</v>
      </c>
      <c r="X957" s="8"/>
    </row>
    <row r="958" spans="1:24" x14ac:dyDescent="0.3">
      <c r="A958" s="1" t="s">
        <v>2153</v>
      </c>
      <c r="B958" s="1" t="s">
        <v>463</v>
      </c>
      <c r="C958" s="1" t="s">
        <v>82</v>
      </c>
      <c r="D958" s="1" t="s">
        <v>1591</v>
      </c>
      <c r="F958" s="1">
        <v>2004</v>
      </c>
      <c r="G958" s="1" t="s">
        <v>25</v>
      </c>
      <c r="H958" s="1">
        <v>2012</v>
      </c>
      <c r="I958" s="1" t="s">
        <v>1597</v>
      </c>
      <c r="J958" s="6">
        <v>29128</v>
      </c>
      <c r="K958" s="6">
        <v>20000</v>
      </c>
      <c r="L958" s="21">
        <v>0.68662455369404007</v>
      </c>
      <c r="M958" s="1">
        <v>0</v>
      </c>
      <c r="N958" s="1" t="s">
        <v>1589</v>
      </c>
      <c r="O958" s="1">
        <v>1</v>
      </c>
      <c r="P958" s="1">
        <v>0.65</v>
      </c>
      <c r="Q958" s="22">
        <v>42860</v>
      </c>
      <c r="R958" s="8">
        <v>125.4801886296418</v>
      </c>
      <c r="S958" s="9">
        <v>8</v>
      </c>
      <c r="T958" s="8">
        <v>127.63009749151057</v>
      </c>
      <c r="U958" s="9">
        <v>8</v>
      </c>
      <c r="V958" s="8">
        <v>123.29580698871726</v>
      </c>
      <c r="W958" s="8">
        <v>8</v>
      </c>
      <c r="X958" s="8"/>
    </row>
    <row r="959" spans="1:24" x14ac:dyDescent="0.3">
      <c r="A959" s="1" t="s">
        <v>288</v>
      </c>
      <c r="B959" s="1" t="s">
        <v>289</v>
      </c>
      <c r="C959" s="1" t="s">
        <v>82</v>
      </c>
      <c r="D959" s="1" t="s">
        <v>1591</v>
      </c>
      <c r="F959" s="1">
        <v>44995</v>
      </c>
      <c r="G959" s="1" t="s">
        <v>19</v>
      </c>
      <c r="H959" s="1">
        <v>2022</v>
      </c>
      <c r="I959" s="1" t="s">
        <v>1818</v>
      </c>
      <c r="J959" s="6">
        <v>97876</v>
      </c>
      <c r="K959" s="6">
        <v>80133</v>
      </c>
      <c r="L959" s="21">
        <v>0.81871960439740077</v>
      </c>
      <c r="M959" s="1">
        <v>22</v>
      </c>
      <c r="N959" s="1" t="s">
        <v>1589</v>
      </c>
      <c r="O959" s="1">
        <v>12</v>
      </c>
      <c r="P959" s="1">
        <v>0.65</v>
      </c>
      <c r="Q959" s="22">
        <v>44880</v>
      </c>
      <c r="R959" s="8" t="s">
        <v>18</v>
      </c>
      <c r="S959" s="9" t="s">
        <v>18</v>
      </c>
      <c r="T959" s="8" t="s">
        <v>18</v>
      </c>
      <c r="U959" s="9" t="s">
        <v>18</v>
      </c>
      <c r="V959" s="8">
        <v>106.53843638890024</v>
      </c>
      <c r="W959" s="8">
        <v>7</v>
      </c>
      <c r="X959" s="8"/>
    </row>
    <row r="960" spans="1:24" x14ac:dyDescent="0.3">
      <c r="A960" s="1" t="s">
        <v>615</v>
      </c>
      <c r="B960" s="1" t="s">
        <v>2331</v>
      </c>
      <c r="C960" s="1" t="s">
        <v>82</v>
      </c>
      <c r="D960" s="1" t="s">
        <v>1591</v>
      </c>
      <c r="F960" s="1">
        <v>1978</v>
      </c>
      <c r="G960" s="1" t="s">
        <v>19</v>
      </c>
      <c r="H960" s="1">
        <v>2022</v>
      </c>
      <c r="I960" s="1" t="s">
        <v>1599</v>
      </c>
      <c r="J960" s="6">
        <v>289060</v>
      </c>
      <c r="K960" s="6">
        <v>15000</v>
      </c>
      <c r="L960" s="21">
        <v>5.1892340690514079E-2</v>
      </c>
      <c r="M960" s="1">
        <v>0</v>
      </c>
      <c r="N960" s="1" t="s">
        <v>1589</v>
      </c>
      <c r="O960" s="1">
        <v>1978</v>
      </c>
      <c r="P960" s="1">
        <v>0</v>
      </c>
      <c r="Q960" s="22">
        <v>44927</v>
      </c>
      <c r="R960" s="8">
        <v>101.89814571369266</v>
      </c>
      <c r="S960" s="9">
        <v>4</v>
      </c>
      <c r="T960" s="8">
        <v>99.662734380405453</v>
      </c>
      <c r="U960" s="9">
        <v>5</v>
      </c>
      <c r="V960" s="8">
        <v>103.33660831661247</v>
      </c>
      <c r="W960" s="8">
        <v>6</v>
      </c>
      <c r="X960" s="8"/>
    </row>
    <row r="961" spans="1:24" x14ac:dyDescent="0.3">
      <c r="A961" s="1" t="s">
        <v>1996</v>
      </c>
      <c r="B961" s="1" t="s">
        <v>260</v>
      </c>
      <c r="C961" s="1" t="s">
        <v>82</v>
      </c>
      <c r="D961" s="1" t="s">
        <v>1591</v>
      </c>
      <c r="F961" s="1">
        <v>2012</v>
      </c>
      <c r="G961" s="1" t="s">
        <v>19</v>
      </c>
      <c r="H961" s="1">
        <v>2017</v>
      </c>
      <c r="I961" s="1" t="s">
        <v>1601</v>
      </c>
      <c r="J961" s="6">
        <v>192821</v>
      </c>
      <c r="K961" s="6">
        <v>131450</v>
      </c>
      <c r="L961" s="21">
        <v>0.68172035203634462</v>
      </c>
      <c r="M961" s="1">
        <v>0</v>
      </c>
      <c r="N961" s="1" t="s">
        <v>1589</v>
      </c>
      <c r="O961" s="1">
        <v>10</v>
      </c>
      <c r="P961" s="1">
        <v>0.6</v>
      </c>
      <c r="Q961" s="22">
        <v>44126</v>
      </c>
      <c r="R961" s="8">
        <v>91.006648653414302</v>
      </c>
      <c r="S961" s="9">
        <v>3</v>
      </c>
      <c r="T961" s="8">
        <v>95.151565441523488</v>
      </c>
      <c r="U961" s="9">
        <v>3</v>
      </c>
      <c r="V961" s="8">
        <v>100.42314893087371</v>
      </c>
      <c r="W961" s="8">
        <v>5</v>
      </c>
      <c r="X961" s="8"/>
    </row>
    <row r="962" spans="1:24" x14ac:dyDescent="0.3">
      <c r="A962" s="1" t="s">
        <v>87</v>
      </c>
      <c r="B962" s="1" t="s">
        <v>2205</v>
      </c>
      <c r="C962" s="1" t="s">
        <v>82</v>
      </c>
      <c r="D962" s="1" t="s">
        <v>1591</v>
      </c>
      <c r="F962" s="1">
        <v>1995</v>
      </c>
      <c r="G962" s="1" t="s">
        <v>19</v>
      </c>
      <c r="H962" s="1">
        <v>2022</v>
      </c>
      <c r="I962" s="1" t="s">
        <v>1875</v>
      </c>
      <c r="J962" s="6">
        <v>357964</v>
      </c>
      <c r="K962" s="6">
        <v>190744</v>
      </c>
      <c r="L962" s="21">
        <v>0.53285805276508247</v>
      </c>
      <c r="M962" s="1">
        <v>0</v>
      </c>
      <c r="N962" s="1" t="s">
        <v>1589</v>
      </c>
      <c r="O962" s="1">
        <v>1</v>
      </c>
      <c r="P962" s="1" t="s">
        <v>18</v>
      </c>
      <c r="Q962" s="22" t="s">
        <v>18</v>
      </c>
      <c r="R962" s="8">
        <v>101.97585511392207</v>
      </c>
      <c r="S962" s="9">
        <v>5</v>
      </c>
      <c r="T962" s="8">
        <v>102.17000312880624</v>
      </c>
      <c r="U962" s="9">
        <v>6</v>
      </c>
      <c r="V962" s="8">
        <v>94.390752980746669</v>
      </c>
      <c r="W962" s="8">
        <v>3</v>
      </c>
      <c r="X962" s="8"/>
    </row>
    <row r="963" spans="1:24" x14ac:dyDescent="0.3">
      <c r="A963" s="1" t="s">
        <v>1065</v>
      </c>
      <c r="B963" s="1" t="s">
        <v>2548</v>
      </c>
      <c r="C963" s="1" t="s">
        <v>82</v>
      </c>
      <c r="D963" s="1" t="s">
        <v>1591</v>
      </c>
      <c r="F963" s="1">
        <v>2005</v>
      </c>
      <c r="G963" s="1" t="s">
        <v>19</v>
      </c>
      <c r="H963" s="1">
        <v>2021</v>
      </c>
      <c r="I963" s="1" t="s">
        <v>1599</v>
      </c>
      <c r="J963" s="6">
        <v>256082</v>
      </c>
      <c r="K963" s="6">
        <v>8098</v>
      </c>
      <c r="L963" s="21">
        <v>3.1622683359236493E-2</v>
      </c>
      <c r="M963" s="1">
        <v>0</v>
      </c>
      <c r="N963" s="1" t="s">
        <v>1589</v>
      </c>
      <c r="O963" s="1" t="s">
        <v>18</v>
      </c>
      <c r="P963" s="1" t="s">
        <v>18</v>
      </c>
      <c r="Q963" s="22" t="s">
        <v>18</v>
      </c>
      <c r="R963" s="8">
        <v>107</v>
      </c>
      <c r="S963" s="9">
        <v>6</v>
      </c>
      <c r="T963" s="8">
        <v>98</v>
      </c>
      <c r="U963" s="9">
        <v>4</v>
      </c>
      <c r="V963" s="8">
        <v>94</v>
      </c>
      <c r="W963" s="8">
        <v>4</v>
      </c>
      <c r="X963" s="8"/>
    </row>
    <row r="964" spans="1:24" x14ac:dyDescent="0.3">
      <c r="A964" s="1" t="s">
        <v>261</v>
      </c>
      <c r="B964" s="1" t="s">
        <v>1997</v>
      </c>
      <c r="C964" s="1" t="s">
        <v>82</v>
      </c>
      <c r="D964" s="1" t="s">
        <v>1591</v>
      </c>
      <c r="F964" s="1">
        <v>2004</v>
      </c>
      <c r="G964" s="1" t="s">
        <v>19</v>
      </c>
      <c r="H964" s="1">
        <v>2022</v>
      </c>
      <c r="I964" s="1" t="s">
        <v>1818</v>
      </c>
      <c r="J964" s="6">
        <v>130424</v>
      </c>
      <c r="K964" s="6">
        <v>71430</v>
      </c>
      <c r="L964" s="21">
        <v>0.54767527448935782</v>
      </c>
      <c r="M964" s="1">
        <v>0</v>
      </c>
      <c r="N964" s="1" t="s">
        <v>1589</v>
      </c>
      <c r="O964" s="1">
        <v>5</v>
      </c>
      <c r="P964" s="1">
        <v>0.57399999999999995</v>
      </c>
      <c r="Q964" s="22">
        <v>44043</v>
      </c>
      <c r="R964" s="8">
        <v>75.42998604551309</v>
      </c>
      <c r="S964" s="9">
        <v>2</v>
      </c>
      <c r="T964" s="8">
        <v>74.679399497025088</v>
      </c>
      <c r="U964" s="9">
        <v>2</v>
      </c>
      <c r="V964" s="8">
        <v>76.528614365454217</v>
      </c>
      <c r="W964" s="8">
        <v>2</v>
      </c>
      <c r="X964" s="8"/>
    </row>
    <row r="965" spans="1:24" x14ac:dyDescent="0.3">
      <c r="A965" s="1" t="s">
        <v>80</v>
      </c>
      <c r="B965" s="1" t="s">
        <v>81</v>
      </c>
      <c r="C965" s="1" t="s">
        <v>82</v>
      </c>
      <c r="D965" s="1" t="s">
        <v>1591</v>
      </c>
      <c r="F965" s="1">
        <v>1963</v>
      </c>
      <c r="G965" s="1" t="s">
        <v>21</v>
      </c>
      <c r="H965" s="1">
        <v>2022</v>
      </c>
      <c r="I965" s="1" t="s">
        <v>1924</v>
      </c>
      <c r="J965" s="6">
        <v>364287</v>
      </c>
      <c r="K965" s="6">
        <v>154343</v>
      </c>
      <c r="L965" s="21">
        <v>0.42368517130723854</v>
      </c>
      <c r="M965" s="1">
        <v>0</v>
      </c>
      <c r="N965" s="1" t="s">
        <v>1589</v>
      </c>
      <c r="O965" s="1">
        <v>7</v>
      </c>
      <c r="P965" s="1">
        <v>0.7</v>
      </c>
      <c r="Q965" s="22">
        <v>44984</v>
      </c>
      <c r="R965" s="8">
        <v>60.877858705680765</v>
      </c>
      <c r="S965" s="9">
        <v>1</v>
      </c>
      <c r="T965" s="8">
        <v>59.239277975484384</v>
      </c>
      <c r="U965" s="9">
        <v>1</v>
      </c>
      <c r="V965" s="8">
        <v>62.617447212336899</v>
      </c>
      <c r="W965" s="8">
        <v>1</v>
      </c>
      <c r="X965" s="8"/>
    </row>
    <row r="966" spans="1:24" x14ac:dyDescent="0.3">
      <c r="A966" s="1" t="s">
        <v>2157</v>
      </c>
      <c r="B966" s="1" t="s">
        <v>462</v>
      </c>
      <c r="C966" s="1" t="s">
        <v>82</v>
      </c>
      <c r="D966" s="1" t="s">
        <v>1591</v>
      </c>
      <c r="F966" s="1">
        <v>2004</v>
      </c>
      <c r="G966" s="1" t="s">
        <v>21</v>
      </c>
      <c r="H966" s="1">
        <v>2022</v>
      </c>
      <c r="I966" s="1" t="s">
        <v>1599</v>
      </c>
      <c r="J966" s="6">
        <v>4930</v>
      </c>
      <c r="K966" s="6">
        <v>2053</v>
      </c>
      <c r="L966" s="21">
        <v>0.41643002028397563</v>
      </c>
      <c r="M966" s="1">
        <v>0</v>
      </c>
      <c r="N966" s="1" t="s">
        <v>28</v>
      </c>
      <c r="O966" s="1" t="s">
        <v>18</v>
      </c>
      <c r="P966" s="1" t="s">
        <v>18</v>
      </c>
      <c r="Q966" s="22" t="s">
        <v>18</v>
      </c>
      <c r="R966" s="8"/>
      <c r="S966" s="9" t="s">
        <v>18</v>
      </c>
      <c r="T966" s="8"/>
      <c r="U966" s="9" t="s">
        <v>18</v>
      </c>
      <c r="V966" s="8"/>
      <c r="W966" s="8" t="s">
        <v>18</v>
      </c>
      <c r="X966" s="8"/>
    </row>
    <row r="967" spans="1:24" x14ac:dyDescent="0.3">
      <c r="A967" s="1" t="s">
        <v>2178</v>
      </c>
      <c r="B967" s="1" t="s">
        <v>464</v>
      </c>
      <c r="C967" s="1" t="s">
        <v>82</v>
      </c>
      <c r="D967" s="1" t="s">
        <v>1591</v>
      </c>
      <c r="F967" s="1">
        <v>2004</v>
      </c>
      <c r="G967" s="1" t="s">
        <v>19</v>
      </c>
      <c r="H967" s="1">
        <v>2014</v>
      </c>
      <c r="I967" s="1" t="s">
        <v>1601</v>
      </c>
      <c r="J967" s="6">
        <v>11587</v>
      </c>
      <c r="K967" s="6">
        <v>6305</v>
      </c>
      <c r="L967" s="21">
        <v>0.54414429964615518</v>
      </c>
      <c r="M967" s="1">
        <v>0</v>
      </c>
      <c r="N967" s="1" t="s">
        <v>1589</v>
      </c>
      <c r="O967" s="1">
        <v>7</v>
      </c>
      <c r="P967" s="1" t="s">
        <v>18</v>
      </c>
      <c r="Q967" s="22" t="s">
        <v>18</v>
      </c>
      <c r="R967" s="8"/>
      <c r="S967" s="9" t="s">
        <v>18</v>
      </c>
      <c r="T967" s="8"/>
      <c r="U967" s="9" t="s">
        <v>18</v>
      </c>
      <c r="V967" s="8"/>
      <c r="W967" s="8" t="s">
        <v>18</v>
      </c>
      <c r="X967" s="8"/>
    </row>
    <row r="968" spans="1:24" x14ac:dyDescent="0.3">
      <c r="A968" s="1" t="s">
        <v>1741</v>
      </c>
      <c r="B968" s="1" t="s">
        <v>105</v>
      </c>
      <c r="C968" s="1" t="s">
        <v>82</v>
      </c>
      <c r="D968" s="1" t="s">
        <v>86</v>
      </c>
      <c r="F968" s="1">
        <v>2005</v>
      </c>
      <c r="G968" s="1" t="s">
        <v>21</v>
      </c>
      <c r="H968" s="1">
        <v>2013</v>
      </c>
      <c r="I968" s="1" t="s">
        <v>1600</v>
      </c>
      <c r="J968" s="6">
        <v>25000</v>
      </c>
      <c r="K968" s="6">
        <v>19000</v>
      </c>
      <c r="L968" s="21">
        <v>0.76</v>
      </c>
      <c r="M968" s="1">
        <v>0</v>
      </c>
      <c r="N968" s="1" t="s">
        <v>28</v>
      </c>
      <c r="O968" s="1" t="s">
        <v>18</v>
      </c>
      <c r="P968" s="1" t="s">
        <v>18</v>
      </c>
      <c r="Q968" s="22" t="s">
        <v>18</v>
      </c>
      <c r="R968" s="8">
        <v>102.73756</v>
      </c>
      <c r="S968" s="9">
        <v>10</v>
      </c>
      <c r="T968" s="8">
        <v>78.802880000000002</v>
      </c>
      <c r="U968" s="9">
        <v>8</v>
      </c>
      <c r="V968" s="8">
        <v>212.91983999999999</v>
      </c>
      <c r="W968" s="8">
        <v>19</v>
      </c>
      <c r="X968" s="8"/>
    </row>
    <row r="969" spans="1:24" x14ac:dyDescent="0.3">
      <c r="A969" s="1" t="s">
        <v>732</v>
      </c>
      <c r="B969" s="1" t="s">
        <v>733</v>
      </c>
      <c r="C969" s="1" t="s">
        <v>82</v>
      </c>
      <c r="D969" s="1" t="s">
        <v>86</v>
      </c>
      <c r="F969" s="1">
        <v>1998</v>
      </c>
      <c r="J969" s="6">
        <v>9642</v>
      </c>
      <c r="K969" s="6">
        <v>9205</v>
      </c>
      <c r="L969" s="21">
        <v>0.95467745281062022</v>
      </c>
      <c r="M969" s="1">
        <v>0</v>
      </c>
      <c r="N969" s="1" t="s">
        <v>28</v>
      </c>
      <c r="O969" s="1" t="s">
        <v>18</v>
      </c>
      <c r="P969" s="1" t="s">
        <v>18</v>
      </c>
      <c r="Q969" s="22" t="s">
        <v>18</v>
      </c>
      <c r="R969" s="8">
        <v>178.19061501763119</v>
      </c>
      <c r="S969" s="9">
        <v>17</v>
      </c>
      <c r="T969" s="8">
        <v>197.17819643227548</v>
      </c>
      <c r="U969" s="9">
        <v>18</v>
      </c>
      <c r="V969" s="8">
        <v>209.50978116573324</v>
      </c>
      <c r="W969" s="8">
        <v>18</v>
      </c>
      <c r="X969" s="8"/>
    </row>
    <row r="970" spans="1:24" x14ac:dyDescent="0.3">
      <c r="A970" s="1" t="s">
        <v>916</v>
      </c>
      <c r="B970" s="1" t="s">
        <v>917</v>
      </c>
      <c r="C970" s="1" t="s">
        <v>82</v>
      </c>
      <c r="D970" s="1" t="s">
        <v>86</v>
      </c>
      <c r="F970" s="1">
        <v>1976</v>
      </c>
      <c r="G970" s="1" t="s">
        <v>25</v>
      </c>
      <c r="H970" s="1">
        <v>2015</v>
      </c>
      <c r="I970" s="1" t="s">
        <v>1601</v>
      </c>
      <c r="J970" s="6">
        <v>5656</v>
      </c>
      <c r="K970" s="6">
        <v>5656</v>
      </c>
      <c r="L970" s="21">
        <v>1</v>
      </c>
      <c r="M970" s="1">
        <v>0</v>
      </c>
      <c r="N970" s="1" t="s">
        <v>1589</v>
      </c>
      <c r="O970" s="1">
        <v>8</v>
      </c>
      <c r="P970" s="1">
        <v>0.56999999999999995</v>
      </c>
      <c r="Q970" s="22">
        <v>43034</v>
      </c>
      <c r="R970" s="8">
        <v>181.66129773691657</v>
      </c>
      <c r="S970" s="9">
        <v>18</v>
      </c>
      <c r="T970" s="8">
        <v>175.92546852899574</v>
      </c>
      <c r="U970" s="9">
        <v>17</v>
      </c>
      <c r="V970" s="8">
        <v>189.05993635077795</v>
      </c>
      <c r="W970" s="8">
        <v>17</v>
      </c>
      <c r="X970" s="8"/>
    </row>
    <row r="971" spans="1:24" x14ac:dyDescent="0.3">
      <c r="A971" s="1" t="s">
        <v>2154</v>
      </c>
      <c r="B971" s="1" t="s">
        <v>2155</v>
      </c>
      <c r="C971" s="1" t="s">
        <v>82</v>
      </c>
      <c r="D971" s="1" t="s">
        <v>86</v>
      </c>
      <c r="F971" s="1">
        <v>2014</v>
      </c>
      <c r="J971" s="6">
        <v>5378</v>
      </c>
      <c r="K971" s="6">
        <v>5378</v>
      </c>
      <c r="L971" s="21">
        <v>1</v>
      </c>
      <c r="M971" s="1">
        <v>5</v>
      </c>
      <c r="N971" s="1" t="s">
        <v>28</v>
      </c>
      <c r="O971" s="1" t="s">
        <v>18</v>
      </c>
      <c r="P971" s="1" t="s">
        <v>18</v>
      </c>
      <c r="Q971" s="22" t="s">
        <v>18</v>
      </c>
      <c r="R971" s="8">
        <v>138.88248419486797</v>
      </c>
      <c r="S971" s="9">
        <v>16</v>
      </c>
      <c r="T971" s="8">
        <v>143.85552249907028</v>
      </c>
      <c r="U971" s="9">
        <v>15</v>
      </c>
      <c r="V971" s="8">
        <v>172.03421346225363</v>
      </c>
      <c r="W971" s="8">
        <v>16</v>
      </c>
      <c r="X971" s="8"/>
    </row>
    <row r="972" spans="1:24" x14ac:dyDescent="0.3">
      <c r="A972" s="1" t="s">
        <v>670</v>
      </c>
      <c r="B972" s="1" t="s">
        <v>671</v>
      </c>
      <c r="C972" s="1" t="s">
        <v>82</v>
      </c>
      <c r="D972" s="1" t="s">
        <v>86</v>
      </c>
      <c r="F972" s="1">
        <v>2007</v>
      </c>
      <c r="G972" s="1" t="s">
        <v>25</v>
      </c>
      <c r="H972" s="1">
        <v>2019</v>
      </c>
      <c r="I972" s="1" t="s">
        <v>1601</v>
      </c>
      <c r="J972" s="6">
        <v>35823</v>
      </c>
      <c r="K972" s="6">
        <v>20823</v>
      </c>
      <c r="L972" s="21">
        <v>0.58127460011724308</v>
      </c>
      <c r="M972" s="1">
        <v>0</v>
      </c>
      <c r="N972" s="1" t="s">
        <v>1589</v>
      </c>
      <c r="O972" s="1">
        <v>12</v>
      </c>
      <c r="P972" s="1">
        <v>1.06</v>
      </c>
      <c r="Q972" s="22">
        <v>44910</v>
      </c>
      <c r="R972" s="8">
        <v>131.92549842280098</v>
      </c>
      <c r="S972" s="9">
        <v>15</v>
      </c>
      <c r="T972" s="8">
        <v>158.03261033414287</v>
      </c>
      <c r="U972" s="9">
        <v>16</v>
      </c>
      <c r="V972" s="8">
        <v>146.20882673142953</v>
      </c>
      <c r="W972" s="8">
        <v>15</v>
      </c>
      <c r="X972" s="8"/>
    </row>
    <row r="973" spans="1:24" x14ac:dyDescent="0.3">
      <c r="A973" s="1" t="s">
        <v>1344</v>
      </c>
      <c r="B973" s="1" t="s">
        <v>1993</v>
      </c>
      <c r="C973" s="1" t="s">
        <v>82</v>
      </c>
      <c r="D973" s="1" t="s">
        <v>86</v>
      </c>
      <c r="F973" s="1">
        <v>2013</v>
      </c>
      <c r="G973" s="1" t="s">
        <v>19</v>
      </c>
      <c r="H973" s="1">
        <v>2022</v>
      </c>
      <c r="I973" s="1" t="s">
        <v>1818</v>
      </c>
      <c r="J973" s="6">
        <v>29577</v>
      </c>
      <c r="K973" s="6">
        <v>202800</v>
      </c>
      <c r="L973" s="21">
        <v>6.8566791763870576</v>
      </c>
      <c r="M973" s="1">
        <v>0</v>
      </c>
      <c r="N973" s="1" t="s">
        <v>1589</v>
      </c>
      <c r="O973" s="1">
        <v>10</v>
      </c>
      <c r="P973" s="1" t="s">
        <v>18</v>
      </c>
      <c r="Q973" s="22" t="s">
        <v>18</v>
      </c>
      <c r="R973" s="8">
        <v>131.40616458734829</v>
      </c>
      <c r="S973" s="9">
        <v>14</v>
      </c>
      <c r="T973" s="8">
        <v>136.64798661121819</v>
      </c>
      <c r="U973" s="9">
        <v>13</v>
      </c>
      <c r="V973" s="8">
        <v>143.59943976738683</v>
      </c>
      <c r="W973" s="8">
        <v>14</v>
      </c>
      <c r="X973" s="8"/>
    </row>
    <row r="974" spans="1:24" x14ac:dyDescent="0.3">
      <c r="A974" s="1" t="s">
        <v>1860</v>
      </c>
      <c r="B974" s="1" t="s">
        <v>1861</v>
      </c>
      <c r="C974" s="1" t="s">
        <v>82</v>
      </c>
      <c r="D974" s="1" t="s">
        <v>86</v>
      </c>
      <c r="F974" s="1">
        <v>1999</v>
      </c>
      <c r="G974" s="1" t="s">
        <v>19</v>
      </c>
      <c r="H974" s="1">
        <v>2022</v>
      </c>
      <c r="I974" s="1" t="s">
        <v>1599</v>
      </c>
      <c r="J974" s="6">
        <v>29887</v>
      </c>
      <c r="K974" s="6">
        <v>15862</v>
      </c>
      <c r="L974" s="21">
        <v>0.53073242546926758</v>
      </c>
      <c r="M974" s="1">
        <v>133</v>
      </c>
      <c r="N974" s="1" t="s">
        <v>1589</v>
      </c>
      <c r="O974" s="1">
        <v>8</v>
      </c>
      <c r="P974" s="1">
        <v>0.52</v>
      </c>
      <c r="Q974" s="22">
        <v>44992</v>
      </c>
      <c r="R974" s="8">
        <v>129.7822548265132</v>
      </c>
      <c r="S974" s="9">
        <v>13</v>
      </c>
      <c r="T974" s="8">
        <v>137.89487904440057</v>
      </c>
      <c r="U974" s="9">
        <v>14</v>
      </c>
      <c r="V974" s="8">
        <v>132.63517582895574</v>
      </c>
      <c r="W974" s="8">
        <v>13</v>
      </c>
      <c r="X974" s="8"/>
    </row>
    <row r="975" spans="1:24" x14ac:dyDescent="0.3">
      <c r="A975" s="1" t="s">
        <v>1578</v>
      </c>
      <c r="B975" s="1" t="s">
        <v>1579</v>
      </c>
      <c r="C975" s="1" t="s">
        <v>82</v>
      </c>
      <c r="D975" s="1" t="s">
        <v>86</v>
      </c>
      <c r="F975" s="1">
        <v>2013</v>
      </c>
      <c r="J975" s="6">
        <v>6600</v>
      </c>
      <c r="K975" s="6">
        <v>7000</v>
      </c>
      <c r="L975" s="21">
        <v>1.0606060606060606</v>
      </c>
      <c r="M975" s="1">
        <v>0</v>
      </c>
      <c r="N975" s="1" t="s">
        <v>28</v>
      </c>
      <c r="O975" s="1" t="s">
        <v>18</v>
      </c>
      <c r="P975" s="1" t="s">
        <v>18</v>
      </c>
      <c r="Q975" s="22" t="s">
        <v>18</v>
      </c>
      <c r="R975" s="8">
        <v>109.6641212121212</v>
      </c>
      <c r="S975" s="9">
        <v>11</v>
      </c>
      <c r="T975" s="8">
        <v>116.38490606060606</v>
      </c>
      <c r="U975" s="9">
        <v>11</v>
      </c>
      <c r="V975" s="8">
        <v>115.04555151515152</v>
      </c>
      <c r="W975" s="8">
        <v>12</v>
      </c>
      <c r="X975" s="8"/>
    </row>
    <row r="976" spans="1:24" x14ac:dyDescent="0.3">
      <c r="A976" s="1" t="s">
        <v>842</v>
      </c>
      <c r="B976" s="1" t="s">
        <v>843</v>
      </c>
      <c r="C976" s="1" t="s">
        <v>82</v>
      </c>
      <c r="D976" s="1" t="s">
        <v>86</v>
      </c>
      <c r="F976" s="1">
        <v>1951</v>
      </c>
      <c r="J976" s="6">
        <v>9384</v>
      </c>
      <c r="K976" s="6">
        <v>9384</v>
      </c>
      <c r="L976" s="21">
        <v>1</v>
      </c>
      <c r="M976" s="1">
        <v>0</v>
      </c>
      <c r="N976" s="1" t="s">
        <v>1821</v>
      </c>
      <c r="O976" s="1" t="s">
        <v>18</v>
      </c>
      <c r="P976" s="1" t="s">
        <v>18</v>
      </c>
      <c r="Q976" s="22" t="s">
        <v>18</v>
      </c>
      <c r="R976" s="8">
        <v>116.16120524296676</v>
      </c>
      <c r="S976" s="9">
        <v>12</v>
      </c>
      <c r="T976" s="8">
        <v>127.59899296675191</v>
      </c>
      <c r="U976" s="9">
        <v>12</v>
      </c>
      <c r="V976" s="8">
        <v>108.45812020460357</v>
      </c>
      <c r="W976" s="8">
        <v>11</v>
      </c>
      <c r="X976" s="8"/>
    </row>
    <row r="977" spans="1:24" x14ac:dyDescent="0.3">
      <c r="A977" s="1" t="s">
        <v>1954</v>
      </c>
      <c r="B977" s="1" t="s">
        <v>1131</v>
      </c>
      <c r="C977" s="1" t="s">
        <v>82</v>
      </c>
      <c r="D977" s="1" t="s">
        <v>86</v>
      </c>
      <c r="F977" s="1">
        <v>2006</v>
      </c>
      <c r="J977" s="6">
        <v>10430</v>
      </c>
      <c r="K977" s="6">
        <v>7273</v>
      </c>
      <c r="L977" s="21">
        <v>0.69731543624161074</v>
      </c>
      <c r="M977" s="1">
        <v>138</v>
      </c>
      <c r="N977" s="1" t="s">
        <v>28</v>
      </c>
      <c r="O977" s="1" t="s">
        <v>18</v>
      </c>
      <c r="P977" s="1" t="s">
        <v>18</v>
      </c>
      <c r="Q977" s="22" t="s">
        <v>18</v>
      </c>
      <c r="R977" s="8">
        <v>88.522550335570472</v>
      </c>
      <c r="S977" s="9">
        <v>7</v>
      </c>
      <c r="T977" s="8">
        <v>87.591860019175456</v>
      </c>
      <c r="U977" s="9">
        <v>10</v>
      </c>
      <c r="V977" s="8">
        <v>90.016581975071901</v>
      </c>
      <c r="W977" s="8">
        <v>10</v>
      </c>
      <c r="X977" s="8"/>
    </row>
    <row r="978" spans="1:24" x14ac:dyDescent="0.3">
      <c r="A978" s="1" t="s">
        <v>1811</v>
      </c>
      <c r="B978" s="1" t="s">
        <v>1812</v>
      </c>
      <c r="C978" s="1" t="s">
        <v>82</v>
      </c>
      <c r="D978" s="1" t="s">
        <v>86</v>
      </c>
      <c r="F978" s="1">
        <v>1995</v>
      </c>
      <c r="J978" s="6">
        <v>5570</v>
      </c>
      <c r="K978" s="6">
        <v>2785</v>
      </c>
      <c r="L978" s="21">
        <v>0.5</v>
      </c>
      <c r="M978" s="1">
        <v>0</v>
      </c>
      <c r="N978" s="1" t="s">
        <v>28</v>
      </c>
      <c r="O978" s="1" t="s">
        <v>18</v>
      </c>
      <c r="P978" s="1" t="s">
        <v>18</v>
      </c>
      <c r="Q978" s="22" t="s">
        <v>18</v>
      </c>
      <c r="R978" s="8">
        <v>91.74069120287254</v>
      </c>
      <c r="S978" s="9">
        <v>8</v>
      </c>
      <c r="T978" s="8">
        <v>85.235565529622974</v>
      </c>
      <c r="U978" s="9">
        <v>9</v>
      </c>
      <c r="V978" s="8">
        <v>80.165915619389594</v>
      </c>
      <c r="W978" s="8">
        <v>9</v>
      </c>
      <c r="X978" s="8"/>
    </row>
    <row r="979" spans="1:24" x14ac:dyDescent="0.3">
      <c r="A979" s="1" t="s">
        <v>1235</v>
      </c>
      <c r="B979" s="1" t="s">
        <v>1813</v>
      </c>
      <c r="C979" s="1" t="s">
        <v>82</v>
      </c>
      <c r="D979" s="1" t="s">
        <v>86</v>
      </c>
      <c r="F979" s="1">
        <v>2022</v>
      </c>
      <c r="J979" s="6">
        <v>9093.4</v>
      </c>
      <c r="K979" s="6">
        <v>7867</v>
      </c>
      <c r="L979" s="21">
        <v>0.86513295357072162</v>
      </c>
      <c r="M979" s="1">
        <v>0</v>
      </c>
      <c r="N979" s="1" t="s">
        <v>1590</v>
      </c>
      <c r="O979" s="1" t="s">
        <v>18</v>
      </c>
      <c r="P979" s="1" t="s">
        <v>18</v>
      </c>
      <c r="Q979" s="22" t="s">
        <v>18</v>
      </c>
      <c r="R979" s="8" t="s">
        <v>18</v>
      </c>
      <c r="S979" s="9" t="s">
        <v>18</v>
      </c>
      <c r="T979" s="8" t="s">
        <v>18</v>
      </c>
      <c r="U979" s="9" t="s">
        <v>18</v>
      </c>
      <c r="V979" s="8">
        <v>76.209292453867633</v>
      </c>
      <c r="W979" s="8">
        <v>8</v>
      </c>
      <c r="X979" s="8"/>
    </row>
    <row r="980" spans="1:24" x14ac:dyDescent="0.3">
      <c r="A980" s="1" t="s">
        <v>2574</v>
      </c>
      <c r="B980" s="1" t="s">
        <v>1378</v>
      </c>
      <c r="C980" s="1" t="s">
        <v>82</v>
      </c>
      <c r="D980" s="1" t="s">
        <v>86</v>
      </c>
      <c r="F980" s="1">
        <v>2006</v>
      </c>
      <c r="J980" s="6">
        <v>7778</v>
      </c>
      <c r="K980" s="6">
        <v>7778</v>
      </c>
      <c r="L980" s="21">
        <v>1</v>
      </c>
      <c r="M980" s="1">
        <v>0</v>
      </c>
      <c r="N980" s="1" t="s">
        <v>28</v>
      </c>
      <c r="O980" s="1" t="s">
        <v>18</v>
      </c>
      <c r="P980" s="1" t="s">
        <v>18</v>
      </c>
      <c r="Q980" s="22" t="s">
        <v>18</v>
      </c>
      <c r="R980" s="8">
        <v>65.527144510156859</v>
      </c>
      <c r="S980" s="9">
        <v>6</v>
      </c>
      <c r="T980" s="8">
        <v>60.324002314219598</v>
      </c>
      <c r="U980" s="9">
        <v>5</v>
      </c>
      <c r="V980" s="8">
        <v>69.384372589354598</v>
      </c>
      <c r="W980" s="8">
        <v>7</v>
      </c>
      <c r="X980" s="8"/>
    </row>
    <row r="981" spans="1:24" x14ac:dyDescent="0.3">
      <c r="A981" s="1" t="s">
        <v>2187</v>
      </c>
      <c r="B981" s="1" t="s">
        <v>1120</v>
      </c>
      <c r="C981" s="1" t="s">
        <v>82</v>
      </c>
      <c r="D981" s="1" t="s">
        <v>86</v>
      </c>
      <c r="F981" s="1">
        <v>2011</v>
      </c>
      <c r="G981" s="1" t="s">
        <v>19</v>
      </c>
      <c r="H981" s="1">
        <v>2023</v>
      </c>
      <c r="I981" s="1" t="s">
        <v>1783</v>
      </c>
      <c r="J981" s="6">
        <v>77641</v>
      </c>
      <c r="K981" s="6">
        <v>76000</v>
      </c>
      <c r="L981" s="21">
        <v>0.97886425986270142</v>
      </c>
      <c r="M981" s="1">
        <v>0</v>
      </c>
      <c r="N981" s="1" t="s">
        <v>1589</v>
      </c>
      <c r="O981" s="1">
        <v>13</v>
      </c>
      <c r="P981" s="1">
        <v>0.57999999999999996</v>
      </c>
      <c r="Q981" s="22">
        <v>43846</v>
      </c>
      <c r="R981" s="8">
        <v>62.068327301296996</v>
      </c>
      <c r="S981" s="9">
        <v>5</v>
      </c>
      <c r="T981" s="8">
        <v>68.254124753673963</v>
      </c>
      <c r="U981" s="9">
        <v>6</v>
      </c>
      <c r="V981" s="8">
        <v>66.594026352056261</v>
      </c>
      <c r="W981" s="8">
        <v>6</v>
      </c>
      <c r="X981" s="8"/>
    </row>
    <row r="982" spans="1:24" x14ac:dyDescent="0.3">
      <c r="A982" s="1" t="s">
        <v>2185</v>
      </c>
      <c r="B982" s="1" t="s">
        <v>1119</v>
      </c>
      <c r="C982" s="1" t="s">
        <v>82</v>
      </c>
      <c r="D982" s="1" t="s">
        <v>86</v>
      </c>
      <c r="F982" s="1">
        <v>1900</v>
      </c>
      <c r="G982" s="1" t="s">
        <v>19</v>
      </c>
      <c r="H982" s="1">
        <v>2023</v>
      </c>
      <c r="I982" s="1" t="s">
        <v>1783</v>
      </c>
      <c r="J982" s="6">
        <v>87829</v>
      </c>
      <c r="K982" s="6">
        <v>50000</v>
      </c>
      <c r="L982" s="21">
        <v>0.56928804836671254</v>
      </c>
      <c r="M982" s="1">
        <v>0</v>
      </c>
      <c r="N982" s="1" t="s">
        <v>1589</v>
      </c>
      <c r="O982" s="1">
        <v>13</v>
      </c>
      <c r="P982" s="1">
        <v>0.63</v>
      </c>
      <c r="Q982" s="22">
        <v>43846</v>
      </c>
      <c r="R982" s="8">
        <v>55.980981566452989</v>
      </c>
      <c r="S982" s="9">
        <v>4</v>
      </c>
      <c r="T982" s="8">
        <v>59.936474285258853</v>
      </c>
      <c r="U982" s="9">
        <v>4</v>
      </c>
      <c r="V982" s="8">
        <v>58.284225028179762</v>
      </c>
      <c r="W982" s="8">
        <v>5</v>
      </c>
      <c r="X982" s="8"/>
    </row>
    <row r="983" spans="1:24" x14ac:dyDescent="0.3">
      <c r="A983" s="1" t="s">
        <v>1740</v>
      </c>
      <c r="B983" s="1" t="s">
        <v>2071</v>
      </c>
      <c r="C983" s="1" t="s">
        <v>82</v>
      </c>
      <c r="D983" s="1" t="s">
        <v>86</v>
      </c>
      <c r="F983" s="1">
        <v>2004</v>
      </c>
      <c r="J983" s="6">
        <v>25198</v>
      </c>
      <c r="K983" s="6">
        <v>17782</v>
      </c>
      <c r="L983" s="21">
        <v>0.70569092785141674</v>
      </c>
      <c r="M983" s="1">
        <v>0</v>
      </c>
      <c r="N983" s="1" t="s">
        <v>1590</v>
      </c>
      <c r="O983" s="1" t="s">
        <v>18</v>
      </c>
      <c r="P983" s="1" t="s">
        <v>18</v>
      </c>
      <c r="Q983" s="22" t="s">
        <v>18</v>
      </c>
      <c r="R983" s="8">
        <v>96.217914120168274</v>
      </c>
      <c r="S983" s="9">
        <v>9</v>
      </c>
      <c r="T983" s="8">
        <v>68.408107786332252</v>
      </c>
      <c r="U983" s="9">
        <v>7</v>
      </c>
      <c r="V983" s="8">
        <v>57.622533534407495</v>
      </c>
      <c r="W983" s="8">
        <v>4</v>
      </c>
      <c r="X983" s="8"/>
    </row>
    <row r="984" spans="1:24" x14ac:dyDescent="0.3">
      <c r="A984" s="1" t="s">
        <v>2198</v>
      </c>
      <c r="B984" s="1" t="s">
        <v>1441</v>
      </c>
      <c r="C984" s="1" t="s">
        <v>82</v>
      </c>
      <c r="D984" s="1" t="s">
        <v>86</v>
      </c>
      <c r="F984" s="1">
        <v>2012</v>
      </c>
      <c r="J984" s="6">
        <v>10999</v>
      </c>
      <c r="K984" s="6">
        <v>4600</v>
      </c>
      <c r="L984" s="21">
        <v>0.41821983816710612</v>
      </c>
      <c r="M984" s="1">
        <v>0</v>
      </c>
      <c r="N984" s="1" t="s">
        <v>28</v>
      </c>
      <c r="O984" s="1" t="s">
        <v>18</v>
      </c>
      <c r="P984" s="1" t="s">
        <v>18</v>
      </c>
      <c r="Q984" s="22" t="s">
        <v>18</v>
      </c>
      <c r="R984" s="8">
        <v>44.197232475679606</v>
      </c>
      <c r="S984" s="9">
        <v>3</v>
      </c>
      <c r="T984" s="8">
        <v>42.083251204654971</v>
      </c>
      <c r="U984" s="9">
        <v>3</v>
      </c>
      <c r="V984" s="8">
        <v>45.320600054550418</v>
      </c>
      <c r="W984" s="8">
        <v>3</v>
      </c>
      <c r="X984" s="8"/>
    </row>
    <row r="985" spans="1:24" x14ac:dyDescent="0.3">
      <c r="A985" s="1" t="s">
        <v>2288</v>
      </c>
      <c r="B985" s="1" t="s">
        <v>88</v>
      </c>
      <c r="C985" s="1" t="s">
        <v>82</v>
      </c>
      <c r="D985" s="1" t="s">
        <v>86</v>
      </c>
      <c r="F985" s="1">
        <v>2003</v>
      </c>
      <c r="J985" s="6">
        <v>6997</v>
      </c>
      <c r="K985" s="6">
        <v>3437</v>
      </c>
      <c r="L985" s="21">
        <v>0.49121051879376876</v>
      </c>
      <c r="M985" s="1">
        <v>40</v>
      </c>
      <c r="N985" s="1" t="s">
        <v>28</v>
      </c>
      <c r="O985" s="1" t="s">
        <v>18</v>
      </c>
      <c r="P985" s="1" t="s">
        <v>18</v>
      </c>
      <c r="Q985" s="22" t="s">
        <v>18</v>
      </c>
      <c r="R985" s="8">
        <v>38.792876947263117</v>
      </c>
      <c r="S985" s="9">
        <v>2</v>
      </c>
      <c r="T985" s="8">
        <v>36.800245819636991</v>
      </c>
      <c r="U985" s="9">
        <v>2</v>
      </c>
      <c r="V985" s="8">
        <v>40.601369158210666</v>
      </c>
      <c r="W985" s="8">
        <v>2</v>
      </c>
      <c r="X985" s="8"/>
    </row>
    <row r="986" spans="1:24" x14ac:dyDescent="0.3">
      <c r="A986" s="1" t="s">
        <v>2086</v>
      </c>
      <c r="B986" s="1" t="s">
        <v>2087</v>
      </c>
      <c r="C986" s="1" t="s">
        <v>82</v>
      </c>
      <c r="D986" s="1" t="s">
        <v>86</v>
      </c>
      <c r="F986" s="1">
        <v>2019</v>
      </c>
      <c r="G986" s="1" t="s">
        <v>25</v>
      </c>
      <c r="H986" s="1">
        <v>2018</v>
      </c>
      <c r="I986" s="1" t="s">
        <v>1601</v>
      </c>
      <c r="J986" s="6">
        <v>15888</v>
      </c>
      <c r="K986" s="6">
        <v>9207</v>
      </c>
      <c r="L986" s="21">
        <v>0.57949395770392753</v>
      </c>
      <c r="M986" s="1">
        <v>0</v>
      </c>
      <c r="N986" s="1" t="s">
        <v>28</v>
      </c>
      <c r="O986" s="1" t="s">
        <v>18</v>
      </c>
      <c r="P986" s="1" t="s">
        <v>18</v>
      </c>
      <c r="Q986" s="22" t="s">
        <v>18</v>
      </c>
      <c r="R986" s="8">
        <v>15.09308912386707</v>
      </c>
      <c r="S986" s="9">
        <v>1</v>
      </c>
      <c r="T986" s="8">
        <v>20.821223564954682</v>
      </c>
      <c r="U986" s="9">
        <v>1</v>
      </c>
      <c r="V986" s="8">
        <v>40.580324773413892</v>
      </c>
      <c r="W986" s="8">
        <v>1</v>
      </c>
      <c r="X986" s="8"/>
    </row>
    <row r="987" spans="1:24" x14ac:dyDescent="0.3">
      <c r="A987" s="1" t="s">
        <v>395</v>
      </c>
      <c r="B987" s="1" t="s">
        <v>396</v>
      </c>
      <c r="C987" s="1" t="s">
        <v>134</v>
      </c>
      <c r="D987" s="1" t="s">
        <v>397</v>
      </c>
      <c r="F987" s="1">
        <v>2010</v>
      </c>
      <c r="J987" s="6">
        <v>9764</v>
      </c>
      <c r="K987" s="6">
        <v>6205</v>
      </c>
      <c r="L987" s="21">
        <v>0.63549774682507165</v>
      </c>
      <c r="M987" s="1">
        <v>0</v>
      </c>
      <c r="N987" s="1" t="s">
        <v>28</v>
      </c>
      <c r="O987" s="1" t="s">
        <v>18</v>
      </c>
      <c r="P987" s="1" t="s">
        <v>18</v>
      </c>
      <c r="Q987" s="22" t="s">
        <v>18</v>
      </c>
      <c r="R987" s="8">
        <v>411.33167759115116</v>
      </c>
      <c r="S987" s="9">
        <v>12</v>
      </c>
      <c r="T987" s="8">
        <v>461.57699201147074</v>
      </c>
      <c r="U987" s="9">
        <v>12</v>
      </c>
      <c r="V987" s="8">
        <v>477.76715997541987</v>
      </c>
      <c r="W987" s="8">
        <v>12</v>
      </c>
      <c r="X987" s="8"/>
    </row>
    <row r="988" spans="1:24" x14ac:dyDescent="0.3">
      <c r="A988" s="1" t="s">
        <v>1939</v>
      </c>
      <c r="B988" s="1" t="s">
        <v>1464</v>
      </c>
      <c r="C988" s="1" t="s">
        <v>134</v>
      </c>
      <c r="D988" s="1" t="s">
        <v>397</v>
      </c>
      <c r="F988" s="1">
        <v>2008</v>
      </c>
      <c r="G988" s="1" t="s">
        <v>25</v>
      </c>
      <c r="H988" s="1">
        <v>2022</v>
      </c>
      <c r="I988" s="1" t="s">
        <v>1599</v>
      </c>
      <c r="J988" s="6">
        <v>13691</v>
      </c>
      <c r="K988" s="6">
        <v>1962</v>
      </c>
      <c r="L988" s="21">
        <v>0.14330582134248776</v>
      </c>
      <c r="M988" s="1">
        <v>0</v>
      </c>
      <c r="N988" s="1" t="s">
        <v>28</v>
      </c>
      <c r="O988" s="1" t="s">
        <v>18</v>
      </c>
      <c r="P988" s="1" t="s">
        <v>18</v>
      </c>
      <c r="Q988" s="22" t="s">
        <v>18</v>
      </c>
      <c r="R988" s="8">
        <v>198.24990139507705</v>
      </c>
      <c r="S988" s="9">
        <v>8</v>
      </c>
      <c r="T988" s="8">
        <v>227.1958658973048</v>
      </c>
      <c r="U988" s="9">
        <v>11</v>
      </c>
      <c r="V988" s="8">
        <v>232.28271857424588</v>
      </c>
      <c r="W988" s="8">
        <v>11</v>
      </c>
      <c r="X988" s="8"/>
    </row>
    <row r="989" spans="1:24" x14ac:dyDescent="0.3">
      <c r="A989" s="1" t="s">
        <v>2540</v>
      </c>
      <c r="B989" s="1" t="s">
        <v>1481</v>
      </c>
      <c r="C989" s="1" t="s">
        <v>134</v>
      </c>
      <c r="D989" s="1" t="s">
        <v>397</v>
      </c>
      <c r="F989" s="1">
        <v>2011</v>
      </c>
      <c r="G989" s="1" t="s">
        <v>21</v>
      </c>
      <c r="H989" s="1">
        <v>2016</v>
      </c>
      <c r="I989" s="1" t="s">
        <v>1603</v>
      </c>
      <c r="J989" s="6">
        <v>11800</v>
      </c>
      <c r="K989" s="6">
        <v>1400</v>
      </c>
      <c r="L989" s="21">
        <v>0.11864406779661017</v>
      </c>
      <c r="M989" s="1">
        <v>0</v>
      </c>
      <c r="N989" s="1" t="s">
        <v>28</v>
      </c>
      <c r="O989" s="1" t="s">
        <v>18</v>
      </c>
      <c r="P989" s="1" t="s">
        <v>18</v>
      </c>
      <c r="Q989" s="22" t="s">
        <v>18</v>
      </c>
      <c r="R989" s="8">
        <v>212.15495338983052</v>
      </c>
      <c r="S989" s="9">
        <v>11</v>
      </c>
      <c r="T989" s="8">
        <v>205.72212711864407</v>
      </c>
      <c r="U989" s="9">
        <v>10</v>
      </c>
      <c r="V989" s="8">
        <v>218.04701694915252</v>
      </c>
      <c r="W989" s="8">
        <v>10</v>
      </c>
      <c r="X989" s="8"/>
    </row>
    <row r="990" spans="1:24" x14ac:dyDescent="0.3">
      <c r="A990" s="1" t="s">
        <v>2406</v>
      </c>
      <c r="B990" s="1" t="s">
        <v>2407</v>
      </c>
      <c r="C990" s="1" t="s">
        <v>134</v>
      </c>
      <c r="D990" s="1" t="s">
        <v>397</v>
      </c>
      <c r="F990" s="1">
        <v>1970</v>
      </c>
      <c r="J990" s="6">
        <v>3110</v>
      </c>
      <c r="K990" s="6">
        <v>211</v>
      </c>
      <c r="L990" s="21">
        <v>6.7845659163987132E-2</v>
      </c>
      <c r="M990" s="1">
        <v>0</v>
      </c>
      <c r="N990" s="1" t="s">
        <v>1787</v>
      </c>
      <c r="P990" s="1" t="s">
        <v>18</v>
      </c>
      <c r="Q990" s="22" t="s">
        <v>18</v>
      </c>
      <c r="R990" s="8">
        <v>174.49271061093245</v>
      </c>
      <c r="S990" s="9">
        <v>7</v>
      </c>
      <c r="T990" s="8">
        <v>186.88688102893889</v>
      </c>
      <c r="U990" s="9">
        <v>9</v>
      </c>
      <c r="V990" s="8">
        <v>182.28805466237941</v>
      </c>
      <c r="W990" s="8">
        <v>9</v>
      </c>
      <c r="X990" s="8"/>
    </row>
    <row r="991" spans="1:24" x14ac:dyDescent="0.3">
      <c r="A991" s="1" t="s">
        <v>2168</v>
      </c>
      <c r="B991" s="1" t="s">
        <v>426</v>
      </c>
      <c r="C991" s="1" t="s">
        <v>134</v>
      </c>
      <c r="D991" s="1" t="s">
        <v>397</v>
      </c>
      <c r="F991" s="1">
        <v>2014</v>
      </c>
      <c r="G991" s="1" t="s">
        <v>21</v>
      </c>
      <c r="H991" s="1">
        <v>2012</v>
      </c>
      <c r="I991" s="1" t="s">
        <v>1603</v>
      </c>
      <c r="J991" s="6">
        <v>241796</v>
      </c>
      <c r="K991" s="6">
        <v>100810</v>
      </c>
      <c r="L991" s="21">
        <v>0.41692170259226785</v>
      </c>
      <c r="M991" s="1">
        <v>0</v>
      </c>
      <c r="N991" s="1" t="s">
        <v>1589</v>
      </c>
      <c r="O991" s="1">
        <v>9</v>
      </c>
      <c r="P991" s="1">
        <v>0.73</v>
      </c>
      <c r="Q991" s="22">
        <v>44325</v>
      </c>
      <c r="R991" s="8">
        <v>200.84158625452861</v>
      </c>
      <c r="S991" s="9">
        <v>9</v>
      </c>
      <c r="T991" s="8">
        <v>171.93960040695461</v>
      </c>
      <c r="U991" s="9">
        <v>8</v>
      </c>
      <c r="V991" s="8">
        <v>170.22311973729921</v>
      </c>
      <c r="W991" s="8">
        <v>8</v>
      </c>
      <c r="X991" s="8"/>
    </row>
    <row r="992" spans="1:24" x14ac:dyDescent="0.3">
      <c r="A992" s="1" t="s">
        <v>1941</v>
      </c>
      <c r="B992" s="1" t="s">
        <v>1942</v>
      </c>
      <c r="C992" s="1" t="s">
        <v>134</v>
      </c>
      <c r="D992" s="1" t="s">
        <v>397</v>
      </c>
      <c r="F992" s="1">
        <v>1973</v>
      </c>
      <c r="J992" s="6">
        <v>13744.7125</v>
      </c>
      <c r="K992" s="6">
        <v>2000</v>
      </c>
      <c r="L992" s="21">
        <v>0.14551050085623835</v>
      </c>
      <c r="M992" s="1">
        <v>0</v>
      </c>
      <c r="N992" s="1" t="s">
        <v>1821</v>
      </c>
      <c r="O992" s="1" t="s">
        <v>18</v>
      </c>
      <c r="P992" s="1" t="s">
        <v>18</v>
      </c>
      <c r="Q992" s="22" t="s">
        <v>18</v>
      </c>
      <c r="R992" s="8">
        <v>204.93061459088358</v>
      </c>
      <c r="S992" s="9">
        <v>10</v>
      </c>
      <c r="T992" s="8">
        <v>150.52485310260218</v>
      </c>
      <c r="U992" s="9">
        <v>7</v>
      </c>
      <c r="V992" s="8">
        <v>167.05762161267469</v>
      </c>
      <c r="W992" s="8">
        <v>7</v>
      </c>
      <c r="X992" s="8"/>
    </row>
    <row r="993" spans="1:24" x14ac:dyDescent="0.3">
      <c r="A993" s="1" t="s">
        <v>2165</v>
      </c>
      <c r="B993" s="1" t="s">
        <v>2616</v>
      </c>
      <c r="C993" s="1" t="s">
        <v>134</v>
      </c>
      <c r="D993" s="1" t="s">
        <v>397</v>
      </c>
      <c r="F993" s="1">
        <v>1989</v>
      </c>
      <c r="J993" s="6">
        <v>32411</v>
      </c>
      <c r="K993" s="6">
        <v>20000</v>
      </c>
      <c r="L993" s="21">
        <v>0.61707445003239636</v>
      </c>
      <c r="M993" s="1">
        <v>0</v>
      </c>
      <c r="N993" s="1" t="s">
        <v>1589</v>
      </c>
      <c r="O993" s="1">
        <v>19</v>
      </c>
      <c r="P993" s="1">
        <v>0.91</v>
      </c>
      <c r="Q993" s="22">
        <v>41313</v>
      </c>
      <c r="R993" s="8">
        <v>76.737095430563699</v>
      </c>
      <c r="S993" s="9">
        <v>4</v>
      </c>
      <c r="T993" s="8">
        <v>87.72618863965937</v>
      </c>
      <c r="U993" s="9">
        <v>5</v>
      </c>
      <c r="V993" s="8">
        <v>123.09149671407856</v>
      </c>
      <c r="W993" s="8">
        <v>6</v>
      </c>
      <c r="X993" s="8"/>
    </row>
    <row r="994" spans="1:24" x14ac:dyDescent="0.3">
      <c r="A994" s="1" t="s">
        <v>1472</v>
      </c>
      <c r="B994" s="1" t="s">
        <v>2609</v>
      </c>
      <c r="C994" s="1" t="s">
        <v>134</v>
      </c>
      <c r="D994" s="1" t="s">
        <v>397</v>
      </c>
      <c r="F994" s="1">
        <v>2000</v>
      </c>
      <c r="G994" s="1" t="s">
        <v>25</v>
      </c>
      <c r="H994" s="1">
        <v>2022</v>
      </c>
      <c r="I994" s="1" t="s">
        <v>1924</v>
      </c>
      <c r="J994" s="6">
        <v>18893</v>
      </c>
      <c r="K994" s="6">
        <v>865</v>
      </c>
      <c r="L994" s="21">
        <v>4.5784152860847936E-2</v>
      </c>
      <c r="M994" s="1">
        <v>0</v>
      </c>
      <c r="N994" s="1" t="s">
        <v>28</v>
      </c>
      <c r="Q994" s="22"/>
      <c r="R994" s="8">
        <v>96.409410892923304</v>
      </c>
      <c r="S994" s="9">
        <v>6</v>
      </c>
      <c r="T994" s="8">
        <v>94.35192928597894</v>
      </c>
      <c r="U994" s="9">
        <v>6</v>
      </c>
      <c r="V994" s="8">
        <v>103.46771290954322</v>
      </c>
      <c r="W994" s="8">
        <v>5</v>
      </c>
      <c r="X994" s="8"/>
    </row>
    <row r="995" spans="1:24" x14ac:dyDescent="0.3">
      <c r="A995" s="1" t="s">
        <v>2519</v>
      </c>
      <c r="B995" s="1" t="s">
        <v>2520</v>
      </c>
      <c r="C995" s="1" t="s">
        <v>134</v>
      </c>
      <c r="D995" s="1" t="s">
        <v>397</v>
      </c>
      <c r="F995" s="1">
        <v>2006</v>
      </c>
      <c r="G995" s="1" t="s">
        <v>25</v>
      </c>
      <c r="H995" s="1">
        <v>2022</v>
      </c>
      <c r="I995" s="1" t="s">
        <v>1599</v>
      </c>
      <c r="J995" s="6">
        <v>29752</v>
      </c>
      <c r="K995" s="6">
        <v>1735</v>
      </c>
      <c r="L995" s="21">
        <v>5.8315407367571931E-2</v>
      </c>
      <c r="M995" s="1">
        <v>0</v>
      </c>
      <c r="N995" s="1" t="s">
        <v>1821</v>
      </c>
      <c r="O995" s="1" t="s">
        <v>18</v>
      </c>
      <c r="P995" s="1" t="s">
        <v>18</v>
      </c>
      <c r="Q995" s="22" t="s">
        <v>18</v>
      </c>
      <c r="R995" s="8">
        <v>84.135553912342033</v>
      </c>
      <c r="S995" s="9">
        <v>5</v>
      </c>
      <c r="T995" s="8">
        <v>83.750618445818759</v>
      </c>
      <c r="U995" s="9">
        <v>4</v>
      </c>
      <c r="V995" s="8">
        <v>86.390561979026614</v>
      </c>
      <c r="W995" s="8">
        <v>4</v>
      </c>
      <c r="X995" s="8"/>
    </row>
    <row r="996" spans="1:24" x14ac:dyDescent="0.3">
      <c r="A996" s="1" t="s">
        <v>1790</v>
      </c>
      <c r="B996" s="1" t="s">
        <v>883</v>
      </c>
      <c r="C996" s="1" t="s">
        <v>134</v>
      </c>
      <c r="D996" s="1" t="s">
        <v>397</v>
      </c>
      <c r="F996" s="1">
        <v>2003</v>
      </c>
      <c r="G996" s="1" t="s">
        <v>25</v>
      </c>
      <c r="H996" s="1">
        <v>2022</v>
      </c>
      <c r="I996" s="1" t="s">
        <v>1599</v>
      </c>
      <c r="J996" s="6">
        <v>25900</v>
      </c>
      <c r="K996" s="6">
        <v>400</v>
      </c>
      <c r="L996" s="21">
        <v>1.5444015444015444E-2</v>
      </c>
      <c r="M996" s="1">
        <v>0</v>
      </c>
      <c r="N996" s="1" t="s">
        <v>28</v>
      </c>
      <c r="O996" s="1" t="s">
        <v>18</v>
      </c>
      <c r="P996" s="1" t="s">
        <v>18</v>
      </c>
      <c r="Q996" s="22" t="s">
        <v>18</v>
      </c>
      <c r="R996" s="8">
        <v>55.207725868725873</v>
      </c>
      <c r="S996" s="9">
        <v>2</v>
      </c>
      <c r="T996" s="8">
        <v>48.926623552123552</v>
      </c>
      <c r="U996" s="9">
        <v>2</v>
      </c>
      <c r="V996" s="8">
        <v>77.169202702702705</v>
      </c>
      <c r="W996" s="8">
        <v>3</v>
      </c>
      <c r="X996" s="8"/>
    </row>
    <row r="997" spans="1:24" x14ac:dyDescent="0.3">
      <c r="A997" s="1" t="s">
        <v>1838</v>
      </c>
      <c r="B997" s="1" t="s">
        <v>984</v>
      </c>
      <c r="C997" s="1" t="s">
        <v>134</v>
      </c>
      <c r="D997" s="1" t="s">
        <v>397</v>
      </c>
      <c r="F997" s="1">
        <v>1990</v>
      </c>
      <c r="J997" s="6">
        <v>5091</v>
      </c>
      <c r="K997" s="6">
        <v>300</v>
      </c>
      <c r="L997" s="21">
        <v>5.8927519151443723E-2</v>
      </c>
      <c r="M997" s="1">
        <v>0</v>
      </c>
      <c r="N997" s="1" t="s">
        <v>28</v>
      </c>
      <c r="O997" s="1" t="s">
        <v>18</v>
      </c>
      <c r="P997" s="1" t="s">
        <v>18</v>
      </c>
      <c r="Q997" s="22" t="s">
        <v>18</v>
      </c>
      <c r="R997" s="8">
        <v>73.165354547240227</v>
      </c>
      <c r="S997" s="9">
        <v>3</v>
      </c>
      <c r="T997" s="8">
        <v>56.009434295816149</v>
      </c>
      <c r="U997" s="9">
        <v>3</v>
      </c>
      <c r="V997" s="8">
        <v>69.183058338243967</v>
      </c>
      <c r="W997" s="8">
        <v>2</v>
      </c>
      <c r="X997" s="8"/>
    </row>
    <row r="998" spans="1:24" x14ac:dyDescent="0.3">
      <c r="A998" s="1" t="s">
        <v>1476</v>
      </c>
      <c r="B998" s="1" t="s">
        <v>1477</v>
      </c>
      <c r="C998" s="1" t="s">
        <v>134</v>
      </c>
      <c r="D998" s="1" t="s">
        <v>397</v>
      </c>
      <c r="F998" s="1">
        <v>1981</v>
      </c>
      <c r="J998" s="6">
        <v>21600</v>
      </c>
      <c r="K998" s="6">
        <v>800</v>
      </c>
      <c r="L998" s="21">
        <v>3.7037037037037035E-2</v>
      </c>
      <c r="M998" s="1">
        <v>0</v>
      </c>
      <c r="N998" s="1" t="s">
        <v>28</v>
      </c>
      <c r="O998" s="1" t="s">
        <v>18</v>
      </c>
      <c r="P998" s="1" t="s">
        <v>18</v>
      </c>
      <c r="Q998" s="22" t="s">
        <v>18</v>
      </c>
      <c r="R998" s="8">
        <v>7.7641773148148152</v>
      </c>
      <c r="S998" s="9">
        <v>1</v>
      </c>
      <c r="T998" s="8">
        <v>11.699666666666666</v>
      </c>
      <c r="U998" s="9">
        <v>1</v>
      </c>
      <c r="V998" s="8">
        <v>11.34675</v>
      </c>
      <c r="W998" s="8">
        <v>1</v>
      </c>
      <c r="X998" s="8"/>
    </row>
    <row r="999" spans="1:24" x14ac:dyDescent="0.3">
      <c r="A999" s="1" t="s">
        <v>2413</v>
      </c>
      <c r="B999" s="1" t="s">
        <v>2414</v>
      </c>
      <c r="C999" s="1" t="s">
        <v>134</v>
      </c>
      <c r="D999" s="1" t="s">
        <v>397</v>
      </c>
      <c r="F999" s="1">
        <v>1993</v>
      </c>
      <c r="J999" s="6">
        <v>9406</v>
      </c>
      <c r="K999" s="6">
        <v>2533</v>
      </c>
      <c r="L999" s="21">
        <v>0.26929619391877524</v>
      </c>
      <c r="M999" s="1">
        <v>0</v>
      </c>
      <c r="N999" s="1" t="s">
        <v>28</v>
      </c>
      <c r="O999" s="1" t="s">
        <v>18</v>
      </c>
      <c r="P999" s="1" t="s">
        <v>18</v>
      </c>
      <c r="Q999" s="22" t="s">
        <v>18</v>
      </c>
      <c r="R999" s="8">
        <v>0</v>
      </c>
      <c r="S999" s="9" t="s">
        <v>18</v>
      </c>
      <c r="T999" s="8">
        <v>0</v>
      </c>
      <c r="U999" s="9" t="s">
        <v>18</v>
      </c>
      <c r="V999" s="8">
        <v>0</v>
      </c>
      <c r="W999" s="8" t="s">
        <v>18</v>
      </c>
      <c r="X999" s="8"/>
    </row>
    <row r="1000" spans="1:24" x14ac:dyDescent="0.3">
      <c r="A1000" s="1" t="s">
        <v>2532</v>
      </c>
      <c r="B1000" s="1" t="s">
        <v>2533</v>
      </c>
      <c r="C1000" s="1" t="s">
        <v>134</v>
      </c>
      <c r="D1000" s="1" t="s">
        <v>397</v>
      </c>
      <c r="F1000" s="1">
        <v>1990</v>
      </c>
      <c r="J1000" s="6">
        <v>2072</v>
      </c>
      <c r="K1000" s="6">
        <v>100</v>
      </c>
      <c r="L1000" s="21">
        <v>4.8262548262548263E-2</v>
      </c>
      <c r="M1000" s="1">
        <v>0</v>
      </c>
      <c r="N1000" s="1" t="s">
        <v>28</v>
      </c>
      <c r="O1000" s="1" t="s">
        <v>18</v>
      </c>
      <c r="P1000" s="1" t="s">
        <v>18</v>
      </c>
      <c r="Q1000" s="22" t="s">
        <v>18</v>
      </c>
      <c r="R1000" s="8">
        <v>0</v>
      </c>
      <c r="S1000" s="9" t="s">
        <v>18</v>
      </c>
      <c r="T1000" s="8">
        <v>0</v>
      </c>
      <c r="U1000" s="9" t="s">
        <v>18</v>
      </c>
      <c r="V1000" s="8">
        <v>0</v>
      </c>
      <c r="W1000" s="8" t="s">
        <v>18</v>
      </c>
      <c r="X1000" s="8"/>
    </row>
    <row r="1001" spans="1:24" x14ac:dyDescent="0.3">
      <c r="A1001" s="1" t="s">
        <v>787</v>
      </c>
      <c r="B1001" s="1" t="s">
        <v>2611</v>
      </c>
      <c r="C1001" s="1" t="s">
        <v>134</v>
      </c>
      <c r="D1001" s="1" t="s">
        <v>397</v>
      </c>
      <c r="F1001" s="1">
        <v>1998</v>
      </c>
      <c r="J1001" s="6">
        <v>41641.4</v>
      </c>
      <c r="K1001" s="6">
        <v>0</v>
      </c>
      <c r="L1001" s="21">
        <v>0</v>
      </c>
      <c r="M1001" s="1">
        <v>0</v>
      </c>
      <c r="N1001" s="1" t="s">
        <v>28</v>
      </c>
      <c r="O1001" s="1" t="s">
        <v>18</v>
      </c>
      <c r="P1001" s="1" t="s">
        <v>18</v>
      </c>
      <c r="Q1001" s="22" t="s">
        <v>18</v>
      </c>
      <c r="R1001" s="8"/>
      <c r="S1001" s="9" t="s">
        <v>18</v>
      </c>
      <c r="T1001" s="8"/>
      <c r="U1001" s="9" t="s">
        <v>18</v>
      </c>
      <c r="V1001" s="8"/>
      <c r="W1001" s="8" t="s">
        <v>18</v>
      </c>
      <c r="X1001" s="8"/>
    </row>
    <row r="1002" spans="1:24" x14ac:dyDescent="0.3">
      <c r="A1002" s="1" t="s">
        <v>2295</v>
      </c>
      <c r="B1002" s="1" t="s">
        <v>2296</v>
      </c>
      <c r="C1002" s="1" t="s">
        <v>134</v>
      </c>
      <c r="D1002" s="1" t="s">
        <v>397</v>
      </c>
      <c r="F1002" s="1">
        <v>2015</v>
      </c>
      <c r="G1002" s="1" t="s">
        <v>19</v>
      </c>
      <c r="H1002" s="1">
        <v>2019</v>
      </c>
      <c r="I1002" s="1" t="s">
        <v>1600</v>
      </c>
      <c r="J1002" s="6">
        <v>9066</v>
      </c>
      <c r="K1002" s="6">
        <v>3392</v>
      </c>
      <c r="L1002" s="21">
        <v>0.37414515773218621</v>
      </c>
      <c r="M1002" s="1">
        <v>0</v>
      </c>
      <c r="N1002" s="1" t="s">
        <v>1589</v>
      </c>
      <c r="O1002" s="1">
        <v>7</v>
      </c>
      <c r="P1002" s="1">
        <v>0.65</v>
      </c>
      <c r="Q1002" s="22">
        <v>45078</v>
      </c>
      <c r="R1002" s="8"/>
      <c r="S1002" s="9" t="s">
        <v>18</v>
      </c>
      <c r="T1002" s="8"/>
      <c r="U1002" s="9" t="s">
        <v>18</v>
      </c>
      <c r="V1002" s="8"/>
      <c r="W1002" s="8" t="s">
        <v>18</v>
      </c>
      <c r="X1002" s="8"/>
    </row>
    <row r="1003" spans="1:24" x14ac:dyDescent="0.3">
      <c r="A1003" s="1" t="s">
        <v>2403</v>
      </c>
      <c r="B1003" s="1" t="s">
        <v>376</v>
      </c>
      <c r="C1003" s="1" t="s">
        <v>134</v>
      </c>
      <c r="D1003" s="1" t="s">
        <v>133</v>
      </c>
      <c r="F1003" s="1">
        <v>1981</v>
      </c>
      <c r="J1003" s="6">
        <v>3945</v>
      </c>
      <c r="K1003" s="6">
        <v>4358</v>
      </c>
      <c r="L1003" s="21">
        <v>1.1046894803548797</v>
      </c>
      <c r="M1003" s="1">
        <v>0</v>
      </c>
      <c r="N1003" s="1" t="s">
        <v>1590</v>
      </c>
      <c r="O1003" s="1" t="s">
        <v>18</v>
      </c>
      <c r="P1003" s="1" t="s">
        <v>18</v>
      </c>
      <c r="Q1003" s="22" t="s">
        <v>18</v>
      </c>
      <c r="R1003" s="8">
        <v>483.03705196451205</v>
      </c>
      <c r="S1003" s="9">
        <v>44</v>
      </c>
      <c r="T1003" s="8">
        <v>524.59098859315588</v>
      </c>
      <c r="U1003" s="9" t="e">
        <f>U1002+1</f>
        <v>#VALUE!</v>
      </c>
      <c r="V1003" s="8">
        <v>560.59076045627376</v>
      </c>
      <c r="W1003" s="8">
        <v>48</v>
      </c>
      <c r="X1003" s="8"/>
    </row>
    <row r="1004" spans="1:24" x14ac:dyDescent="0.3">
      <c r="A1004" s="1" t="s">
        <v>1008</v>
      </c>
      <c r="B1004" s="1" t="s">
        <v>1009</v>
      </c>
      <c r="C1004" s="1" t="s">
        <v>134</v>
      </c>
      <c r="D1004" s="1" t="s">
        <v>133</v>
      </c>
      <c r="F1004" s="1">
        <v>1973</v>
      </c>
      <c r="J1004" s="6">
        <v>374</v>
      </c>
      <c r="K1004" s="6">
        <v>4556</v>
      </c>
      <c r="L1004" s="21">
        <v>12.181818181818182</v>
      </c>
      <c r="M1004" s="1">
        <v>46</v>
      </c>
      <c r="N1004" s="1" t="s">
        <v>28</v>
      </c>
      <c r="O1004" s="1" t="s">
        <v>18</v>
      </c>
      <c r="P1004" s="1" t="s">
        <v>18</v>
      </c>
      <c r="Q1004" s="22" t="s">
        <v>18</v>
      </c>
      <c r="R1004" s="8">
        <v>1904.9043850267381</v>
      </c>
      <c r="S1004" s="9">
        <v>45</v>
      </c>
      <c r="T1004" s="8">
        <v>1790.1931818181815</v>
      </c>
      <c r="U1004" s="9" t="e">
        <f>U1003+1</f>
        <v>#VALUE!</v>
      </c>
      <c r="V1004" s="8">
        <v>552.0743582887701</v>
      </c>
      <c r="W1004" s="8">
        <v>47</v>
      </c>
      <c r="X1004" s="8"/>
    </row>
    <row r="1005" spans="1:24" x14ac:dyDescent="0.3">
      <c r="A1005" s="1" t="s">
        <v>2023</v>
      </c>
      <c r="B1005" s="1" t="s">
        <v>420</v>
      </c>
      <c r="C1005" s="1" t="s">
        <v>134</v>
      </c>
      <c r="D1005" s="1" t="s">
        <v>133</v>
      </c>
      <c r="F1005" s="1">
        <v>2003</v>
      </c>
      <c r="J1005" s="6">
        <v>18697</v>
      </c>
      <c r="K1005" s="6">
        <v>14957</v>
      </c>
      <c r="L1005" s="21">
        <v>0.79996790929026051</v>
      </c>
      <c r="M1005" s="1">
        <v>0</v>
      </c>
      <c r="N1005" s="1" t="s">
        <v>1589</v>
      </c>
      <c r="O1005" s="1">
        <v>12</v>
      </c>
      <c r="P1005" s="1" t="s">
        <v>18</v>
      </c>
      <c r="Q1005" s="22" t="s">
        <v>18</v>
      </c>
      <c r="R1005" s="8">
        <v>376.05929293469541</v>
      </c>
      <c r="S1005" s="9">
        <v>42</v>
      </c>
      <c r="T1005" s="8">
        <v>459.56467347702835</v>
      </c>
      <c r="U1005" s="9" t="e">
        <f>U1004+1</f>
        <v>#VALUE!</v>
      </c>
      <c r="V1005" s="8">
        <v>504.77734395892389</v>
      </c>
      <c r="W1005" s="8">
        <v>46</v>
      </c>
      <c r="X1005" s="8"/>
    </row>
    <row r="1006" spans="1:24" x14ac:dyDescent="0.3">
      <c r="A1006" s="1" t="s">
        <v>423</v>
      </c>
      <c r="B1006" s="1" t="s">
        <v>424</v>
      </c>
      <c r="C1006" s="1" t="s">
        <v>134</v>
      </c>
      <c r="D1006" s="1" t="s">
        <v>133</v>
      </c>
      <c r="F1006" s="1">
        <v>1998</v>
      </c>
      <c r="J1006" s="6">
        <v>7895</v>
      </c>
      <c r="K1006" s="6">
        <v>6049</v>
      </c>
      <c r="L1006" s="21">
        <v>0.76618112729575683</v>
      </c>
      <c r="M1006" s="1">
        <v>0</v>
      </c>
      <c r="N1006" s="1" t="s">
        <v>1589</v>
      </c>
      <c r="O1006" s="1">
        <v>26</v>
      </c>
      <c r="P1006" s="1">
        <v>1.52</v>
      </c>
      <c r="Q1006" s="22">
        <v>43380</v>
      </c>
      <c r="R1006" s="8">
        <v>439.57830018999368</v>
      </c>
      <c r="S1006" s="9">
        <v>43</v>
      </c>
      <c r="T1006" s="8">
        <v>449.52828752374921</v>
      </c>
      <c r="U1006" s="9" t="e">
        <f>U1005+1</f>
        <v>#VALUE!</v>
      </c>
      <c r="V1006" s="8">
        <v>459.87527042431918</v>
      </c>
      <c r="W1006" s="8">
        <v>45</v>
      </c>
      <c r="X1006" s="8"/>
    </row>
    <row r="1007" spans="1:24" x14ac:dyDescent="0.3">
      <c r="A1007" s="1" t="s">
        <v>2101</v>
      </c>
      <c r="B1007" s="1" t="s">
        <v>2102</v>
      </c>
      <c r="C1007" s="1" t="s">
        <v>134</v>
      </c>
      <c r="D1007" s="1" t="s">
        <v>133</v>
      </c>
      <c r="F1007" s="1">
        <v>2023</v>
      </c>
      <c r="J1007" s="6">
        <v>12001</v>
      </c>
      <c r="K1007" s="6">
        <v>7425</v>
      </c>
      <c r="L1007" s="21">
        <v>0.61869844179651701</v>
      </c>
      <c r="M1007" s="1">
        <v>0</v>
      </c>
      <c r="N1007" s="1" t="s">
        <v>1589</v>
      </c>
      <c r="O1007" s="1">
        <v>4</v>
      </c>
      <c r="P1007" s="1">
        <v>0.6</v>
      </c>
      <c r="Q1007" s="22">
        <v>44992</v>
      </c>
      <c r="R1007" s="8" t="s">
        <v>18</v>
      </c>
      <c r="S1007" s="9" t="s">
        <v>18</v>
      </c>
      <c r="T1007" s="8" t="s">
        <v>18</v>
      </c>
      <c r="U1007" s="9" t="s">
        <v>18</v>
      </c>
      <c r="V1007" s="8">
        <v>418.27776601949836</v>
      </c>
      <c r="W1007" s="8">
        <v>44</v>
      </c>
      <c r="X1007" s="8"/>
    </row>
    <row r="1008" spans="1:24" x14ac:dyDescent="0.3">
      <c r="A1008" s="1" t="s">
        <v>967</v>
      </c>
      <c r="B1008" s="1" t="s">
        <v>2510</v>
      </c>
      <c r="C1008" s="1" t="s">
        <v>134</v>
      </c>
      <c r="D1008" s="1" t="s">
        <v>133</v>
      </c>
      <c r="F1008" s="1">
        <v>1900</v>
      </c>
      <c r="G1008" s="1" t="s">
        <v>47</v>
      </c>
      <c r="H1008" s="1">
        <v>2019</v>
      </c>
      <c r="I1008" s="1" t="s">
        <v>1601</v>
      </c>
      <c r="J1008" s="6">
        <v>10707</v>
      </c>
      <c r="K1008" s="6">
        <v>7167</v>
      </c>
      <c r="L1008" s="21">
        <v>0.66937517511908096</v>
      </c>
      <c r="M1008" s="1">
        <v>16</v>
      </c>
      <c r="N1008" s="1" t="s">
        <v>1589</v>
      </c>
      <c r="O1008" s="1">
        <v>2</v>
      </c>
      <c r="P1008" s="1">
        <v>0.70499999999999996</v>
      </c>
      <c r="Q1008" s="22">
        <v>43619</v>
      </c>
      <c r="R1008" s="8">
        <v>308.40839637620252</v>
      </c>
      <c r="S1008" s="9">
        <v>41</v>
      </c>
      <c r="T1008" s="8">
        <v>335.00220416549922</v>
      </c>
      <c r="U1008" s="9" t="e">
        <f t="shared" ref="U1008:U1036" si="0">U1007+1</f>
        <v>#VALUE!</v>
      </c>
      <c r="V1008" s="8">
        <v>388.41353320257775</v>
      </c>
      <c r="W1008" s="8">
        <v>43</v>
      </c>
      <c r="X1008" s="8"/>
    </row>
    <row r="1009" spans="1:24" x14ac:dyDescent="0.3">
      <c r="A1009" s="1" t="s">
        <v>2546</v>
      </c>
      <c r="B1009" s="1" t="s">
        <v>1339</v>
      </c>
      <c r="C1009" s="1" t="s">
        <v>134</v>
      </c>
      <c r="D1009" s="1" t="s">
        <v>133</v>
      </c>
      <c r="F1009" s="1">
        <v>1993</v>
      </c>
      <c r="G1009" s="1" t="s">
        <v>19</v>
      </c>
      <c r="H1009" s="1">
        <v>2018</v>
      </c>
      <c r="I1009" s="1" t="s">
        <v>1601</v>
      </c>
      <c r="J1009" s="6">
        <v>12595</v>
      </c>
      <c r="K1009" s="6">
        <v>4334</v>
      </c>
      <c r="L1009" s="21">
        <v>0.3441048034934498</v>
      </c>
      <c r="M1009" s="1">
        <v>0</v>
      </c>
      <c r="N1009" s="1" t="s">
        <v>1590</v>
      </c>
      <c r="O1009" s="1" t="s">
        <v>18</v>
      </c>
      <c r="P1009" s="1">
        <v>0.88</v>
      </c>
      <c r="Q1009" s="22">
        <v>44126</v>
      </c>
      <c r="R1009" s="8">
        <v>281.41790948789202</v>
      </c>
      <c r="S1009" s="9">
        <v>40</v>
      </c>
      <c r="T1009" s="8">
        <v>334.49788487495039</v>
      </c>
      <c r="U1009" s="9" t="e">
        <f t="shared" si="0"/>
        <v>#VALUE!</v>
      </c>
      <c r="V1009" s="8">
        <v>352.59562842397781</v>
      </c>
      <c r="W1009" s="8">
        <v>42</v>
      </c>
      <c r="X1009" s="8"/>
    </row>
    <row r="1010" spans="1:24" x14ac:dyDescent="0.3">
      <c r="A1010" s="1" t="s">
        <v>2124</v>
      </c>
      <c r="B1010" s="1" t="s">
        <v>391</v>
      </c>
      <c r="C1010" s="1" t="s">
        <v>134</v>
      </c>
      <c r="D1010" s="1" t="s">
        <v>133</v>
      </c>
      <c r="F1010" s="1">
        <v>1998</v>
      </c>
      <c r="J1010" s="6">
        <v>15342</v>
      </c>
      <c r="K1010" s="6">
        <v>15200</v>
      </c>
      <c r="L1010" s="21">
        <v>0.99074436188241433</v>
      </c>
      <c r="M1010" s="1">
        <v>0</v>
      </c>
      <c r="N1010" s="1" t="s">
        <v>1589</v>
      </c>
      <c r="O1010" s="1">
        <v>24</v>
      </c>
      <c r="P1010" s="1" t="s">
        <v>18</v>
      </c>
      <c r="Q1010" s="22" t="s">
        <v>18</v>
      </c>
      <c r="R1010" s="8">
        <v>260.22903728327469</v>
      </c>
      <c r="S1010" s="9">
        <v>37</v>
      </c>
      <c r="T1010" s="8">
        <v>272.62285555990093</v>
      </c>
      <c r="U1010" s="9" t="e">
        <f t="shared" si="0"/>
        <v>#VALUE!</v>
      </c>
      <c r="V1010" s="8">
        <v>321.92853995567725</v>
      </c>
      <c r="W1010" s="8">
        <v>41</v>
      </c>
      <c r="X1010" s="8"/>
    </row>
    <row r="1011" spans="1:24" x14ac:dyDescent="0.3">
      <c r="A1011" s="1" t="s">
        <v>524</v>
      </c>
      <c r="B1011" s="1" t="s">
        <v>2217</v>
      </c>
      <c r="C1011" s="1" t="s">
        <v>134</v>
      </c>
      <c r="D1011" s="1" t="s">
        <v>133</v>
      </c>
      <c r="F1011" s="1">
        <v>2014</v>
      </c>
      <c r="J1011" s="6">
        <v>16902</v>
      </c>
      <c r="K1011" s="6">
        <v>14728</v>
      </c>
      <c r="L1011" s="21">
        <v>0.87137616850076915</v>
      </c>
      <c r="M1011" s="1">
        <v>0</v>
      </c>
      <c r="N1011" s="1" t="s">
        <v>28</v>
      </c>
      <c r="O1011" s="1" t="s">
        <v>18</v>
      </c>
      <c r="P1011" s="1" t="s">
        <v>18</v>
      </c>
      <c r="Q1011" s="22" t="s">
        <v>18</v>
      </c>
      <c r="R1011" s="8">
        <v>266.40416518755177</v>
      </c>
      <c r="S1011" s="9">
        <v>38</v>
      </c>
      <c r="T1011" s="8">
        <v>288.53127440539578</v>
      </c>
      <c r="U1011" s="9" t="e">
        <f t="shared" si="0"/>
        <v>#VALUE!</v>
      </c>
      <c r="V1011" s="8">
        <v>312.5050999881671</v>
      </c>
      <c r="W1011" s="8">
        <v>40</v>
      </c>
      <c r="X1011" s="8"/>
    </row>
    <row r="1012" spans="1:24" x14ac:dyDescent="0.3">
      <c r="A1012" s="1" t="s">
        <v>2118</v>
      </c>
      <c r="B1012" s="1" t="s">
        <v>2119</v>
      </c>
      <c r="C1012" s="1" t="s">
        <v>134</v>
      </c>
      <c r="D1012" s="1" t="s">
        <v>133</v>
      </c>
      <c r="F1012" s="1">
        <v>1999</v>
      </c>
      <c r="J1012" s="6">
        <v>17245</v>
      </c>
      <c r="K1012" s="6">
        <v>15660</v>
      </c>
      <c r="L1012" s="21">
        <v>0.90808930124673815</v>
      </c>
      <c r="M1012" s="1">
        <v>30</v>
      </c>
      <c r="N1012" s="1" t="s">
        <v>1589</v>
      </c>
      <c r="O1012" s="1">
        <v>23</v>
      </c>
      <c r="P1012" s="1" t="s">
        <v>18</v>
      </c>
      <c r="Q1012" s="22" t="s">
        <v>18</v>
      </c>
      <c r="R1012" s="8">
        <v>277.82157146999128</v>
      </c>
      <c r="S1012" s="9">
        <v>39</v>
      </c>
      <c r="T1012" s="8">
        <v>287.57118005218905</v>
      </c>
      <c r="U1012" s="9" t="e">
        <f t="shared" si="0"/>
        <v>#VALUE!</v>
      </c>
      <c r="V1012" s="8">
        <v>295.11110466801972</v>
      </c>
      <c r="W1012" s="8">
        <v>39</v>
      </c>
      <c r="X1012" s="8"/>
    </row>
    <row r="1013" spans="1:24" x14ac:dyDescent="0.3">
      <c r="A1013" s="1" t="s">
        <v>2070</v>
      </c>
      <c r="B1013" s="1" t="s">
        <v>1396</v>
      </c>
      <c r="C1013" s="1" t="s">
        <v>134</v>
      </c>
      <c r="D1013" s="1" t="s">
        <v>133</v>
      </c>
      <c r="F1013" s="1">
        <v>2002</v>
      </c>
      <c r="J1013" s="6">
        <v>4368</v>
      </c>
      <c r="K1013" s="6">
        <v>3848</v>
      </c>
      <c r="L1013" s="21">
        <v>0.88095238095238093</v>
      </c>
      <c r="M1013" s="1">
        <v>0</v>
      </c>
      <c r="N1013" s="1" t="s">
        <v>28</v>
      </c>
      <c r="O1013" s="1" t="s">
        <v>18</v>
      </c>
      <c r="P1013" s="1" t="s">
        <v>18</v>
      </c>
      <c r="Q1013" s="22" t="s">
        <v>18</v>
      </c>
      <c r="R1013" s="8">
        <v>232.88028846153847</v>
      </c>
      <c r="S1013" s="9">
        <v>33</v>
      </c>
      <c r="T1013" s="8">
        <v>248.78304945054947</v>
      </c>
      <c r="U1013" s="9" t="e">
        <f t="shared" si="0"/>
        <v>#VALUE!</v>
      </c>
      <c r="V1013" s="8">
        <v>286.56535714285712</v>
      </c>
      <c r="W1013" s="8">
        <v>38</v>
      </c>
      <c r="X1013" s="8"/>
    </row>
    <row r="1014" spans="1:24" x14ac:dyDescent="0.3">
      <c r="A1014" s="1" t="s">
        <v>1847</v>
      </c>
      <c r="B1014" s="1" t="s">
        <v>1492</v>
      </c>
      <c r="C1014" s="1" t="s">
        <v>134</v>
      </c>
      <c r="D1014" s="1" t="s">
        <v>133</v>
      </c>
      <c r="F1014" s="1">
        <v>1988</v>
      </c>
      <c r="J1014" s="6">
        <v>9921</v>
      </c>
      <c r="K1014" s="6">
        <v>4353</v>
      </c>
      <c r="L1014" s="21">
        <v>0.43876625340187481</v>
      </c>
      <c r="M1014" s="1">
        <v>0</v>
      </c>
      <c r="N1014" s="1" t="s">
        <v>28</v>
      </c>
      <c r="O1014" s="1" t="s">
        <v>18</v>
      </c>
      <c r="P1014" s="1" t="s">
        <v>18</v>
      </c>
      <c r="Q1014" s="22" t="s">
        <v>18</v>
      </c>
      <c r="R1014" s="8">
        <v>241.13261263985484</v>
      </c>
      <c r="S1014" s="9">
        <v>36</v>
      </c>
      <c r="T1014" s="8">
        <v>263.47926418707789</v>
      </c>
      <c r="U1014" s="9" t="e">
        <f t="shared" si="0"/>
        <v>#VALUE!</v>
      </c>
      <c r="V1014" s="8">
        <v>272.68886503376677</v>
      </c>
      <c r="W1014" s="8">
        <v>37</v>
      </c>
      <c r="X1014" s="8"/>
    </row>
    <row r="1015" spans="1:24" x14ac:dyDescent="0.3">
      <c r="A1015" s="1" t="s">
        <v>2297</v>
      </c>
      <c r="B1015" s="1" t="s">
        <v>2298</v>
      </c>
      <c r="C1015" s="1" t="s">
        <v>134</v>
      </c>
      <c r="D1015" s="1" t="s">
        <v>133</v>
      </c>
      <c r="F1015" s="1">
        <v>2000</v>
      </c>
      <c r="J1015" s="6">
        <v>11745</v>
      </c>
      <c r="K1015" s="6">
        <v>2593</v>
      </c>
      <c r="L1015" s="21">
        <v>0.22077479778629203</v>
      </c>
      <c r="M1015" s="1">
        <v>0</v>
      </c>
      <c r="N1015" s="1" t="s">
        <v>28</v>
      </c>
      <c r="O1015" s="1" t="s">
        <v>18</v>
      </c>
      <c r="P1015" s="1" t="s">
        <v>18</v>
      </c>
      <c r="Q1015" s="22" t="s">
        <v>18</v>
      </c>
      <c r="R1015" s="8">
        <v>240.96129076202638</v>
      </c>
      <c r="S1015" s="9">
        <v>35</v>
      </c>
      <c r="T1015" s="8">
        <v>252.28299957428695</v>
      </c>
      <c r="U1015" s="9" t="e">
        <f t="shared" si="0"/>
        <v>#VALUE!</v>
      </c>
      <c r="V1015" s="8">
        <v>258.15342699020857</v>
      </c>
      <c r="W1015" s="8">
        <v>36</v>
      </c>
      <c r="X1015" s="8"/>
    </row>
    <row r="1016" spans="1:24" x14ac:dyDescent="0.3">
      <c r="A1016" s="1" t="s">
        <v>1799</v>
      </c>
      <c r="B1016" s="1" t="s">
        <v>1800</v>
      </c>
      <c r="C1016" s="1" t="s">
        <v>134</v>
      </c>
      <c r="D1016" s="1" t="s">
        <v>133</v>
      </c>
      <c r="F1016" s="1">
        <v>2001</v>
      </c>
      <c r="J1016" s="6">
        <v>17141</v>
      </c>
      <c r="K1016" s="6">
        <v>10400</v>
      </c>
      <c r="L1016" s="21">
        <v>0.60673239600956774</v>
      </c>
      <c r="M1016" s="1">
        <v>0</v>
      </c>
      <c r="N1016" s="1" t="s">
        <v>28</v>
      </c>
      <c r="O1016" s="1" t="s">
        <v>18</v>
      </c>
      <c r="P1016" s="1" t="s">
        <v>18</v>
      </c>
      <c r="Q1016" s="22" t="s">
        <v>18</v>
      </c>
      <c r="R1016" s="8">
        <v>222.59050522139898</v>
      </c>
      <c r="S1016" s="9">
        <v>31</v>
      </c>
      <c r="T1016" s="8">
        <v>243.57465783793245</v>
      </c>
      <c r="U1016" s="9" t="e">
        <f t="shared" si="0"/>
        <v>#VALUE!</v>
      </c>
      <c r="V1016" s="8">
        <v>248.77376640802754</v>
      </c>
      <c r="W1016" s="8">
        <v>35</v>
      </c>
      <c r="X1016" s="8"/>
    </row>
    <row r="1017" spans="1:24" x14ac:dyDescent="0.3">
      <c r="A1017" s="1" t="s">
        <v>1086</v>
      </c>
      <c r="B1017" s="1" t="s">
        <v>1087</v>
      </c>
      <c r="C1017" s="1" t="s">
        <v>134</v>
      </c>
      <c r="D1017" s="1" t="s">
        <v>133</v>
      </c>
      <c r="F1017" s="1">
        <v>1935</v>
      </c>
      <c r="J1017" s="6">
        <v>20543.53</v>
      </c>
      <c r="K1017" s="6">
        <v>15000</v>
      </c>
      <c r="L1017" s="21">
        <v>0.73015689124507821</v>
      </c>
      <c r="M1017" s="1">
        <v>0</v>
      </c>
      <c r="N1017" s="1" t="s">
        <v>28</v>
      </c>
      <c r="O1017" s="1" t="s">
        <v>18</v>
      </c>
      <c r="P1017" s="1" t="s">
        <v>18</v>
      </c>
      <c r="Q1017" s="22" t="s">
        <v>18</v>
      </c>
      <c r="R1017" s="8">
        <v>213.89964382946846</v>
      </c>
      <c r="S1017" s="9">
        <v>30</v>
      </c>
      <c r="T1017" s="8">
        <v>229.91833341202801</v>
      </c>
      <c r="U1017" s="9" t="e">
        <f t="shared" si="0"/>
        <v>#VALUE!</v>
      </c>
      <c r="V1017" s="8">
        <v>242.70798397354301</v>
      </c>
      <c r="W1017" s="8">
        <v>34</v>
      </c>
      <c r="X1017" s="8"/>
    </row>
    <row r="1018" spans="1:24" x14ac:dyDescent="0.3">
      <c r="A1018" s="1" t="s">
        <v>2199</v>
      </c>
      <c r="B1018" s="1" t="s">
        <v>387</v>
      </c>
      <c r="C1018" s="1" t="s">
        <v>134</v>
      </c>
      <c r="D1018" s="1" t="s">
        <v>133</v>
      </c>
      <c r="F1018" s="1">
        <v>1996</v>
      </c>
      <c r="J1018" s="6">
        <v>12450</v>
      </c>
      <c r="K1018" s="6">
        <v>7000</v>
      </c>
      <c r="L1018" s="21">
        <v>0.56224899598393574</v>
      </c>
      <c r="M1018" s="1">
        <v>19</v>
      </c>
      <c r="N1018" s="1" t="s">
        <v>1589</v>
      </c>
      <c r="O1018" s="1">
        <v>0</v>
      </c>
      <c r="P1018" s="1" t="s">
        <v>18</v>
      </c>
      <c r="Q1018" s="22" t="s">
        <v>18</v>
      </c>
      <c r="R1018" s="8">
        <v>234.2847156626506</v>
      </c>
      <c r="S1018" s="9">
        <v>34</v>
      </c>
      <c r="T1018" s="8">
        <v>224.1404497991968</v>
      </c>
      <c r="U1018" s="9" t="e">
        <f t="shared" si="0"/>
        <v>#VALUE!</v>
      </c>
      <c r="V1018" s="8">
        <v>230.81339759036143</v>
      </c>
      <c r="W1018" s="8">
        <v>33</v>
      </c>
      <c r="X1018" s="8"/>
    </row>
    <row r="1019" spans="1:24" x14ac:dyDescent="0.3">
      <c r="A1019" s="1" t="s">
        <v>1585</v>
      </c>
      <c r="B1019" s="1" t="s">
        <v>2588</v>
      </c>
      <c r="C1019" s="1" t="s">
        <v>134</v>
      </c>
      <c r="D1019" s="1" t="s">
        <v>133</v>
      </c>
      <c r="F1019" s="1">
        <v>2001</v>
      </c>
      <c r="J1019" s="6">
        <v>12406</v>
      </c>
      <c r="K1019" s="6">
        <v>5500</v>
      </c>
      <c r="L1019" s="21">
        <v>0.44333387070772207</v>
      </c>
      <c r="M1019" s="1">
        <v>0</v>
      </c>
      <c r="N1019" s="1" t="s">
        <v>28</v>
      </c>
      <c r="Q1019" s="22"/>
      <c r="R1019" s="8">
        <v>105.00694019023054</v>
      </c>
      <c r="S1019" s="9">
        <v>16</v>
      </c>
      <c r="T1019" s="8">
        <v>113.46795743994841</v>
      </c>
      <c r="U1019" s="9" t="e">
        <f t="shared" si="0"/>
        <v>#VALUE!</v>
      </c>
      <c r="V1019" s="8">
        <v>222.10825004030309</v>
      </c>
      <c r="W1019" s="8">
        <v>32</v>
      </c>
      <c r="X1019" s="8"/>
    </row>
    <row r="1020" spans="1:24" x14ac:dyDescent="0.3">
      <c r="A1020" s="1" t="s">
        <v>1063</v>
      </c>
      <c r="B1020" s="1" t="s">
        <v>1064</v>
      </c>
      <c r="C1020" s="1" t="s">
        <v>134</v>
      </c>
      <c r="D1020" s="1" t="s">
        <v>133</v>
      </c>
      <c r="F1020" s="1">
        <v>2004</v>
      </c>
      <c r="J1020" s="6">
        <v>15949</v>
      </c>
      <c r="K1020" s="6">
        <v>13770</v>
      </c>
      <c r="L1020" s="21">
        <v>0.86337701423286728</v>
      </c>
      <c r="M1020" s="1">
        <v>0</v>
      </c>
      <c r="N1020" s="1" t="s">
        <v>28</v>
      </c>
      <c r="O1020" s="1" t="s">
        <v>18</v>
      </c>
      <c r="P1020" s="1" t="s">
        <v>18</v>
      </c>
      <c r="Q1020" s="22" t="s">
        <v>18</v>
      </c>
      <c r="R1020" s="8">
        <v>185.91290990030723</v>
      </c>
      <c r="S1020" s="9">
        <v>28</v>
      </c>
      <c r="T1020" s="8">
        <v>206.40753840366168</v>
      </c>
      <c r="U1020" s="9" t="e">
        <f t="shared" si="0"/>
        <v>#VALUE!</v>
      </c>
      <c r="V1020" s="8">
        <v>218.52710828265094</v>
      </c>
      <c r="W1020" s="8">
        <v>31</v>
      </c>
      <c r="X1020" s="8"/>
    </row>
    <row r="1021" spans="1:24" x14ac:dyDescent="0.3">
      <c r="A1021" s="1" t="s">
        <v>1478</v>
      </c>
      <c r="B1021" s="1" t="s">
        <v>1479</v>
      </c>
      <c r="C1021" s="1" t="s">
        <v>134</v>
      </c>
      <c r="D1021" s="1" t="s">
        <v>133</v>
      </c>
      <c r="F1021" s="1">
        <v>1994</v>
      </c>
      <c r="J1021" s="6">
        <v>16450.48</v>
      </c>
      <c r="K1021" s="6">
        <v>4350</v>
      </c>
      <c r="L1021" s="21">
        <v>0.26442997407978369</v>
      </c>
      <c r="M1021" s="1">
        <v>0</v>
      </c>
      <c r="N1021" s="1" t="s">
        <v>28</v>
      </c>
      <c r="O1021" s="1" t="s">
        <v>18</v>
      </c>
      <c r="P1021" s="1" t="s">
        <v>18</v>
      </c>
      <c r="Q1021" s="22" t="s">
        <v>18</v>
      </c>
      <c r="R1021" s="8">
        <v>182.85795490465932</v>
      </c>
      <c r="S1021" s="9">
        <v>27</v>
      </c>
      <c r="T1021" s="8">
        <v>208.51696303086598</v>
      </c>
      <c r="U1021" s="9" t="e">
        <f t="shared" si="0"/>
        <v>#VALUE!</v>
      </c>
      <c r="V1021" s="8">
        <v>216.55129819920148</v>
      </c>
      <c r="W1021" s="8">
        <v>30</v>
      </c>
      <c r="X1021" s="8"/>
    </row>
    <row r="1022" spans="1:24" x14ac:dyDescent="0.3">
      <c r="A1022" s="1" t="s">
        <v>384</v>
      </c>
      <c r="B1022" s="1" t="s">
        <v>385</v>
      </c>
      <c r="C1022" s="1" t="s">
        <v>134</v>
      </c>
      <c r="D1022" s="1" t="s">
        <v>133</v>
      </c>
      <c r="F1022" s="1">
        <v>1994</v>
      </c>
      <c r="J1022" s="6">
        <v>24410</v>
      </c>
      <c r="K1022" s="6">
        <v>12795</v>
      </c>
      <c r="L1022" s="21">
        <v>0.52417042195821384</v>
      </c>
      <c r="M1022" s="1">
        <v>0</v>
      </c>
      <c r="N1022" s="1" t="s">
        <v>1589</v>
      </c>
      <c r="O1022" s="1">
        <v>2</v>
      </c>
      <c r="P1022" s="1">
        <v>0.65</v>
      </c>
      <c r="Q1022" s="22">
        <v>44002</v>
      </c>
      <c r="R1022" s="8">
        <v>205.26755428103237</v>
      </c>
      <c r="S1022" s="9">
        <v>29</v>
      </c>
      <c r="T1022" s="8">
        <v>198.81196231052849</v>
      </c>
      <c r="U1022" s="9" t="e">
        <f t="shared" si="0"/>
        <v>#VALUE!</v>
      </c>
      <c r="V1022" s="8">
        <v>213.10735354362967</v>
      </c>
      <c r="W1022" s="8">
        <v>29</v>
      </c>
      <c r="X1022" s="8"/>
    </row>
    <row r="1023" spans="1:24" x14ac:dyDescent="0.3">
      <c r="A1023" s="1" t="s">
        <v>2189</v>
      </c>
      <c r="B1023" s="1" t="s">
        <v>768</v>
      </c>
      <c r="C1023" s="1" t="s">
        <v>134</v>
      </c>
      <c r="D1023" s="1" t="s">
        <v>133</v>
      </c>
      <c r="F1023" s="1">
        <v>2016</v>
      </c>
      <c r="J1023" s="6">
        <v>19995</v>
      </c>
      <c r="K1023" s="6">
        <v>10568</v>
      </c>
      <c r="L1023" s="21">
        <v>0.5285321330332583</v>
      </c>
      <c r="M1023" s="1">
        <v>0</v>
      </c>
      <c r="N1023" s="1" t="s">
        <v>1589</v>
      </c>
      <c r="O1023" s="1">
        <v>3</v>
      </c>
      <c r="P1023" s="1">
        <v>0.61</v>
      </c>
      <c r="Q1023" s="22">
        <v>44834</v>
      </c>
      <c r="R1023" s="8">
        <v>174.9246211552888</v>
      </c>
      <c r="S1023" s="9">
        <v>26</v>
      </c>
      <c r="T1023" s="8">
        <v>181.40156939234808</v>
      </c>
      <c r="U1023" s="9" t="e">
        <f t="shared" si="0"/>
        <v>#VALUE!</v>
      </c>
      <c r="V1023" s="8">
        <v>195.64348087021756</v>
      </c>
      <c r="W1023" s="8">
        <v>28</v>
      </c>
      <c r="X1023" s="8"/>
    </row>
    <row r="1024" spans="1:24" x14ac:dyDescent="0.3">
      <c r="A1024" s="1" t="s">
        <v>1961</v>
      </c>
      <c r="B1024" s="1" t="s">
        <v>297</v>
      </c>
      <c r="C1024" s="1" t="s">
        <v>134</v>
      </c>
      <c r="D1024" s="1" t="s">
        <v>133</v>
      </c>
      <c r="F1024" s="1">
        <v>1991</v>
      </c>
      <c r="J1024" s="6">
        <v>5726</v>
      </c>
      <c r="K1024" s="6">
        <v>2000</v>
      </c>
      <c r="L1024" s="21">
        <v>0.34928396786587496</v>
      </c>
      <c r="M1024" s="1">
        <v>0</v>
      </c>
      <c r="N1024" s="1" t="s">
        <v>28</v>
      </c>
      <c r="O1024" s="1" t="s">
        <v>18</v>
      </c>
      <c r="P1024" s="1" t="s">
        <v>18</v>
      </c>
      <c r="Q1024" s="22" t="s">
        <v>18</v>
      </c>
      <c r="R1024" s="8">
        <v>151.52427523576668</v>
      </c>
      <c r="S1024" s="9">
        <v>23</v>
      </c>
      <c r="T1024" s="8">
        <v>162.69361683548726</v>
      </c>
      <c r="U1024" s="9" t="e">
        <f t="shared" si="0"/>
        <v>#VALUE!</v>
      </c>
      <c r="V1024" s="8">
        <v>185.60693328676214</v>
      </c>
      <c r="W1024" s="8">
        <v>27</v>
      </c>
      <c r="X1024" s="8"/>
    </row>
    <row r="1025" spans="1:24" x14ac:dyDescent="0.3">
      <c r="A1025" s="1" t="s">
        <v>1808</v>
      </c>
      <c r="B1025" s="1" t="s">
        <v>593</v>
      </c>
      <c r="C1025" s="1" t="s">
        <v>134</v>
      </c>
      <c r="D1025" s="1" t="s">
        <v>133</v>
      </c>
      <c r="F1025" s="1">
        <v>2010</v>
      </c>
      <c r="J1025" s="6">
        <v>14595</v>
      </c>
      <c r="K1025" s="6">
        <v>10000</v>
      </c>
      <c r="L1025" s="21">
        <v>0.68516615279205206</v>
      </c>
      <c r="M1025" s="1">
        <v>0</v>
      </c>
      <c r="N1025" s="1" t="s">
        <v>28</v>
      </c>
      <c r="O1025" s="1" t="s">
        <v>18</v>
      </c>
      <c r="P1025" s="1" t="s">
        <v>18</v>
      </c>
      <c r="Q1025" s="22" t="s">
        <v>18</v>
      </c>
      <c r="R1025" s="8">
        <v>128.52349503254538</v>
      </c>
      <c r="S1025" s="9">
        <v>19</v>
      </c>
      <c r="T1025" s="8">
        <v>148.07535525865023</v>
      </c>
      <c r="U1025" s="9" t="e">
        <f t="shared" si="0"/>
        <v>#VALUE!</v>
      </c>
      <c r="V1025" s="8">
        <v>185.5050565262076</v>
      </c>
      <c r="W1025" s="8">
        <v>26</v>
      </c>
      <c r="X1025" s="8"/>
    </row>
    <row r="1026" spans="1:24" x14ac:dyDescent="0.3">
      <c r="A1026" s="1" t="s">
        <v>2367</v>
      </c>
      <c r="B1026" s="1" t="s">
        <v>739</v>
      </c>
      <c r="C1026" s="1" t="s">
        <v>134</v>
      </c>
      <c r="D1026" s="1" t="s">
        <v>133</v>
      </c>
      <c r="F1026" s="1">
        <v>1998</v>
      </c>
      <c r="J1026" s="6">
        <v>11710</v>
      </c>
      <c r="K1026" s="6">
        <v>5000</v>
      </c>
      <c r="L1026" s="21">
        <v>0.42698548249359519</v>
      </c>
      <c r="M1026" s="1">
        <v>0</v>
      </c>
      <c r="N1026" s="1" t="s">
        <v>1589</v>
      </c>
      <c r="O1026" s="1">
        <v>35</v>
      </c>
      <c r="P1026" s="1" t="s">
        <v>18</v>
      </c>
      <c r="Q1026" s="22" t="s">
        <v>18</v>
      </c>
      <c r="R1026" s="8">
        <v>148.10643894107599</v>
      </c>
      <c r="S1026" s="9">
        <v>22</v>
      </c>
      <c r="T1026" s="8">
        <v>173.72233988044408</v>
      </c>
      <c r="U1026" s="9" t="e">
        <f t="shared" si="0"/>
        <v>#VALUE!</v>
      </c>
      <c r="V1026" s="8">
        <v>184.28331340734417</v>
      </c>
      <c r="W1026" s="8">
        <v>25</v>
      </c>
      <c r="X1026" s="8"/>
    </row>
    <row r="1027" spans="1:24" x14ac:dyDescent="0.3">
      <c r="A1027" s="1" t="s">
        <v>2024</v>
      </c>
      <c r="B1027" s="1" t="s">
        <v>418</v>
      </c>
      <c r="C1027" s="1" t="s">
        <v>134</v>
      </c>
      <c r="D1027" s="1" t="s">
        <v>133</v>
      </c>
      <c r="F1027" s="1">
        <v>1988</v>
      </c>
      <c r="J1027" s="6">
        <v>12948</v>
      </c>
      <c r="K1027" s="6">
        <v>4050</v>
      </c>
      <c r="L1027" s="21">
        <v>0.31278962001853566</v>
      </c>
      <c r="M1027" s="1">
        <v>0</v>
      </c>
      <c r="N1027" s="1" t="s">
        <v>1589</v>
      </c>
      <c r="O1027" s="1">
        <v>12</v>
      </c>
      <c r="P1027" s="1" t="s">
        <v>18</v>
      </c>
      <c r="Q1027" s="22" t="s">
        <v>18</v>
      </c>
      <c r="R1027" s="8">
        <v>227.57747451343837</v>
      </c>
      <c r="S1027" s="9">
        <v>32</v>
      </c>
      <c r="T1027" s="8">
        <v>205.51883843064564</v>
      </c>
      <c r="U1027" s="9" t="e">
        <f t="shared" si="0"/>
        <v>#VALUE!</v>
      </c>
      <c r="V1027" s="8">
        <v>175.53550818659249</v>
      </c>
      <c r="W1027" s="8">
        <v>24</v>
      </c>
      <c r="X1027" s="8"/>
    </row>
    <row r="1028" spans="1:24" x14ac:dyDescent="0.3">
      <c r="A1028" s="1" t="s">
        <v>2553</v>
      </c>
      <c r="B1028" s="1" t="s">
        <v>2554</v>
      </c>
      <c r="C1028" s="1" t="s">
        <v>134</v>
      </c>
      <c r="D1028" s="1" t="s">
        <v>133</v>
      </c>
      <c r="F1028" s="1">
        <v>2018</v>
      </c>
      <c r="J1028" s="6">
        <v>18029.900000000001</v>
      </c>
      <c r="K1028" s="6">
        <v>1917</v>
      </c>
      <c r="L1028" s="21">
        <v>0.1063233850437329</v>
      </c>
      <c r="M1028" s="1">
        <v>0</v>
      </c>
      <c r="N1028" s="1" t="s">
        <v>1787</v>
      </c>
      <c r="P1028" s="1" t="s">
        <v>18</v>
      </c>
      <c r="Q1028" s="22" t="s">
        <v>18</v>
      </c>
      <c r="R1028" s="8">
        <v>161.27395215724988</v>
      </c>
      <c r="S1028" s="9">
        <v>24</v>
      </c>
      <c r="T1028" s="8">
        <v>160.88230162119589</v>
      </c>
      <c r="U1028" s="9" t="e">
        <f t="shared" si="0"/>
        <v>#VALUE!</v>
      </c>
      <c r="V1028" s="8">
        <v>166.06346235974686</v>
      </c>
      <c r="W1028" s="8">
        <v>23</v>
      </c>
      <c r="X1028" s="8"/>
    </row>
    <row r="1029" spans="1:24" x14ac:dyDescent="0.3">
      <c r="A1029" s="1" t="s">
        <v>1894</v>
      </c>
      <c r="B1029" s="1" t="s">
        <v>1895</v>
      </c>
      <c r="C1029" s="1" t="s">
        <v>134</v>
      </c>
      <c r="D1029" s="1" t="s">
        <v>133</v>
      </c>
      <c r="F1029" s="1">
        <v>2011</v>
      </c>
      <c r="G1029" s="1" t="s">
        <v>21</v>
      </c>
      <c r="H1029" s="1">
        <v>2022</v>
      </c>
      <c r="I1029" s="1" t="s">
        <v>1599</v>
      </c>
      <c r="J1029" s="6">
        <v>10641</v>
      </c>
      <c r="K1029" s="6">
        <v>2736</v>
      </c>
      <c r="L1029" s="21">
        <v>0.25711869185226954</v>
      </c>
      <c r="M1029" s="1">
        <v>0</v>
      </c>
      <c r="N1029" s="1" t="s">
        <v>28</v>
      </c>
      <c r="O1029" s="1" t="s">
        <v>18</v>
      </c>
      <c r="P1029" s="1" t="s">
        <v>18</v>
      </c>
      <c r="Q1029" s="22" t="s">
        <v>18</v>
      </c>
      <c r="R1029" s="8">
        <v>145.07555680857061</v>
      </c>
      <c r="S1029" s="9">
        <v>20</v>
      </c>
      <c r="T1029" s="8">
        <v>158.65219434263696</v>
      </c>
      <c r="U1029" s="9" t="e">
        <f t="shared" si="0"/>
        <v>#VALUE!</v>
      </c>
      <c r="V1029" s="8">
        <v>158.65219434263696</v>
      </c>
      <c r="W1029" s="8">
        <v>22</v>
      </c>
      <c r="X1029" s="8"/>
    </row>
    <row r="1030" spans="1:24" x14ac:dyDescent="0.3">
      <c r="A1030" s="1" t="s">
        <v>1912</v>
      </c>
      <c r="B1030" s="1" t="s">
        <v>1913</v>
      </c>
      <c r="C1030" s="1" t="s">
        <v>134</v>
      </c>
      <c r="D1030" s="1" t="s">
        <v>133</v>
      </c>
      <c r="F1030" s="1">
        <v>1988</v>
      </c>
      <c r="J1030" s="6">
        <v>14030</v>
      </c>
      <c r="K1030" s="6">
        <v>10743</v>
      </c>
      <c r="L1030" s="21">
        <v>0.76571632216678542</v>
      </c>
      <c r="M1030" s="1">
        <v>0</v>
      </c>
      <c r="N1030" s="1" t="s">
        <v>28</v>
      </c>
      <c r="O1030" s="1" t="s">
        <v>18</v>
      </c>
      <c r="P1030" s="1" t="s">
        <v>18</v>
      </c>
      <c r="Q1030" s="22" t="s">
        <v>18</v>
      </c>
      <c r="R1030" s="8">
        <v>127.69389878831076</v>
      </c>
      <c r="S1030" s="9">
        <v>18</v>
      </c>
      <c r="T1030" s="8">
        <v>136.2892729864576</v>
      </c>
      <c r="U1030" s="9" t="e">
        <f t="shared" si="0"/>
        <v>#VALUE!</v>
      </c>
      <c r="V1030" s="8">
        <v>157.50313613684961</v>
      </c>
      <c r="W1030" s="8">
        <v>21</v>
      </c>
      <c r="X1030" s="8"/>
    </row>
    <row r="1031" spans="1:24" x14ac:dyDescent="0.3">
      <c r="A1031" s="1" t="s">
        <v>431</v>
      </c>
      <c r="B1031" s="1" t="s">
        <v>432</v>
      </c>
      <c r="C1031" s="1" t="s">
        <v>134</v>
      </c>
      <c r="D1031" s="1" t="s">
        <v>133</v>
      </c>
      <c r="F1031" s="1">
        <v>2017</v>
      </c>
      <c r="G1031" s="1" t="s">
        <v>19</v>
      </c>
      <c r="H1031" s="1">
        <v>2023</v>
      </c>
      <c r="I1031" s="1" t="s">
        <v>1783</v>
      </c>
      <c r="J1031" s="6">
        <v>12309</v>
      </c>
      <c r="K1031" s="6">
        <v>8157</v>
      </c>
      <c r="L1031" s="21">
        <v>0.66268583962953931</v>
      </c>
      <c r="M1031" s="1">
        <v>0</v>
      </c>
      <c r="N1031" s="1" t="s">
        <v>1787</v>
      </c>
      <c r="O1031" s="1" t="s">
        <v>18</v>
      </c>
      <c r="P1031" s="1" t="s">
        <v>18</v>
      </c>
      <c r="Q1031" s="22" t="s">
        <v>18</v>
      </c>
      <c r="R1031" s="8">
        <v>146.15805914371597</v>
      </c>
      <c r="S1031" s="9">
        <v>21</v>
      </c>
      <c r="T1031" s="8">
        <v>150.85235112519297</v>
      </c>
      <c r="U1031" s="9" t="e">
        <f t="shared" si="0"/>
        <v>#VALUE!</v>
      </c>
      <c r="V1031" s="8">
        <v>149.72739946380696</v>
      </c>
      <c r="W1031" s="8">
        <v>20</v>
      </c>
      <c r="X1031" s="8"/>
    </row>
    <row r="1032" spans="1:24" x14ac:dyDescent="0.3">
      <c r="A1032" s="1" t="s">
        <v>429</v>
      </c>
      <c r="B1032" s="1" t="s">
        <v>430</v>
      </c>
      <c r="C1032" s="1" t="s">
        <v>134</v>
      </c>
      <c r="D1032" s="1" t="s">
        <v>133</v>
      </c>
      <c r="F1032" s="1">
        <v>2009</v>
      </c>
      <c r="G1032" s="1" t="s">
        <v>21</v>
      </c>
      <c r="H1032" s="1">
        <v>2023</v>
      </c>
      <c r="I1032" s="1" t="s">
        <v>1783</v>
      </c>
      <c r="J1032" s="6">
        <v>17734</v>
      </c>
      <c r="K1032" s="6">
        <v>400</v>
      </c>
      <c r="L1032" s="21">
        <v>2.2555543024698321E-2</v>
      </c>
      <c r="M1032" s="1">
        <v>0</v>
      </c>
      <c r="N1032" s="1" t="s">
        <v>28</v>
      </c>
      <c r="O1032" s="1" t="s">
        <v>18</v>
      </c>
      <c r="P1032" s="1" t="s">
        <v>18</v>
      </c>
      <c r="Q1032" s="22" t="s">
        <v>18</v>
      </c>
      <c r="R1032" s="8">
        <v>126.82766662907409</v>
      </c>
      <c r="S1032" s="9">
        <v>17</v>
      </c>
      <c r="T1032" s="8">
        <v>126.90389308672607</v>
      </c>
      <c r="U1032" s="9" t="e">
        <f t="shared" si="0"/>
        <v>#VALUE!</v>
      </c>
      <c r="V1032" s="8">
        <v>142.00603360775909</v>
      </c>
      <c r="W1032" s="8">
        <v>19</v>
      </c>
      <c r="X1032" s="8"/>
    </row>
    <row r="1033" spans="1:24" x14ac:dyDescent="0.3">
      <c r="A1033" s="1" t="s">
        <v>404</v>
      </c>
      <c r="B1033" s="1" t="s">
        <v>405</v>
      </c>
      <c r="C1033" s="1" t="s">
        <v>134</v>
      </c>
      <c r="D1033" s="1" t="s">
        <v>133</v>
      </c>
      <c r="F1033" s="1">
        <v>1982</v>
      </c>
      <c r="J1033" s="6">
        <v>8514</v>
      </c>
      <c r="K1033" s="6">
        <v>1352</v>
      </c>
      <c r="L1033" s="21">
        <v>0.15879727507634483</v>
      </c>
      <c r="M1033" s="1">
        <v>15</v>
      </c>
      <c r="N1033" s="1" t="s">
        <v>28</v>
      </c>
      <c r="O1033" s="1" t="s">
        <v>18</v>
      </c>
      <c r="P1033" s="1" t="s">
        <v>18</v>
      </c>
      <c r="Q1033" s="22" t="s">
        <v>18</v>
      </c>
      <c r="R1033" s="8">
        <v>85.966085271317823</v>
      </c>
      <c r="S1033" s="9">
        <v>8</v>
      </c>
      <c r="T1033" s="8">
        <v>117.51254404510219</v>
      </c>
      <c r="U1033" s="9" t="e">
        <f t="shared" si="0"/>
        <v>#VALUE!</v>
      </c>
      <c r="V1033" s="8">
        <v>137.6702078928823</v>
      </c>
      <c r="W1033" s="8">
        <v>18</v>
      </c>
      <c r="X1033" s="8"/>
    </row>
    <row r="1034" spans="1:24" x14ac:dyDescent="0.3">
      <c r="A1034" s="1" t="s">
        <v>1830</v>
      </c>
      <c r="B1034" s="1" t="s">
        <v>856</v>
      </c>
      <c r="C1034" s="1" t="s">
        <v>134</v>
      </c>
      <c r="D1034" s="1" t="s">
        <v>133</v>
      </c>
      <c r="F1034" s="1">
        <v>2004</v>
      </c>
      <c r="G1034" s="1" t="s">
        <v>19</v>
      </c>
      <c r="H1034" s="1">
        <v>2022</v>
      </c>
      <c r="I1034" s="1" t="s">
        <v>1599</v>
      </c>
      <c r="J1034" s="6">
        <v>18525</v>
      </c>
      <c r="K1034" s="6">
        <v>12273</v>
      </c>
      <c r="L1034" s="21">
        <v>0.66251012145748989</v>
      </c>
      <c r="M1034" s="1">
        <v>0</v>
      </c>
      <c r="N1034" s="1" t="s">
        <v>28</v>
      </c>
      <c r="O1034" s="1" t="s">
        <v>18</v>
      </c>
      <c r="P1034" s="1">
        <v>0.72</v>
      </c>
      <c r="Q1034" s="22">
        <v>44904</v>
      </c>
      <c r="R1034" s="8">
        <v>101.37985856950067</v>
      </c>
      <c r="S1034" s="9">
        <v>14</v>
      </c>
      <c r="T1034" s="8">
        <v>98.169648043184878</v>
      </c>
      <c r="U1034" s="9" t="e">
        <f t="shared" si="0"/>
        <v>#VALUE!</v>
      </c>
      <c r="V1034" s="8">
        <v>132.60323940620782</v>
      </c>
      <c r="W1034" s="8">
        <v>17</v>
      </c>
      <c r="X1034" s="8"/>
    </row>
    <row r="1035" spans="1:24" x14ac:dyDescent="0.3">
      <c r="A1035" s="1" t="s">
        <v>2303</v>
      </c>
      <c r="B1035" s="1" t="s">
        <v>2304</v>
      </c>
      <c r="C1035" s="1" t="s">
        <v>134</v>
      </c>
      <c r="D1035" s="1" t="s">
        <v>133</v>
      </c>
      <c r="F1035" s="1">
        <v>2005</v>
      </c>
      <c r="J1035" s="6">
        <v>9610</v>
      </c>
      <c r="K1035" s="6">
        <v>6000</v>
      </c>
      <c r="L1035" s="21">
        <v>0.62434963579604574</v>
      </c>
      <c r="M1035" s="1">
        <v>0</v>
      </c>
      <c r="N1035" s="1" t="s">
        <v>28</v>
      </c>
      <c r="O1035" s="1" t="s">
        <v>18</v>
      </c>
      <c r="P1035" s="1" t="s">
        <v>18</v>
      </c>
      <c r="Q1035" s="22" t="s">
        <v>18</v>
      </c>
      <c r="R1035" s="8">
        <v>95.366690946930277</v>
      </c>
      <c r="S1035" s="9">
        <v>12</v>
      </c>
      <c r="T1035" s="8">
        <v>101.56932986472425</v>
      </c>
      <c r="U1035" s="9" t="e">
        <f t="shared" si="0"/>
        <v>#VALUE!</v>
      </c>
      <c r="V1035" s="8">
        <v>129.89358168574401</v>
      </c>
      <c r="W1035" s="8">
        <v>16</v>
      </c>
      <c r="X1035" s="8"/>
    </row>
    <row r="1036" spans="1:24" x14ac:dyDescent="0.3">
      <c r="A1036" s="1" t="s">
        <v>2368</v>
      </c>
      <c r="B1036" s="1" t="s">
        <v>394</v>
      </c>
      <c r="C1036" s="1" t="s">
        <v>134</v>
      </c>
      <c r="D1036" s="1" t="s">
        <v>133</v>
      </c>
      <c r="F1036" s="1">
        <v>2003</v>
      </c>
      <c r="J1036" s="6">
        <v>8679.1</v>
      </c>
      <c r="K1036" s="6">
        <v>1779</v>
      </c>
      <c r="L1036" s="21">
        <v>0.20497517023654527</v>
      </c>
      <c r="M1036" s="1">
        <v>0</v>
      </c>
      <c r="N1036" s="1" t="s">
        <v>28</v>
      </c>
      <c r="O1036" s="1" t="s">
        <v>18</v>
      </c>
      <c r="P1036" s="1" t="s">
        <v>18</v>
      </c>
      <c r="Q1036" s="22" t="s">
        <v>18</v>
      </c>
      <c r="R1036" s="8">
        <v>169.91594865827102</v>
      </c>
      <c r="S1036" s="9">
        <v>25</v>
      </c>
      <c r="T1036" s="8">
        <v>163.0698459517692</v>
      </c>
      <c r="U1036" s="9" t="e">
        <f t="shared" si="0"/>
        <v>#VALUE!</v>
      </c>
      <c r="V1036" s="8">
        <v>127.55876185318753</v>
      </c>
      <c r="W1036" s="8">
        <v>15</v>
      </c>
      <c r="X1036" s="8"/>
    </row>
    <row r="1037" spans="1:24" x14ac:dyDescent="0.3">
      <c r="A1037" s="1" t="s">
        <v>428</v>
      </c>
      <c r="B1037" s="1" t="s">
        <v>2149</v>
      </c>
      <c r="C1037" s="1" t="s">
        <v>134</v>
      </c>
      <c r="D1037" s="1" t="s">
        <v>133</v>
      </c>
      <c r="F1037" s="1">
        <v>2022</v>
      </c>
      <c r="G1037" s="1" t="s">
        <v>21</v>
      </c>
      <c r="H1037" s="1">
        <v>2022</v>
      </c>
      <c r="I1037" s="1" t="s">
        <v>1783</v>
      </c>
      <c r="J1037" s="6">
        <v>15513</v>
      </c>
      <c r="K1037" s="6">
        <v>182</v>
      </c>
      <c r="L1037" s="21">
        <v>1.1732095661703088E-2</v>
      </c>
      <c r="M1037" s="1">
        <v>0</v>
      </c>
      <c r="N1037" s="1" t="s">
        <v>28</v>
      </c>
      <c r="O1037" s="1" t="s">
        <v>18</v>
      </c>
      <c r="P1037" s="1" t="s">
        <v>18</v>
      </c>
      <c r="Q1037" s="22" t="s">
        <v>18</v>
      </c>
      <c r="R1037" s="8" t="s">
        <v>18</v>
      </c>
      <c r="S1037" s="9" t="s">
        <v>18</v>
      </c>
      <c r="T1037" s="8" t="s">
        <v>18</v>
      </c>
      <c r="U1037" s="9" t="s">
        <v>18</v>
      </c>
      <c r="V1037" s="8">
        <v>117.94760201121639</v>
      </c>
      <c r="W1037" s="8">
        <v>14</v>
      </c>
      <c r="X1037" s="8"/>
    </row>
    <row r="1038" spans="1:24" x14ac:dyDescent="0.3">
      <c r="A1038" s="1" t="s">
        <v>783</v>
      </c>
      <c r="B1038" s="1" t="s">
        <v>784</v>
      </c>
      <c r="C1038" s="1" t="s">
        <v>134</v>
      </c>
      <c r="D1038" s="1" t="s">
        <v>133</v>
      </c>
      <c r="F1038" s="1">
        <v>2017</v>
      </c>
      <c r="G1038" s="1" t="s">
        <v>47</v>
      </c>
      <c r="H1038" s="1">
        <v>2015</v>
      </c>
      <c r="I1038" s="1" t="s">
        <v>1598</v>
      </c>
      <c r="J1038" s="6">
        <v>5273</v>
      </c>
      <c r="K1038" s="6">
        <v>170</v>
      </c>
      <c r="L1038" s="21">
        <v>3.223971173904798E-2</v>
      </c>
      <c r="M1038" s="1">
        <v>0</v>
      </c>
      <c r="N1038" s="1" t="s">
        <v>28</v>
      </c>
      <c r="O1038" s="1" t="s">
        <v>18</v>
      </c>
      <c r="P1038" s="1" t="s">
        <v>18</v>
      </c>
      <c r="Q1038" s="22" t="s">
        <v>18</v>
      </c>
      <c r="R1038" s="8">
        <v>91.310521524748722</v>
      </c>
      <c r="S1038" s="9">
        <v>10</v>
      </c>
      <c r="T1038" s="8">
        <v>96.112727100322402</v>
      </c>
      <c r="U1038" s="9" t="e">
        <f t="shared" ref="U1038:U1044" si="1">U1037+1</f>
        <v>#VALUE!</v>
      </c>
      <c r="V1038" s="8">
        <v>111.16858714204437</v>
      </c>
      <c r="W1038" s="8">
        <v>13</v>
      </c>
      <c r="X1038" s="8"/>
    </row>
    <row r="1039" spans="1:24" x14ac:dyDescent="0.3">
      <c r="A1039" s="1" t="s">
        <v>2283</v>
      </c>
      <c r="B1039" s="1" t="s">
        <v>1432</v>
      </c>
      <c r="C1039" s="1" t="s">
        <v>134</v>
      </c>
      <c r="D1039" s="1" t="s">
        <v>133</v>
      </c>
      <c r="F1039" s="1">
        <v>1997</v>
      </c>
      <c r="J1039" s="6">
        <v>16134</v>
      </c>
      <c r="K1039" s="6">
        <v>777</v>
      </c>
      <c r="L1039" s="21">
        <v>4.8159166976571216E-2</v>
      </c>
      <c r="M1039" s="1">
        <v>0</v>
      </c>
      <c r="N1039" s="1" t="s">
        <v>28</v>
      </c>
      <c r="O1039" s="1" t="s">
        <v>18</v>
      </c>
      <c r="P1039" s="1" t="s">
        <v>18</v>
      </c>
      <c r="Q1039" s="22" t="s">
        <v>18</v>
      </c>
      <c r="R1039" s="8">
        <v>104.89269245072518</v>
      </c>
      <c r="S1039" s="9">
        <v>15</v>
      </c>
      <c r="T1039" s="8">
        <v>100.0319561175158</v>
      </c>
      <c r="U1039" s="9" t="e">
        <f t="shared" si="1"/>
        <v>#VALUE!</v>
      </c>
      <c r="V1039" s="8">
        <v>106.24573075492749</v>
      </c>
      <c r="W1039" s="8">
        <v>12</v>
      </c>
      <c r="X1039" s="8"/>
    </row>
    <row r="1040" spans="1:24" x14ac:dyDescent="0.3">
      <c r="A1040" s="1" t="s">
        <v>2438</v>
      </c>
      <c r="B1040" s="1" t="s">
        <v>2610</v>
      </c>
      <c r="C1040" s="1" t="s">
        <v>134</v>
      </c>
      <c r="D1040" s="1" t="s">
        <v>133</v>
      </c>
      <c r="F1040" s="1">
        <v>2006</v>
      </c>
      <c r="J1040" s="6">
        <v>15000</v>
      </c>
      <c r="K1040" s="6">
        <v>12000</v>
      </c>
      <c r="L1040" s="21">
        <v>0.8</v>
      </c>
      <c r="M1040" s="1">
        <v>0</v>
      </c>
      <c r="N1040" s="1" t="s">
        <v>1821</v>
      </c>
      <c r="O1040" s="1" t="s">
        <v>18</v>
      </c>
      <c r="P1040" s="1" t="s">
        <v>18</v>
      </c>
      <c r="Q1040" s="22" t="s">
        <v>18</v>
      </c>
      <c r="R1040" s="8">
        <v>91.463697333333329</v>
      </c>
      <c r="S1040" s="9">
        <v>11</v>
      </c>
      <c r="T1040" s="8">
        <v>94.648975333333325</v>
      </c>
      <c r="U1040" s="9" t="e">
        <f t="shared" si="1"/>
        <v>#VALUE!</v>
      </c>
      <c r="V1040" s="8">
        <v>96.942488666666677</v>
      </c>
      <c r="W1040" s="8">
        <v>11</v>
      </c>
      <c r="X1040" s="8"/>
    </row>
    <row r="1041" spans="1:24" x14ac:dyDescent="0.3">
      <c r="A1041" s="1" t="s">
        <v>785</v>
      </c>
      <c r="B1041" s="1" t="s">
        <v>2062</v>
      </c>
      <c r="C1041" s="1" t="s">
        <v>134</v>
      </c>
      <c r="D1041" s="1" t="s">
        <v>133</v>
      </c>
      <c r="F1041" s="1">
        <v>2015</v>
      </c>
      <c r="G1041" s="1" t="s">
        <v>47</v>
      </c>
      <c r="H1041" s="1">
        <v>2015</v>
      </c>
      <c r="I1041" s="1" t="s">
        <v>1598</v>
      </c>
      <c r="J1041" s="6">
        <v>5648</v>
      </c>
      <c r="K1041" s="6">
        <v>116</v>
      </c>
      <c r="L1041" s="21">
        <v>2.0538243626062325E-2</v>
      </c>
      <c r="M1041" s="1">
        <v>0</v>
      </c>
      <c r="N1041" s="1" t="s">
        <v>28</v>
      </c>
      <c r="O1041" s="1" t="s">
        <v>18</v>
      </c>
      <c r="P1041" s="1" t="s">
        <v>18</v>
      </c>
      <c r="Q1041" s="22" t="s">
        <v>18</v>
      </c>
      <c r="R1041" s="8">
        <v>73.421322592067995</v>
      </c>
      <c r="S1041" s="9">
        <v>7</v>
      </c>
      <c r="T1041" s="8">
        <v>91.113925283286108</v>
      </c>
      <c r="U1041" s="9" t="e">
        <f t="shared" si="1"/>
        <v>#VALUE!</v>
      </c>
      <c r="V1041" s="8">
        <v>95.01811083569406</v>
      </c>
      <c r="W1041" s="8">
        <v>10</v>
      </c>
      <c r="X1041" s="8"/>
    </row>
    <row r="1042" spans="1:24" x14ac:dyDescent="0.3">
      <c r="A1042" s="1" t="s">
        <v>1852</v>
      </c>
      <c r="B1042" s="1" t="s">
        <v>1853</v>
      </c>
      <c r="C1042" s="1" t="s">
        <v>134</v>
      </c>
      <c r="D1042" s="1" t="s">
        <v>133</v>
      </c>
      <c r="F1042" s="1">
        <v>2015</v>
      </c>
      <c r="G1042" s="1" t="s">
        <v>19</v>
      </c>
      <c r="H1042" s="1">
        <v>2022</v>
      </c>
      <c r="I1042" s="1" t="s">
        <v>1783</v>
      </c>
      <c r="J1042" s="6">
        <v>21188.37</v>
      </c>
      <c r="K1042" s="6">
        <v>12276</v>
      </c>
      <c r="L1042" s="21">
        <v>0.57937443984600989</v>
      </c>
      <c r="M1042" s="1">
        <v>12</v>
      </c>
      <c r="N1042" s="1" t="s">
        <v>1589</v>
      </c>
      <c r="O1042" s="1">
        <v>6</v>
      </c>
      <c r="P1042" s="1">
        <v>0.51</v>
      </c>
      <c r="Q1042" s="22">
        <v>44795</v>
      </c>
      <c r="R1042" s="8">
        <v>99.725874618953696</v>
      </c>
      <c r="S1042" s="9">
        <v>13</v>
      </c>
      <c r="T1042" s="8">
        <v>81.168699621537669</v>
      </c>
      <c r="U1042" s="9" t="e">
        <f t="shared" si="1"/>
        <v>#VALUE!</v>
      </c>
      <c r="V1042" s="8">
        <v>84.717880610920048</v>
      </c>
      <c r="W1042" s="8">
        <v>9</v>
      </c>
      <c r="X1042" s="8"/>
    </row>
    <row r="1043" spans="1:24" x14ac:dyDescent="0.3">
      <c r="A1043" s="1" t="s">
        <v>408</v>
      </c>
      <c r="B1043" s="1" t="s">
        <v>409</v>
      </c>
      <c r="C1043" s="1" t="s">
        <v>134</v>
      </c>
      <c r="D1043" s="1" t="s">
        <v>133</v>
      </c>
      <c r="F1043" s="1">
        <v>2008</v>
      </c>
      <c r="J1043" s="6">
        <v>141719</v>
      </c>
      <c r="K1043" s="6">
        <v>6270</v>
      </c>
      <c r="L1043" s="21">
        <v>4.4242479836860263E-2</v>
      </c>
      <c r="M1043" s="1">
        <v>26</v>
      </c>
      <c r="N1043" s="1" t="s">
        <v>28</v>
      </c>
      <c r="O1043" s="1" t="s">
        <v>18</v>
      </c>
      <c r="P1043" s="1" t="s">
        <v>18</v>
      </c>
      <c r="Q1043" s="22" t="s">
        <v>18</v>
      </c>
      <c r="R1043" s="8">
        <v>43.234793852623852</v>
      </c>
      <c r="S1043" s="9">
        <v>6</v>
      </c>
      <c r="T1043" s="8">
        <v>45.733924173893406</v>
      </c>
      <c r="U1043" s="9" t="e">
        <f t="shared" si="1"/>
        <v>#VALUE!</v>
      </c>
      <c r="V1043" s="8">
        <v>53.207459832485412</v>
      </c>
      <c r="W1043" s="8">
        <v>8</v>
      </c>
      <c r="X1043" s="8"/>
    </row>
    <row r="1044" spans="1:24" x14ac:dyDescent="0.3">
      <c r="A1044" s="1" t="s">
        <v>2545</v>
      </c>
      <c r="B1044" s="1" t="s">
        <v>1475</v>
      </c>
      <c r="C1044" s="1" t="s">
        <v>134</v>
      </c>
      <c r="D1044" s="1" t="s">
        <v>133</v>
      </c>
      <c r="F1044" s="1">
        <v>2015</v>
      </c>
      <c r="G1044" s="1" t="s">
        <v>19</v>
      </c>
      <c r="H1044" s="1">
        <v>2018</v>
      </c>
      <c r="I1044" s="1" t="s">
        <v>1601</v>
      </c>
      <c r="J1044" s="6">
        <v>12648</v>
      </c>
      <c r="K1044" s="6">
        <v>12648</v>
      </c>
      <c r="L1044" s="21">
        <v>1</v>
      </c>
      <c r="M1044" s="1">
        <v>0</v>
      </c>
      <c r="N1044" s="1" t="s">
        <v>1589</v>
      </c>
      <c r="O1044" s="1">
        <v>8</v>
      </c>
      <c r="P1044" s="1">
        <v>380</v>
      </c>
      <c r="Q1044" s="22">
        <v>45128</v>
      </c>
      <c r="R1044" s="8">
        <v>89.620207147375069</v>
      </c>
      <c r="S1044" s="9">
        <v>9</v>
      </c>
      <c r="T1044" s="8">
        <v>57.625988298545224</v>
      </c>
      <c r="U1044" s="9" t="e">
        <f t="shared" si="1"/>
        <v>#VALUE!</v>
      </c>
      <c r="V1044" s="8">
        <v>51.002494465528152</v>
      </c>
      <c r="W1044" s="8">
        <v>7</v>
      </c>
      <c r="X1044" s="8"/>
    </row>
    <row r="1045" spans="1:24" x14ac:dyDescent="0.3">
      <c r="A1045" s="1" t="s">
        <v>1817</v>
      </c>
      <c r="B1045" s="1" t="s">
        <v>565</v>
      </c>
      <c r="C1045" s="1" t="s">
        <v>134</v>
      </c>
      <c r="D1045" s="1" t="s">
        <v>133</v>
      </c>
      <c r="F1045" s="1">
        <v>2027</v>
      </c>
      <c r="J1045" s="6">
        <v>61601</v>
      </c>
      <c r="K1045" s="6">
        <v>17401</v>
      </c>
      <c r="L1045" s="21">
        <v>0.28247918053278354</v>
      </c>
      <c r="M1045" s="1">
        <v>60</v>
      </c>
      <c r="N1045" s="1" t="s">
        <v>28</v>
      </c>
      <c r="O1045" s="1" t="s">
        <v>18</v>
      </c>
      <c r="P1045" s="1" t="s">
        <v>18</v>
      </c>
      <c r="Q1045" s="22" t="s">
        <v>18</v>
      </c>
      <c r="R1045" s="8" t="s">
        <v>18</v>
      </c>
      <c r="S1045" s="9" t="s">
        <v>18</v>
      </c>
      <c r="T1045" s="8" t="s">
        <v>18</v>
      </c>
      <c r="U1045" s="9" t="s">
        <v>18</v>
      </c>
      <c r="V1045" s="8">
        <v>44.589004236944206</v>
      </c>
      <c r="W1045" s="8">
        <v>6</v>
      </c>
      <c r="X1045" s="8"/>
    </row>
    <row r="1046" spans="1:24" x14ac:dyDescent="0.3">
      <c r="A1046" s="1" t="s">
        <v>1975</v>
      </c>
      <c r="B1046" s="1" t="s">
        <v>734</v>
      </c>
      <c r="C1046" s="1" t="s">
        <v>134</v>
      </c>
      <c r="D1046" s="1" t="s">
        <v>133</v>
      </c>
      <c r="F1046" s="1">
        <v>2003</v>
      </c>
      <c r="J1046" s="6">
        <v>8281</v>
      </c>
      <c r="K1046" s="6">
        <v>2008</v>
      </c>
      <c r="L1046" s="21">
        <v>0.24248279193334138</v>
      </c>
      <c r="M1046" s="1">
        <v>0</v>
      </c>
      <c r="N1046" s="1" t="s">
        <v>28</v>
      </c>
      <c r="O1046" s="1" t="s">
        <v>18</v>
      </c>
      <c r="P1046" s="1" t="s">
        <v>18</v>
      </c>
      <c r="Q1046" s="22" t="s">
        <v>18</v>
      </c>
      <c r="R1046" s="8">
        <v>32.169291148412029</v>
      </c>
      <c r="S1046" s="9">
        <v>5</v>
      </c>
      <c r="T1046" s="8">
        <v>35.62843859437266</v>
      </c>
      <c r="U1046" s="9" t="e">
        <f>U1045+1</f>
        <v>#VALUE!</v>
      </c>
      <c r="V1046" s="8">
        <v>37.054401642313728</v>
      </c>
      <c r="W1046" s="8">
        <v>5</v>
      </c>
      <c r="X1046" s="8"/>
    </row>
    <row r="1047" spans="1:24" x14ac:dyDescent="0.3">
      <c r="A1047" s="1" t="s">
        <v>435</v>
      </c>
      <c r="B1047" s="1" t="s">
        <v>436</v>
      </c>
      <c r="C1047" s="1" t="s">
        <v>134</v>
      </c>
      <c r="D1047" s="1" t="s">
        <v>133</v>
      </c>
      <c r="F1047" s="1">
        <v>1997</v>
      </c>
      <c r="J1047" s="6">
        <v>8735</v>
      </c>
      <c r="K1047" s="6">
        <v>850</v>
      </c>
      <c r="L1047" s="21">
        <v>9.7309673726388088E-2</v>
      </c>
      <c r="M1047" s="1">
        <v>3</v>
      </c>
      <c r="N1047" s="1" t="s">
        <v>28</v>
      </c>
      <c r="O1047" s="1" t="s">
        <v>18</v>
      </c>
      <c r="P1047" s="1" t="s">
        <v>18</v>
      </c>
      <c r="Q1047" s="22" t="s">
        <v>18</v>
      </c>
      <c r="R1047" s="8">
        <v>20.278763594733828</v>
      </c>
      <c r="S1047" s="9">
        <v>3</v>
      </c>
      <c r="T1047" s="8">
        <v>25.228391528334289</v>
      </c>
      <c r="U1047" s="9" t="e">
        <f>U1046+1</f>
        <v>#VALUE!</v>
      </c>
      <c r="V1047" s="8">
        <v>31.482541499713793</v>
      </c>
      <c r="W1047" s="8">
        <v>4</v>
      </c>
      <c r="X1047" s="8"/>
    </row>
    <row r="1048" spans="1:24" x14ac:dyDescent="0.3">
      <c r="A1048" s="1" t="s">
        <v>2212</v>
      </c>
      <c r="B1048" s="1" t="s">
        <v>434</v>
      </c>
      <c r="C1048" s="1" t="s">
        <v>134</v>
      </c>
      <c r="D1048" s="1" t="s">
        <v>133</v>
      </c>
      <c r="F1048" s="1">
        <v>1984</v>
      </c>
      <c r="J1048" s="6">
        <v>5366</v>
      </c>
      <c r="K1048" s="6">
        <v>1500</v>
      </c>
      <c r="L1048" s="21">
        <v>0.27953783078643307</v>
      </c>
      <c r="M1048" s="1">
        <v>0</v>
      </c>
      <c r="N1048" s="1" t="s">
        <v>28</v>
      </c>
      <c r="O1048" s="1" t="s">
        <v>18</v>
      </c>
      <c r="P1048" s="1" t="s">
        <v>18</v>
      </c>
      <c r="Q1048" s="22" t="s">
        <v>18</v>
      </c>
      <c r="R1048" s="8">
        <v>25.409390607528881</v>
      </c>
      <c r="S1048" s="9">
        <v>4</v>
      </c>
      <c r="T1048" s="8">
        <v>21.410734252702198</v>
      </c>
      <c r="U1048" s="9" t="e">
        <f>U1047+1</f>
        <v>#VALUE!</v>
      </c>
      <c r="V1048" s="8">
        <v>21.803950801341781</v>
      </c>
      <c r="W1048" s="8">
        <v>3</v>
      </c>
      <c r="X1048" s="8"/>
    </row>
    <row r="1049" spans="1:24" x14ac:dyDescent="0.3">
      <c r="A1049" s="1" t="s">
        <v>723</v>
      </c>
      <c r="B1049" s="1" t="s">
        <v>2576</v>
      </c>
      <c r="C1049" s="1" t="s">
        <v>134</v>
      </c>
      <c r="D1049" s="1" t="s">
        <v>133</v>
      </c>
      <c r="F1049" s="1">
        <v>1993</v>
      </c>
      <c r="J1049" s="6">
        <v>813841</v>
      </c>
      <c r="K1049" s="6">
        <v>34800</v>
      </c>
      <c r="L1049" s="21">
        <v>4.2760195173258658E-2</v>
      </c>
      <c r="M1049" s="1">
        <v>75</v>
      </c>
      <c r="N1049" s="1" t="s">
        <v>1589</v>
      </c>
      <c r="O1049" s="1" t="s">
        <v>18</v>
      </c>
      <c r="P1049" s="1" t="s">
        <v>18</v>
      </c>
      <c r="Q1049" s="22" t="s">
        <v>18</v>
      </c>
      <c r="R1049" s="8">
        <v>10.797344321556668</v>
      </c>
      <c r="S1049" s="9">
        <v>2</v>
      </c>
      <c r="T1049" s="8">
        <v>11.971111064691998</v>
      </c>
      <c r="U1049" s="9" t="e">
        <f>U1048+1</f>
        <v>#VALUE!</v>
      </c>
      <c r="V1049" s="8">
        <v>12.849267854531782</v>
      </c>
      <c r="W1049" s="8">
        <v>2</v>
      </c>
      <c r="X1049" s="8"/>
    </row>
    <row r="1050" spans="1:24" x14ac:dyDescent="0.3">
      <c r="A1050" s="1" t="s">
        <v>2104</v>
      </c>
      <c r="B1050" s="1" t="s">
        <v>2105</v>
      </c>
      <c r="C1050" s="1" t="s">
        <v>134</v>
      </c>
      <c r="D1050" s="1" t="s">
        <v>133</v>
      </c>
      <c r="F1050" s="1">
        <v>0</v>
      </c>
      <c r="J1050" s="6">
        <v>207221</v>
      </c>
      <c r="K1050" s="6">
        <v>4</v>
      </c>
      <c r="L1050" s="21">
        <v>1.9303062913507803E-5</v>
      </c>
      <c r="M1050" s="1">
        <v>0</v>
      </c>
      <c r="N1050" s="1" t="s">
        <v>28</v>
      </c>
      <c r="O1050" s="1" t="s">
        <v>18</v>
      </c>
      <c r="P1050" s="1" t="s">
        <v>18</v>
      </c>
      <c r="Q1050" s="22" t="s">
        <v>18</v>
      </c>
      <c r="R1050" s="8">
        <v>3.1244786966571918</v>
      </c>
      <c r="S1050" s="9">
        <v>1</v>
      </c>
      <c r="T1050" s="8">
        <v>4.362397006094942</v>
      </c>
      <c r="U1050" s="9">
        <v>1</v>
      </c>
      <c r="V1050" s="8">
        <v>5.1375470150226086</v>
      </c>
      <c r="W1050" s="8">
        <v>1</v>
      </c>
      <c r="X1050" s="8"/>
    </row>
    <row r="1051" spans="1:24" x14ac:dyDescent="0.3">
      <c r="A1051" s="1" t="s">
        <v>1110</v>
      </c>
      <c r="B1051" s="1" t="s">
        <v>2544</v>
      </c>
      <c r="C1051" s="1" t="s">
        <v>134</v>
      </c>
      <c r="D1051" s="1" t="s">
        <v>133</v>
      </c>
      <c r="F1051" s="1">
        <v>2023</v>
      </c>
      <c r="J1051" s="6">
        <v>6480</v>
      </c>
      <c r="K1051" s="6">
        <v>3000</v>
      </c>
      <c r="L1051" s="21">
        <v>0.46296296296296297</v>
      </c>
      <c r="M1051" s="1">
        <v>0</v>
      </c>
      <c r="N1051" s="1" t="s">
        <v>28</v>
      </c>
      <c r="O1051" s="1" t="s">
        <v>18</v>
      </c>
      <c r="P1051" s="1" t="s">
        <v>18</v>
      </c>
      <c r="Q1051" s="22" t="s">
        <v>18</v>
      </c>
      <c r="R1051" s="8" t="s">
        <v>18</v>
      </c>
      <c r="S1051" s="9" t="s">
        <v>18</v>
      </c>
      <c r="T1051" s="8" t="s">
        <v>18</v>
      </c>
      <c r="U1051" s="9" t="s">
        <v>18</v>
      </c>
      <c r="V1051" s="8"/>
      <c r="W1051" s="8" t="s">
        <v>18</v>
      </c>
      <c r="X1051" s="8"/>
    </row>
    <row r="1052" spans="1:24" x14ac:dyDescent="0.3">
      <c r="A1052" s="1" t="s">
        <v>1907</v>
      </c>
      <c r="B1052" s="1" t="s">
        <v>478</v>
      </c>
      <c r="C1052" s="1" t="s">
        <v>134</v>
      </c>
      <c r="D1052" s="1" t="s">
        <v>133</v>
      </c>
      <c r="F1052" s="1">
        <v>2008</v>
      </c>
      <c r="J1052" s="6">
        <v>11769</v>
      </c>
      <c r="K1052" s="6">
        <v>5489</v>
      </c>
      <c r="L1052" s="21">
        <v>0.46639476591044271</v>
      </c>
      <c r="M1052" s="1">
        <v>0</v>
      </c>
      <c r="N1052" s="1" t="s">
        <v>28</v>
      </c>
      <c r="O1052" s="1" t="s">
        <v>18</v>
      </c>
      <c r="P1052" s="1" t="s">
        <v>18</v>
      </c>
      <c r="Q1052" s="22" t="s">
        <v>18</v>
      </c>
      <c r="R1052" s="8"/>
      <c r="S1052" s="9" t="s">
        <v>18</v>
      </c>
      <c r="T1052" s="8"/>
      <c r="U1052" s="9" t="s">
        <v>18</v>
      </c>
      <c r="V1052" s="8"/>
      <c r="W1052" s="8" t="s">
        <v>18</v>
      </c>
      <c r="X1052" s="8"/>
    </row>
    <row r="1053" spans="1:24" x14ac:dyDescent="0.3">
      <c r="A1053" s="1" t="s">
        <v>2452</v>
      </c>
      <c r="B1053" s="1" t="s">
        <v>1410</v>
      </c>
      <c r="C1053" s="1" t="s">
        <v>56</v>
      </c>
      <c r="D1053" s="1" t="s">
        <v>400</v>
      </c>
      <c r="F1053" s="1">
        <v>1981</v>
      </c>
      <c r="J1053" s="6">
        <v>7620</v>
      </c>
      <c r="K1053" s="6">
        <v>1524</v>
      </c>
      <c r="L1053" s="21">
        <v>0.2</v>
      </c>
      <c r="M1053" s="1">
        <v>0</v>
      </c>
      <c r="N1053" s="1" t="s">
        <v>28</v>
      </c>
      <c r="O1053" s="1" t="s">
        <v>18</v>
      </c>
      <c r="P1053" s="1" t="s">
        <v>18</v>
      </c>
      <c r="Q1053" s="22" t="s">
        <v>18</v>
      </c>
      <c r="R1053" s="8">
        <v>122.12228346456693</v>
      </c>
      <c r="S1053" s="9">
        <v>7</v>
      </c>
      <c r="T1053" s="8">
        <v>806.92083727034128</v>
      </c>
      <c r="U1053" s="9">
        <v>14</v>
      </c>
      <c r="V1053" s="8">
        <v>789.48724146981635</v>
      </c>
      <c r="W1053" s="8">
        <v>16</v>
      </c>
      <c r="X1053" s="8"/>
    </row>
    <row r="1054" spans="1:24" x14ac:dyDescent="0.3">
      <c r="A1054" s="1" t="s">
        <v>1992</v>
      </c>
      <c r="B1054" s="1" t="s">
        <v>837</v>
      </c>
      <c r="C1054" s="1" t="s">
        <v>56</v>
      </c>
      <c r="D1054" s="1" t="s">
        <v>400</v>
      </c>
      <c r="F1054" s="1">
        <v>2005</v>
      </c>
      <c r="G1054" s="1" t="s">
        <v>25</v>
      </c>
      <c r="H1054" s="1">
        <v>2022</v>
      </c>
      <c r="I1054" s="1" t="s">
        <v>1599</v>
      </c>
      <c r="J1054" s="6">
        <v>6148</v>
      </c>
      <c r="K1054" s="6">
        <v>3000</v>
      </c>
      <c r="L1054" s="21">
        <v>0.48796356538711777</v>
      </c>
      <c r="M1054" s="1">
        <v>0</v>
      </c>
      <c r="N1054" s="1" t="s">
        <v>28</v>
      </c>
      <c r="O1054" s="1" t="s">
        <v>18</v>
      </c>
      <c r="P1054" s="1" t="s">
        <v>18</v>
      </c>
      <c r="Q1054" s="22" t="s">
        <v>18</v>
      </c>
      <c r="R1054" s="8">
        <v>228.03637383953469</v>
      </c>
      <c r="S1054" s="9">
        <v>14</v>
      </c>
      <c r="T1054" s="8">
        <v>258.9016893229238</v>
      </c>
      <c r="U1054" s="9">
        <v>13</v>
      </c>
      <c r="V1054" s="8">
        <v>255.93654497805389</v>
      </c>
      <c r="W1054" s="8">
        <v>15</v>
      </c>
      <c r="X1054" s="8"/>
    </row>
    <row r="1055" spans="1:24" x14ac:dyDescent="0.3">
      <c r="A1055" s="1" t="s">
        <v>1356</v>
      </c>
      <c r="B1055" s="1" t="s">
        <v>1357</v>
      </c>
      <c r="C1055" s="1" t="s">
        <v>56</v>
      </c>
      <c r="D1055" s="1" t="s">
        <v>400</v>
      </c>
      <c r="F1055" s="1">
        <v>1989</v>
      </c>
      <c r="J1055" s="6">
        <v>7860</v>
      </c>
      <c r="K1055" s="6">
        <v>6360</v>
      </c>
      <c r="L1055" s="21">
        <v>0.80916030534351147</v>
      </c>
      <c r="M1055" s="1">
        <v>0</v>
      </c>
      <c r="N1055" s="1" t="s">
        <v>28</v>
      </c>
      <c r="O1055" s="1" t="s">
        <v>18</v>
      </c>
      <c r="P1055" s="1" t="s">
        <v>18</v>
      </c>
      <c r="Q1055" s="22" t="s">
        <v>18</v>
      </c>
      <c r="R1055" s="8">
        <v>224.75166412213741</v>
      </c>
      <c r="S1055" s="9">
        <v>13</v>
      </c>
      <c r="T1055" s="8">
        <v>216.50946183206108</v>
      </c>
      <c r="U1055" s="9">
        <v>11</v>
      </c>
      <c r="V1055" s="8">
        <v>219.10574809160303</v>
      </c>
      <c r="W1055" s="8">
        <v>14</v>
      </c>
      <c r="X1055" s="8"/>
    </row>
    <row r="1056" spans="1:24" x14ac:dyDescent="0.3">
      <c r="A1056" s="1" t="s">
        <v>2423</v>
      </c>
      <c r="B1056" s="1" t="s">
        <v>1360</v>
      </c>
      <c r="C1056" s="1" t="s">
        <v>56</v>
      </c>
      <c r="D1056" s="1" t="s">
        <v>400</v>
      </c>
      <c r="F1056" s="1">
        <v>2000</v>
      </c>
      <c r="G1056" s="1" t="s">
        <v>25</v>
      </c>
      <c r="H1056" s="1">
        <v>2022</v>
      </c>
      <c r="I1056" s="1" t="s">
        <v>1599</v>
      </c>
      <c r="J1056" s="6">
        <v>17997</v>
      </c>
      <c r="K1056" s="6">
        <v>15000</v>
      </c>
      <c r="L1056" s="21">
        <v>0.83347224537422904</v>
      </c>
      <c r="M1056" s="1">
        <v>0</v>
      </c>
      <c r="N1056" s="1" t="s">
        <v>28</v>
      </c>
      <c r="O1056" s="1" t="s">
        <v>18</v>
      </c>
      <c r="P1056" s="1" t="s">
        <v>18</v>
      </c>
      <c r="Q1056" s="22" t="s">
        <v>18</v>
      </c>
      <c r="R1056" s="8">
        <v>246.6981858087459</v>
      </c>
      <c r="S1056" s="9">
        <v>15</v>
      </c>
      <c r="T1056" s="8">
        <v>226.02643496138245</v>
      </c>
      <c r="U1056" s="9">
        <v>12</v>
      </c>
      <c r="V1056" s="8">
        <v>203.14485747624605</v>
      </c>
      <c r="W1056" s="8">
        <v>13</v>
      </c>
      <c r="X1056" s="8"/>
    </row>
    <row r="1057" spans="1:24" x14ac:dyDescent="0.3">
      <c r="A1057" s="1" t="s">
        <v>1408</v>
      </c>
      <c r="B1057" s="1" t="s">
        <v>1409</v>
      </c>
      <c r="C1057" s="1" t="s">
        <v>56</v>
      </c>
      <c r="D1057" s="1" t="s">
        <v>400</v>
      </c>
      <c r="F1057" s="1">
        <v>1999</v>
      </c>
      <c r="G1057" s="1" t="s">
        <v>25</v>
      </c>
      <c r="H1057" s="1">
        <v>2022</v>
      </c>
      <c r="I1057" s="1" t="s">
        <v>1599</v>
      </c>
      <c r="J1057" s="6">
        <v>9598</v>
      </c>
      <c r="K1057" s="6">
        <v>5730</v>
      </c>
      <c r="L1057" s="21">
        <v>0.59699937486976451</v>
      </c>
      <c r="M1057" s="1">
        <v>0</v>
      </c>
      <c r="N1057" s="1" t="s">
        <v>1590</v>
      </c>
      <c r="O1057" s="1" t="s">
        <v>18</v>
      </c>
      <c r="P1057" s="1" t="s">
        <v>18</v>
      </c>
      <c r="Q1057" s="22" t="s">
        <v>18</v>
      </c>
      <c r="R1057" s="8">
        <v>0</v>
      </c>
      <c r="S1057" s="9" t="s">
        <v>18</v>
      </c>
      <c r="T1057" s="8">
        <v>0</v>
      </c>
      <c r="U1057" s="9" t="s">
        <v>18</v>
      </c>
      <c r="V1057" s="8">
        <v>196.02646384663473</v>
      </c>
      <c r="W1057" s="8">
        <v>12</v>
      </c>
      <c r="X1057" s="8"/>
    </row>
    <row r="1058" spans="1:24" x14ac:dyDescent="0.3">
      <c r="A1058" s="1" t="s">
        <v>1398</v>
      </c>
      <c r="B1058" s="1" t="s">
        <v>1399</v>
      </c>
      <c r="C1058" s="1" t="s">
        <v>56</v>
      </c>
      <c r="D1058" s="1" t="s">
        <v>400</v>
      </c>
      <c r="F1058" s="1">
        <v>1986</v>
      </c>
      <c r="G1058" s="1" t="s">
        <v>25</v>
      </c>
      <c r="H1058" s="1">
        <v>2020</v>
      </c>
      <c r="I1058" s="1" t="s">
        <v>1599</v>
      </c>
      <c r="J1058" s="6">
        <v>8632</v>
      </c>
      <c r="K1058" s="6">
        <v>8632</v>
      </c>
      <c r="L1058" s="21">
        <v>1</v>
      </c>
      <c r="M1058" s="1">
        <v>0</v>
      </c>
      <c r="N1058" s="1" t="s">
        <v>28</v>
      </c>
      <c r="O1058" s="1" t="s">
        <v>18</v>
      </c>
      <c r="P1058" s="1" t="s">
        <v>18</v>
      </c>
      <c r="Q1058" s="22" t="s">
        <v>18</v>
      </c>
      <c r="R1058" s="8">
        <v>210.51629054680259</v>
      </c>
      <c r="S1058" s="9">
        <v>12</v>
      </c>
      <c r="T1058" s="8">
        <v>196.67252780352177</v>
      </c>
      <c r="U1058" s="9">
        <v>10</v>
      </c>
      <c r="V1058" s="8">
        <v>190.95231464318812</v>
      </c>
      <c r="W1058" s="8">
        <v>11</v>
      </c>
      <c r="X1058" s="8"/>
    </row>
    <row r="1059" spans="1:24" x14ac:dyDescent="0.3">
      <c r="A1059" s="1" t="s">
        <v>2445</v>
      </c>
      <c r="B1059" s="1" t="s">
        <v>1403</v>
      </c>
      <c r="C1059" s="1" t="s">
        <v>56</v>
      </c>
      <c r="D1059" s="1" t="s">
        <v>400</v>
      </c>
      <c r="F1059" s="1">
        <v>2006</v>
      </c>
      <c r="G1059" s="1" t="s">
        <v>19</v>
      </c>
      <c r="H1059" s="1">
        <v>2019</v>
      </c>
      <c r="I1059" s="1" t="s">
        <v>1601</v>
      </c>
      <c r="J1059" s="6">
        <v>39982</v>
      </c>
      <c r="K1059" s="6">
        <v>13673</v>
      </c>
      <c r="L1059" s="21">
        <v>0.34197889050072533</v>
      </c>
      <c r="M1059" s="1">
        <v>0</v>
      </c>
      <c r="N1059" s="1" t="s">
        <v>1589</v>
      </c>
      <c r="O1059" s="1">
        <v>2</v>
      </c>
      <c r="P1059" s="1">
        <v>0.62</v>
      </c>
      <c r="Q1059" s="22">
        <v>43708</v>
      </c>
      <c r="R1059" s="8">
        <v>192.52478615376918</v>
      </c>
      <c r="S1059" s="9">
        <v>11</v>
      </c>
      <c r="T1059" s="8">
        <v>181.90150567755489</v>
      </c>
      <c r="U1059" s="9">
        <v>9</v>
      </c>
      <c r="V1059" s="8">
        <v>177.98808213696162</v>
      </c>
      <c r="W1059" s="8">
        <v>10</v>
      </c>
      <c r="X1059" s="8"/>
    </row>
    <row r="1060" spans="1:24" x14ac:dyDescent="0.3">
      <c r="A1060" s="1" t="s">
        <v>1411</v>
      </c>
      <c r="B1060" s="1" t="s">
        <v>1412</v>
      </c>
      <c r="C1060" s="1" t="s">
        <v>56</v>
      </c>
      <c r="D1060" s="1" t="s">
        <v>400</v>
      </c>
      <c r="F1060" s="1">
        <v>1987</v>
      </c>
      <c r="G1060" s="1" t="s">
        <v>25</v>
      </c>
      <c r="H1060" s="1">
        <v>2022</v>
      </c>
      <c r="I1060" s="1" t="s">
        <v>1599</v>
      </c>
      <c r="J1060" s="6">
        <v>12574</v>
      </c>
      <c r="K1060" s="6">
        <v>81731</v>
      </c>
      <c r="L1060" s="21">
        <v>6.5</v>
      </c>
      <c r="M1060" s="1">
        <v>0</v>
      </c>
      <c r="N1060" s="1" t="s">
        <v>28</v>
      </c>
      <c r="O1060" s="1" t="s">
        <v>18</v>
      </c>
      <c r="P1060" s="1" t="s">
        <v>18</v>
      </c>
      <c r="Q1060" s="22" t="s">
        <v>18</v>
      </c>
      <c r="R1060" s="8">
        <v>189.15699061555591</v>
      </c>
      <c r="S1060" s="9">
        <v>10</v>
      </c>
      <c r="T1060" s="8">
        <v>165.42613885796086</v>
      </c>
      <c r="U1060" s="9">
        <v>8</v>
      </c>
      <c r="V1060" s="8">
        <v>166.90356847463022</v>
      </c>
      <c r="W1060" s="8">
        <v>9</v>
      </c>
      <c r="X1060" s="8"/>
    </row>
    <row r="1061" spans="1:24" x14ac:dyDescent="0.3">
      <c r="A1061" s="1" t="s">
        <v>2442</v>
      </c>
      <c r="B1061" s="1" t="s">
        <v>1358</v>
      </c>
      <c r="C1061" s="1" t="s">
        <v>56</v>
      </c>
      <c r="D1061" s="1" t="s">
        <v>400</v>
      </c>
      <c r="F1061" s="1">
        <v>1985</v>
      </c>
      <c r="G1061" s="1" t="s">
        <v>19</v>
      </c>
      <c r="H1061" s="1">
        <v>2019</v>
      </c>
      <c r="I1061" s="1" t="s">
        <v>1601</v>
      </c>
      <c r="J1061" s="6">
        <v>20488</v>
      </c>
      <c r="K1061" s="6">
        <v>11088</v>
      </c>
      <c r="L1061" s="21">
        <v>0.54119484576337373</v>
      </c>
      <c r="M1061" s="1">
        <v>0</v>
      </c>
      <c r="N1061" s="1" t="s">
        <v>1590</v>
      </c>
      <c r="O1061" s="1" t="s">
        <v>18</v>
      </c>
      <c r="P1061" s="1" t="s">
        <v>18</v>
      </c>
      <c r="Q1061" s="22" t="s">
        <v>18</v>
      </c>
      <c r="R1061" s="8">
        <v>148.55225985942991</v>
      </c>
      <c r="S1061" s="9">
        <v>9</v>
      </c>
      <c r="T1061" s="8">
        <v>138.38011518937913</v>
      </c>
      <c r="U1061" s="9">
        <v>7</v>
      </c>
      <c r="V1061" s="8">
        <v>139.2142815306521</v>
      </c>
      <c r="W1061" s="8">
        <v>8</v>
      </c>
      <c r="X1061" s="8"/>
    </row>
    <row r="1062" spans="1:24" x14ac:dyDescent="0.3">
      <c r="A1062" s="1" t="s">
        <v>401</v>
      </c>
      <c r="B1062" s="1" t="s">
        <v>402</v>
      </c>
      <c r="C1062" s="1" t="s">
        <v>56</v>
      </c>
      <c r="D1062" s="1" t="s">
        <v>400</v>
      </c>
      <c r="F1062" s="1">
        <v>2020</v>
      </c>
      <c r="G1062" s="1" t="s">
        <v>19</v>
      </c>
      <c r="H1062" s="1">
        <v>2019</v>
      </c>
      <c r="I1062" s="1" t="s">
        <v>1601</v>
      </c>
      <c r="J1062" s="6">
        <v>19099.72</v>
      </c>
      <c r="K1062" s="6">
        <v>0</v>
      </c>
      <c r="L1062" s="21">
        <v>0</v>
      </c>
      <c r="M1062" s="1">
        <v>0</v>
      </c>
      <c r="N1062" s="1" t="s">
        <v>1589</v>
      </c>
      <c r="O1062" s="1">
        <v>4</v>
      </c>
      <c r="P1062" s="1" t="s">
        <v>18</v>
      </c>
      <c r="Q1062" s="22" t="s">
        <v>18</v>
      </c>
      <c r="R1062" s="8">
        <v>135.24257161885095</v>
      </c>
      <c r="S1062" s="9">
        <v>8</v>
      </c>
      <c r="T1062" s="8">
        <v>129.92911728548899</v>
      </c>
      <c r="U1062" s="9">
        <v>6</v>
      </c>
      <c r="V1062" s="8">
        <v>133.28708483684576</v>
      </c>
      <c r="W1062" s="8">
        <v>7</v>
      </c>
      <c r="X1062" s="8"/>
    </row>
    <row r="1063" spans="1:24" x14ac:dyDescent="0.3">
      <c r="A1063" s="1" t="s">
        <v>2037</v>
      </c>
      <c r="B1063" s="1" t="s">
        <v>2038</v>
      </c>
      <c r="C1063" s="1" t="s">
        <v>56</v>
      </c>
      <c r="D1063" s="1" t="s">
        <v>400</v>
      </c>
      <c r="F1063" s="1">
        <v>2019</v>
      </c>
      <c r="G1063" s="1" t="s">
        <v>25</v>
      </c>
      <c r="H1063" s="1">
        <v>2017</v>
      </c>
      <c r="I1063" s="1" t="s">
        <v>1598</v>
      </c>
      <c r="J1063" s="6">
        <v>13973</v>
      </c>
      <c r="K1063" s="6">
        <v>4312</v>
      </c>
      <c r="L1063" s="21">
        <v>0.30859514778501396</v>
      </c>
      <c r="M1063" s="1">
        <v>0</v>
      </c>
      <c r="N1063" s="1" t="s">
        <v>28</v>
      </c>
      <c r="O1063" s="1" t="s">
        <v>18</v>
      </c>
      <c r="P1063" s="1" t="s">
        <v>18</v>
      </c>
      <c r="Q1063" s="22" t="s">
        <v>18</v>
      </c>
      <c r="R1063" s="8">
        <v>107.16095326701496</v>
      </c>
      <c r="S1063" s="9">
        <v>6</v>
      </c>
      <c r="T1063" s="8">
        <v>103.999499033851</v>
      </c>
      <c r="U1063" s="9">
        <v>5</v>
      </c>
      <c r="V1063" s="8">
        <v>97.712016030916772</v>
      </c>
      <c r="W1063" s="8">
        <v>6</v>
      </c>
      <c r="X1063" s="8"/>
    </row>
    <row r="1064" spans="1:24" x14ac:dyDescent="0.3">
      <c r="A1064" s="1" t="s">
        <v>1400</v>
      </c>
      <c r="B1064" s="1" t="s">
        <v>1401</v>
      </c>
      <c r="C1064" s="1" t="s">
        <v>56</v>
      </c>
      <c r="D1064" s="1" t="s">
        <v>400</v>
      </c>
      <c r="F1064" s="1">
        <v>2004</v>
      </c>
      <c r="J1064" s="6">
        <v>7000</v>
      </c>
      <c r="K1064" s="6">
        <v>3000</v>
      </c>
      <c r="L1064" s="21">
        <v>0.42857142857142855</v>
      </c>
      <c r="M1064" s="1">
        <v>0</v>
      </c>
      <c r="N1064" s="1" t="s">
        <v>28</v>
      </c>
      <c r="O1064" s="1" t="s">
        <v>18</v>
      </c>
      <c r="P1064" s="1" t="s">
        <v>18</v>
      </c>
      <c r="Q1064" s="22" t="s">
        <v>18</v>
      </c>
      <c r="R1064" s="8">
        <v>80.331161428571434</v>
      </c>
      <c r="S1064" s="9">
        <v>5</v>
      </c>
      <c r="T1064" s="8">
        <v>77.755564285714286</v>
      </c>
      <c r="U1064" s="9">
        <v>4</v>
      </c>
      <c r="V1064" s="8">
        <v>82.147308571428582</v>
      </c>
      <c r="W1064" s="8">
        <v>5</v>
      </c>
      <c r="X1064" s="8"/>
    </row>
    <row r="1065" spans="1:24" x14ac:dyDescent="0.3">
      <c r="A1065" s="1" t="s">
        <v>1404</v>
      </c>
      <c r="B1065" s="1" t="s">
        <v>1405</v>
      </c>
      <c r="C1065" s="1" t="s">
        <v>56</v>
      </c>
      <c r="D1065" s="1" t="s">
        <v>400</v>
      </c>
      <c r="F1065" s="1">
        <v>2004</v>
      </c>
      <c r="G1065" s="1" t="s">
        <v>25</v>
      </c>
      <c r="H1065" s="1">
        <v>2020</v>
      </c>
      <c r="I1065" s="1" t="s">
        <v>1599</v>
      </c>
      <c r="J1065" s="6">
        <v>9500</v>
      </c>
      <c r="K1065" s="6">
        <v>3500</v>
      </c>
      <c r="L1065" s="21">
        <v>0.36842105263157893</v>
      </c>
      <c r="M1065" s="1">
        <v>0</v>
      </c>
      <c r="N1065" s="1" t="s">
        <v>28</v>
      </c>
      <c r="O1065" s="1" t="s">
        <v>18</v>
      </c>
      <c r="P1065" s="1" t="s">
        <v>18</v>
      </c>
      <c r="Q1065" s="22" t="s">
        <v>18</v>
      </c>
      <c r="R1065" s="8">
        <v>68.744871578947368</v>
      </c>
      <c r="S1065" s="9">
        <v>4</v>
      </c>
      <c r="T1065" s="8">
        <v>62.907974736842107</v>
      </c>
      <c r="U1065" s="9">
        <v>3</v>
      </c>
      <c r="V1065" s="8">
        <v>66.994536842105262</v>
      </c>
      <c r="W1065" s="8">
        <v>4</v>
      </c>
      <c r="X1065" s="8"/>
    </row>
    <row r="1066" spans="1:24" x14ac:dyDescent="0.3">
      <c r="A1066" s="1" t="s">
        <v>1361</v>
      </c>
      <c r="B1066" s="1" t="s">
        <v>1362</v>
      </c>
      <c r="C1066" s="1" t="s">
        <v>56</v>
      </c>
      <c r="D1066" s="1" t="s">
        <v>400</v>
      </c>
      <c r="F1066" s="1">
        <v>1992</v>
      </c>
      <c r="G1066" s="1" t="s">
        <v>25</v>
      </c>
      <c r="H1066" s="1">
        <v>2022</v>
      </c>
      <c r="I1066" s="1" t="s">
        <v>1599</v>
      </c>
      <c r="J1066" s="6">
        <v>36664</v>
      </c>
      <c r="K1066" s="6">
        <v>15000</v>
      </c>
      <c r="L1066" s="21">
        <v>0.4091206633209688</v>
      </c>
      <c r="M1066" s="1">
        <v>0</v>
      </c>
      <c r="N1066" s="1" t="s">
        <v>28</v>
      </c>
      <c r="O1066" s="1" t="s">
        <v>18</v>
      </c>
      <c r="P1066" s="1" t="s">
        <v>18</v>
      </c>
      <c r="Q1066" s="22" t="s">
        <v>18</v>
      </c>
      <c r="R1066" s="8">
        <v>42.640240290202925</v>
      </c>
      <c r="S1066" s="9">
        <v>2</v>
      </c>
      <c r="T1066" s="8">
        <v>37.922335260746237</v>
      </c>
      <c r="U1066" s="9">
        <v>1</v>
      </c>
      <c r="V1066" s="8">
        <v>40.661925049094478</v>
      </c>
      <c r="W1066" s="8">
        <v>3</v>
      </c>
      <c r="X1066" s="8"/>
    </row>
    <row r="1067" spans="1:24" x14ac:dyDescent="0.3">
      <c r="A1067" s="1" t="s">
        <v>1712</v>
      </c>
      <c r="B1067" s="1" t="s">
        <v>399</v>
      </c>
      <c r="C1067" s="1" t="s">
        <v>56</v>
      </c>
      <c r="D1067" s="1" t="s">
        <v>400</v>
      </c>
      <c r="F1067" s="1">
        <v>1995</v>
      </c>
      <c r="G1067" s="1" t="s">
        <v>47</v>
      </c>
      <c r="H1067" s="1">
        <v>2022</v>
      </c>
      <c r="I1067" s="1" t="s">
        <v>1924</v>
      </c>
      <c r="J1067" s="6">
        <v>301318</v>
      </c>
      <c r="K1067" s="6">
        <v>18965</v>
      </c>
      <c r="L1067" s="21">
        <v>6.2940149609382781E-2</v>
      </c>
      <c r="M1067" s="1">
        <v>0</v>
      </c>
      <c r="N1067" s="1" t="s">
        <v>28</v>
      </c>
      <c r="Q1067" s="22"/>
      <c r="R1067" s="8">
        <v>61.530888463351012</v>
      </c>
      <c r="S1067" s="9">
        <v>3</v>
      </c>
      <c r="T1067" s="8">
        <v>38.226491613511307</v>
      </c>
      <c r="U1067" s="9">
        <v>2</v>
      </c>
      <c r="V1067" s="8">
        <v>33.966308020098367</v>
      </c>
      <c r="W1067" s="8">
        <v>2</v>
      </c>
      <c r="X1067" s="8"/>
    </row>
    <row r="1068" spans="1:24" x14ac:dyDescent="0.3">
      <c r="A1068" s="1" t="s">
        <v>2454</v>
      </c>
      <c r="B1068" s="1" t="s">
        <v>403</v>
      </c>
      <c r="C1068" s="1" t="s">
        <v>56</v>
      </c>
      <c r="D1068" s="1" t="s">
        <v>400</v>
      </c>
      <c r="F1068" s="1">
        <v>2003</v>
      </c>
      <c r="J1068" s="6">
        <v>6400</v>
      </c>
      <c r="K1068" s="6">
        <v>74</v>
      </c>
      <c r="L1068" s="21">
        <v>1.15625E-2</v>
      </c>
      <c r="M1068" s="1">
        <v>0</v>
      </c>
      <c r="N1068" s="1" t="s">
        <v>28</v>
      </c>
      <c r="O1068" s="1" t="s">
        <v>18</v>
      </c>
      <c r="P1068" s="1" t="s">
        <v>18</v>
      </c>
      <c r="Q1068" s="22" t="s">
        <v>18</v>
      </c>
      <c r="R1068" s="8">
        <v>15.489218749999999</v>
      </c>
      <c r="S1068" s="9">
        <v>1</v>
      </c>
      <c r="T1068" s="8">
        <v>0</v>
      </c>
      <c r="U1068" s="9"/>
      <c r="V1068" s="8">
        <v>15.346875000000001</v>
      </c>
      <c r="W1068" s="8">
        <v>1</v>
      </c>
      <c r="X1068" s="8"/>
    </row>
    <row r="1069" spans="1:24" x14ac:dyDescent="0.3">
      <c r="A1069" s="1" t="s">
        <v>1988</v>
      </c>
      <c r="B1069" s="1" t="s">
        <v>839</v>
      </c>
      <c r="C1069" s="1" t="s">
        <v>56</v>
      </c>
      <c r="D1069" s="1" t="s">
        <v>400</v>
      </c>
      <c r="F1069" s="1">
        <v>2004</v>
      </c>
      <c r="J1069" s="6">
        <v>145993</v>
      </c>
      <c r="K1069" s="6">
        <v>24500</v>
      </c>
      <c r="L1069" s="21">
        <v>0.16781626516339823</v>
      </c>
      <c r="M1069" s="1">
        <v>0</v>
      </c>
      <c r="N1069" s="1" t="s">
        <v>1590</v>
      </c>
      <c r="O1069" s="1" t="s">
        <v>18</v>
      </c>
      <c r="P1069" s="1" t="s">
        <v>18</v>
      </c>
      <c r="Q1069" s="22" t="s">
        <v>18</v>
      </c>
      <c r="R1069" s="8"/>
      <c r="S1069" s="9" t="s">
        <v>18</v>
      </c>
      <c r="T1069" s="8"/>
      <c r="U1069" s="9" t="s">
        <v>18</v>
      </c>
      <c r="V1069" s="8"/>
      <c r="W1069" s="8" t="s">
        <v>18</v>
      </c>
      <c r="X1069" s="8"/>
    </row>
    <row r="1070" spans="1:24" x14ac:dyDescent="0.3">
      <c r="A1070" s="1" t="s">
        <v>1990</v>
      </c>
      <c r="B1070" s="1" t="s">
        <v>836</v>
      </c>
      <c r="C1070" s="1" t="s">
        <v>56</v>
      </c>
      <c r="D1070" s="1" t="s">
        <v>400</v>
      </c>
      <c r="F1070" s="1">
        <v>2009</v>
      </c>
      <c r="J1070" s="6">
        <v>150098</v>
      </c>
      <c r="K1070" s="6">
        <v>35000</v>
      </c>
      <c r="L1070" s="21">
        <v>0.23318098842089835</v>
      </c>
      <c r="M1070" s="1">
        <v>0</v>
      </c>
      <c r="N1070" s="1" t="s">
        <v>28</v>
      </c>
      <c r="O1070" s="1" t="s">
        <v>18</v>
      </c>
      <c r="P1070" s="1" t="s">
        <v>18</v>
      </c>
      <c r="Q1070" s="22" t="s">
        <v>18</v>
      </c>
      <c r="R1070" s="8"/>
      <c r="S1070" s="9" t="s">
        <v>18</v>
      </c>
      <c r="T1070" s="8"/>
      <c r="U1070" s="9" t="s">
        <v>18</v>
      </c>
      <c r="V1070" s="8"/>
      <c r="W1070" s="8" t="s">
        <v>18</v>
      </c>
      <c r="X1070" s="8" t="s">
        <v>1773</v>
      </c>
    </row>
    <row r="1071" spans="1:24" x14ac:dyDescent="0.3">
      <c r="A1071" s="1" t="s">
        <v>1991</v>
      </c>
      <c r="B1071" s="1" t="s">
        <v>838</v>
      </c>
      <c r="C1071" s="1" t="s">
        <v>56</v>
      </c>
      <c r="D1071" s="1" t="s">
        <v>400</v>
      </c>
      <c r="F1071" s="1">
        <v>2018</v>
      </c>
      <c r="J1071" s="6">
        <v>25295</v>
      </c>
      <c r="K1071" s="6">
        <v>20000</v>
      </c>
      <c r="L1071" s="21">
        <v>0.79067009290373591</v>
      </c>
      <c r="M1071" s="1">
        <v>0</v>
      </c>
      <c r="N1071" s="1" t="s">
        <v>1589</v>
      </c>
      <c r="O1071" s="1">
        <v>5</v>
      </c>
      <c r="P1071" s="1">
        <v>0.63</v>
      </c>
      <c r="Q1071" s="22">
        <v>44621</v>
      </c>
      <c r="R1071" s="8"/>
      <c r="S1071" s="9" t="s">
        <v>18</v>
      </c>
      <c r="T1071" s="8"/>
      <c r="U1071" s="9" t="s">
        <v>18</v>
      </c>
      <c r="V1071" s="8"/>
      <c r="W1071" s="8" t="s">
        <v>18</v>
      </c>
      <c r="X1071" s="8"/>
    </row>
    <row r="1072" spans="1:24" x14ac:dyDescent="0.3">
      <c r="A1072" s="1" t="s">
        <v>1998</v>
      </c>
      <c r="B1072" s="1" t="s">
        <v>840</v>
      </c>
      <c r="C1072" s="1" t="s">
        <v>56</v>
      </c>
      <c r="D1072" s="1" t="s">
        <v>400</v>
      </c>
      <c r="F1072" s="1">
        <v>1994</v>
      </c>
      <c r="G1072" s="1" t="s">
        <v>21</v>
      </c>
      <c r="H1072" s="1">
        <v>2018</v>
      </c>
      <c r="I1072" s="1" t="s">
        <v>1601</v>
      </c>
      <c r="J1072" s="6">
        <v>55502</v>
      </c>
      <c r="K1072" s="6">
        <v>12704</v>
      </c>
      <c r="L1072" s="21">
        <v>0.22889265251702642</v>
      </c>
      <c r="M1072" s="1">
        <v>0</v>
      </c>
      <c r="N1072" s="1" t="s">
        <v>28</v>
      </c>
      <c r="O1072" s="1" t="s">
        <v>18</v>
      </c>
      <c r="P1072" s="1" t="s">
        <v>18</v>
      </c>
      <c r="Q1072" s="22" t="s">
        <v>18</v>
      </c>
      <c r="R1072" s="8"/>
      <c r="S1072" s="9" t="s">
        <v>18</v>
      </c>
      <c r="T1072" s="8"/>
      <c r="U1072" s="9" t="s">
        <v>18</v>
      </c>
      <c r="V1072" s="8"/>
      <c r="W1072" s="8" t="s">
        <v>18</v>
      </c>
      <c r="X1072" s="8"/>
    </row>
    <row r="1073" spans="1:24" x14ac:dyDescent="0.3">
      <c r="A1073" s="1" t="s">
        <v>2000</v>
      </c>
      <c r="B1073" s="1" t="s">
        <v>2001</v>
      </c>
      <c r="C1073" s="1" t="s">
        <v>56</v>
      </c>
      <c r="D1073" s="1" t="s">
        <v>400</v>
      </c>
      <c r="F1073" s="1">
        <v>2021</v>
      </c>
      <c r="J1073" s="6">
        <v>53488</v>
      </c>
      <c r="K1073" s="6">
        <v>8787</v>
      </c>
      <c r="L1073" s="21">
        <v>0.16427983846844152</v>
      </c>
      <c r="M1073" s="1">
        <v>0</v>
      </c>
      <c r="N1073" s="1" t="s">
        <v>1589</v>
      </c>
      <c r="O1073" s="1">
        <v>3</v>
      </c>
      <c r="P1073" s="1" t="s">
        <v>18</v>
      </c>
      <c r="Q1073" s="22" t="s">
        <v>18</v>
      </c>
      <c r="R1073" s="8"/>
      <c r="S1073" s="9" t="s">
        <v>18</v>
      </c>
      <c r="T1073" s="8"/>
      <c r="U1073" s="9" t="s">
        <v>18</v>
      </c>
      <c r="V1073" s="8"/>
      <c r="W1073" s="8" t="s">
        <v>18</v>
      </c>
      <c r="X1073" s="8"/>
    </row>
    <row r="1074" spans="1:24" x14ac:dyDescent="0.3">
      <c r="A1074" s="1" t="s">
        <v>2328</v>
      </c>
      <c r="B1074" s="1" t="s">
        <v>483</v>
      </c>
      <c r="C1074" s="1" t="s">
        <v>56</v>
      </c>
      <c r="D1074" s="1" t="s">
        <v>13</v>
      </c>
      <c r="F1074" s="1">
        <v>2020</v>
      </c>
      <c r="J1074" s="6">
        <v>6835</v>
      </c>
      <c r="K1074" s="6">
        <v>5326</v>
      </c>
      <c r="L1074" s="21">
        <v>0.77922457937088518</v>
      </c>
      <c r="M1074" s="1">
        <v>0</v>
      </c>
      <c r="N1074" s="1" t="s">
        <v>28</v>
      </c>
      <c r="O1074" s="1" t="s">
        <v>18</v>
      </c>
      <c r="P1074" s="1" t="s">
        <v>18</v>
      </c>
      <c r="Q1074" s="22" t="s">
        <v>18</v>
      </c>
      <c r="R1074" s="8">
        <v>290.04163569861009</v>
      </c>
      <c r="S1074" s="9">
        <v>38</v>
      </c>
      <c r="T1074" s="8">
        <v>260.09403072421361</v>
      </c>
      <c r="U1074" s="9" t="e">
        <f t="shared" ref="U1074:U1093" si="2">U1073+1</f>
        <v>#VALUE!</v>
      </c>
      <c r="V1074" s="8">
        <v>333.28968544257498</v>
      </c>
      <c r="W1074" s="8">
        <v>41</v>
      </c>
      <c r="X1074" s="8"/>
    </row>
    <row r="1075" spans="1:24" x14ac:dyDescent="0.3">
      <c r="A1075" s="1" t="s">
        <v>1482</v>
      </c>
      <c r="B1075" s="1" t="s">
        <v>2066</v>
      </c>
      <c r="C1075" s="1" t="s">
        <v>56</v>
      </c>
      <c r="D1075" s="1" t="s">
        <v>13</v>
      </c>
      <c r="F1075" s="1">
        <v>2013</v>
      </c>
      <c r="G1075" s="1" t="s">
        <v>25</v>
      </c>
      <c r="H1075" s="1">
        <v>2019</v>
      </c>
      <c r="I1075" s="1" t="s">
        <v>1601</v>
      </c>
      <c r="J1075" s="6">
        <v>5200</v>
      </c>
      <c r="K1075" s="6">
        <v>1200</v>
      </c>
      <c r="L1075" s="21">
        <v>0.23076923076923078</v>
      </c>
      <c r="M1075" s="1">
        <v>0</v>
      </c>
      <c r="N1075" s="1" t="s">
        <v>28</v>
      </c>
      <c r="O1075" s="1" t="s">
        <v>18</v>
      </c>
      <c r="P1075" s="1" t="s">
        <v>18</v>
      </c>
      <c r="Q1075" s="22" t="s">
        <v>18</v>
      </c>
      <c r="R1075" s="8">
        <v>291.48552115384615</v>
      </c>
      <c r="S1075" s="9">
        <v>39</v>
      </c>
      <c r="T1075" s="8">
        <v>292.72612884615387</v>
      </c>
      <c r="U1075" s="9" t="e">
        <f t="shared" si="2"/>
        <v>#VALUE!</v>
      </c>
      <c r="V1075" s="8">
        <v>243.30413076923077</v>
      </c>
      <c r="W1075" s="8">
        <v>40</v>
      </c>
      <c r="X1075" s="8"/>
    </row>
    <row r="1076" spans="1:24" x14ac:dyDescent="0.3">
      <c r="A1076" s="1" t="s">
        <v>2550</v>
      </c>
      <c r="B1076" s="1" t="s">
        <v>2551</v>
      </c>
      <c r="C1076" s="1" t="s">
        <v>56</v>
      </c>
      <c r="D1076" s="1" t="s">
        <v>13</v>
      </c>
      <c r="F1076" s="1">
        <v>2015</v>
      </c>
      <c r="J1076" s="6">
        <v>4805</v>
      </c>
      <c r="K1076" s="6">
        <v>1541</v>
      </c>
      <c r="L1076" s="21">
        <v>0.32070759625390216</v>
      </c>
      <c r="M1076" s="1">
        <v>0</v>
      </c>
      <c r="N1076" s="1" t="s">
        <v>28</v>
      </c>
      <c r="O1076" s="1" t="s">
        <v>18</v>
      </c>
      <c r="P1076" s="1" t="s">
        <v>18</v>
      </c>
      <c r="Q1076" s="22" t="s">
        <v>18</v>
      </c>
      <c r="R1076" s="8">
        <v>202.31192299687825</v>
      </c>
      <c r="S1076" s="9">
        <v>36</v>
      </c>
      <c r="T1076" s="8">
        <v>254.01382101977111</v>
      </c>
      <c r="U1076" s="9" t="e">
        <f t="shared" si="2"/>
        <v>#VALUE!</v>
      </c>
      <c r="V1076" s="8">
        <v>242.190901144641</v>
      </c>
      <c r="W1076" s="8">
        <v>39</v>
      </c>
      <c r="X1076" s="8"/>
    </row>
    <row r="1077" spans="1:24" x14ac:dyDescent="0.3">
      <c r="A1077" s="1" t="s">
        <v>377</v>
      </c>
      <c r="B1077" s="1" t="s">
        <v>378</v>
      </c>
      <c r="C1077" s="1" t="s">
        <v>56</v>
      </c>
      <c r="D1077" s="1" t="s">
        <v>13</v>
      </c>
      <c r="F1077" s="1">
        <v>1999</v>
      </c>
      <c r="J1077" s="6">
        <v>7825</v>
      </c>
      <c r="K1077" s="6">
        <v>7000</v>
      </c>
      <c r="L1077" s="21">
        <v>0.89456869009584661</v>
      </c>
      <c r="M1077" s="1">
        <v>0</v>
      </c>
      <c r="N1077" s="1" t="s">
        <v>28</v>
      </c>
      <c r="O1077" s="1" t="s">
        <v>18</v>
      </c>
      <c r="P1077" s="1" t="s">
        <v>18</v>
      </c>
      <c r="Q1077" s="22" t="s">
        <v>18</v>
      </c>
      <c r="R1077" s="8">
        <v>236.27156549520768</v>
      </c>
      <c r="S1077" s="9">
        <v>37</v>
      </c>
      <c r="T1077" s="8">
        <v>231.28686900958468</v>
      </c>
      <c r="U1077" s="9" t="e">
        <f t="shared" si="2"/>
        <v>#VALUE!</v>
      </c>
      <c r="V1077" s="8">
        <v>230.02207667731631</v>
      </c>
      <c r="W1077" s="8">
        <v>38</v>
      </c>
      <c r="X1077" s="8"/>
    </row>
    <row r="1078" spans="1:24" x14ac:dyDescent="0.3">
      <c r="A1078" s="1" t="s">
        <v>2146</v>
      </c>
      <c r="B1078" s="1" t="s">
        <v>2147</v>
      </c>
      <c r="C1078" s="1" t="s">
        <v>56</v>
      </c>
      <c r="D1078" s="1" t="s">
        <v>13</v>
      </c>
      <c r="F1078" s="1">
        <v>2016</v>
      </c>
      <c r="G1078" s="1" t="s">
        <v>19</v>
      </c>
      <c r="H1078" s="1">
        <v>2016</v>
      </c>
      <c r="I1078" s="1" t="s">
        <v>1598</v>
      </c>
      <c r="J1078" s="6">
        <v>8806</v>
      </c>
      <c r="K1078" s="6">
        <v>5846</v>
      </c>
      <c r="L1078" s="21">
        <v>0.66386554621848737</v>
      </c>
      <c r="M1078" s="1">
        <v>0</v>
      </c>
      <c r="N1078" s="1" t="s">
        <v>1589</v>
      </c>
      <c r="O1078" s="1">
        <v>2016</v>
      </c>
      <c r="P1078" s="1">
        <v>0.6</v>
      </c>
      <c r="Q1078" s="22">
        <v>44587</v>
      </c>
      <c r="R1078" s="8">
        <v>171.78420735861911</v>
      </c>
      <c r="S1078" s="9">
        <v>33</v>
      </c>
      <c r="T1078" s="8">
        <v>209.34424483306836</v>
      </c>
      <c r="U1078" s="9" t="e">
        <f t="shared" si="2"/>
        <v>#VALUE!</v>
      </c>
      <c r="V1078" s="8">
        <v>220.00632863956392</v>
      </c>
      <c r="W1078" s="8">
        <v>37</v>
      </c>
      <c r="X1078" s="8"/>
    </row>
    <row r="1079" spans="1:24" x14ac:dyDescent="0.3">
      <c r="A1079" s="1" t="s">
        <v>2064</v>
      </c>
      <c r="B1079" s="1" t="s">
        <v>2065</v>
      </c>
      <c r="C1079" s="1" t="s">
        <v>56</v>
      </c>
      <c r="D1079" s="1" t="s">
        <v>13</v>
      </c>
      <c r="F1079" s="1">
        <v>1956</v>
      </c>
      <c r="J1079" s="6">
        <v>619</v>
      </c>
      <c r="K1079" s="6">
        <v>264</v>
      </c>
      <c r="L1079" s="21">
        <v>0.42649434571890144</v>
      </c>
      <c r="M1079" s="1">
        <v>0</v>
      </c>
      <c r="N1079" s="1" t="s">
        <v>28</v>
      </c>
      <c r="O1079" s="1" t="s">
        <v>18</v>
      </c>
      <c r="P1079" s="1" t="s">
        <v>18</v>
      </c>
      <c r="Q1079" s="22" t="s">
        <v>18</v>
      </c>
      <c r="R1079" s="8">
        <v>159.86752827140549</v>
      </c>
      <c r="S1079" s="9">
        <v>30</v>
      </c>
      <c r="T1079" s="8">
        <v>152.52665589660742</v>
      </c>
      <c r="U1079" s="9" t="e">
        <f t="shared" si="2"/>
        <v>#VALUE!</v>
      </c>
      <c r="V1079" s="8">
        <v>195.46042003231017</v>
      </c>
      <c r="W1079" s="8">
        <v>36</v>
      </c>
      <c r="X1079" s="8"/>
    </row>
    <row r="1080" spans="1:24" x14ac:dyDescent="0.3">
      <c r="A1080" s="1" t="s">
        <v>2061</v>
      </c>
      <c r="B1080" s="1" t="s">
        <v>542</v>
      </c>
      <c r="C1080" s="1" t="s">
        <v>56</v>
      </c>
      <c r="D1080" s="1" t="s">
        <v>13</v>
      </c>
      <c r="F1080" s="1">
        <v>2000</v>
      </c>
      <c r="J1080" s="6">
        <v>14576</v>
      </c>
      <c r="K1080" s="6">
        <v>11809</v>
      </c>
      <c r="L1080" s="21">
        <v>0.81016739846322727</v>
      </c>
      <c r="M1080" s="1">
        <v>175</v>
      </c>
      <c r="N1080" s="1" t="s">
        <v>1589</v>
      </c>
      <c r="O1080" s="1">
        <v>13</v>
      </c>
      <c r="P1080" s="1">
        <v>0.9</v>
      </c>
      <c r="Q1080" s="22">
        <v>44977</v>
      </c>
      <c r="R1080" s="8">
        <v>170.93314215148189</v>
      </c>
      <c r="S1080" s="9">
        <v>32</v>
      </c>
      <c r="T1080" s="8">
        <v>173.12106750823273</v>
      </c>
      <c r="U1080" s="9" t="e">
        <f t="shared" si="2"/>
        <v>#VALUE!</v>
      </c>
      <c r="V1080" s="8">
        <v>188.08912047200877</v>
      </c>
      <c r="W1080" s="8">
        <v>35</v>
      </c>
      <c r="X1080" s="8"/>
    </row>
    <row r="1081" spans="1:24" x14ac:dyDescent="0.3">
      <c r="A1081" s="1" t="s">
        <v>2030</v>
      </c>
      <c r="B1081" s="1" t="s">
        <v>859</v>
      </c>
      <c r="C1081" s="1" t="s">
        <v>56</v>
      </c>
      <c r="D1081" s="1" t="s">
        <v>13</v>
      </c>
      <c r="F1081" s="1">
        <v>2017</v>
      </c>
      <c r="G1081" s="1" t="s">
        <v>19</v>
      </c>
      <c r="H1081" s="1">
        <v>2022</v>
      </c>
      <c r="I1081" s="1" t="s">
        <v>1599</v>
      </c>
      <c r="J1081" s="6">
        <v>42842</v>
      </c>
      <c r="K1081" s="6">
        <v>16397</v>
      </c>
      <c r="L1081" s="21">
        <v>0.38273189860417345</v>
      </c>
      <c r="M1081" s="1">
        <v>0</v>
      </c>
      <c r="N1081" s="1" t="s">
        <v>1589</v>
      </c>
      <c r="O1081" s="1">
        <v>6</v>
      </c>
      <c r="P1081" s="1">
        <v>0.56999999999999995</v>
      </c>
      <c r="Q1081" s="22">
        <v>44330</v>
      </c>
      <c r="R1081" s="8">
        <v>175.74971406563651</v>
      </c>
      <c r="S1081" s="9">
        <v>34</v>
      </c>
      <c r="T1081" s="8">
        <v>175.06297325054851</v>
      </c>
      <c r="U1081" s="9" t="e">
        <f t="shared" si="2"/>
        <v>#VALUE!</v>
      </c>
      <c r="V1081" s="8">
        <v>177.13129265673871</v>
      </c>
      <c r="W1081" s="8">
        <v>34</v>
      </c>
      <c r="X1081" s="8"/>
    </row>
    <row r="1082" spans="1:24" x14ac:dyDescent="0.3">
      <c r="A1082" s="1" t="s">
        <v>1474</v>
      </c>
      <c r="B1082" s="1" t="s">
        <v>2129</v>
      </c>
      <c r="C1082" s="1" t="s">
        <v>56</v>
      </c>
      <c r="D1082" s="1" t="s">
        <v>13</v>
      </c>
      <c r="F1082" s="1">
        <v>2004</v>
      </c>
      <c r="J1082" s="6">
        <v>11472</v>
      </c>
      <c r="K1082" s="6">
        <v>9089</v>
      </c>
      <c r="L1082" s="21">
        <v>0.79227684797768483</v>
      </c>
      <c r="M1082" s="1">
        <v>0</v>
      </c>
      <c r="N1082" s="1" t="s">
        <v>28</v>
      </c>
      <c r="O1082" s="1" t="s">
        <v>18</v>
      </c>
      <c r="P1082" s="1" t="s">
        <v>18</v>
      </c>
      <c r="Q1082" s="22" t="s">
        <v>18</v>
      </c>
      <c r="R1082" s="8">
        <v>163.32194735006973</v>
      </c>
      <c r="S1082" s="9">
        <v>31</v>
      </c>
      <c r="T1082" s="8">
        <v>178.84238319386333</v>
      </c>
      <c r="U1082" s="9" t="e">
        <f t="shared" si="2"/>
        <v>#VALUE!</v>
      </c>
      <c r="V1082" s="8">
        <v>163.68913354253834</v>
      </c>
      <c r="W1082" s="8">
        <v>33</v>
      </c>
      <c r="X1082" s="8"/>
    </row>
    <row r="1083" spans="1:24" x14ac:dyDescent="0.3">
      <c r="A1083" s="1" t="s">
        <v>425</v>
      </c>
      <c r="B1083" s="1" t="s">
        <v>2446</v>
      </c>
      <c r="C1083" s="1" t="s">
        <v>56</v>
      </c>
      <c r="D1083" s="1" t="s">
        <v>13</v>
      </c>
      <c r="F1083" s="1">
        <v>2015</v>
      </c>
      <c r="J1083" s="6">
        <v>10928</v>
      </c>
      <c r="K1083" s="6">
        <v>4828</v>
      </c>
      <c r="L1083" s="21">
        <v>0.44180087847730598</v>
      </c>
      <c r="M1083" s="1">
        <v>0</v>
      </c>
      <c r="N1083" s="1" t="s">
        <v>28</v>
      </c>
      <c r="O1083" s="1" t="s">
        <v>18</v>
      </c>
      <c r="P1083" s="1" t="s">
        <v>18</v>
      </c>
      <c r="Q1083" s="22" t="s">
        <v>18</v>
      </c>
      <c r="R1083" s="8">
        <v>179.90157576866767</v>
      </c>
      <c r="S1083" s="9">
        <v>35</v>
      </c>
      <c r="T1083" s="8">
        <v>182.9869875549048</v>
      </c>
      <c r="U1083" s="9" t="e">
        <f t="shared" si="2"/>
        <v>#VALUE!</v>
      </c>
      <c r="V1083" s="8">
        <v>153.17190336749636</v>
      </c>
      <c r="W1083" s="8">
        <v>32</v>
      </c>
      <c r="X1083" s="8"/>
    </row>
    <row r="1084" spans="1:24" x14ac:dyDescent="0.3">
      <c r="A1084" s="1" t="s">
        <v>2536</v>
      </c>
      <c r="B1084" s="1" t="s">
        <v>2537</v>
      </c>
      <c r="C1084" s="1" t="s">
        <v>56</v>
      </c>
      <c r="D1084" s="1" t="s">
        <v>13</v>
      </c>
      <c r="F1084" s="1">
        <v>2012</v>
      </c>
      <c r="J1084" s="6">
        <v>4175</v>
      </c>
      <c r="K1084" s="6">
        <v>2922</v>
      </c>
      <c r="L1084" s="21">
        <v>0.69988023952095813</v>
      </c>
      <c r="M1084" s="1">
        <v>0</v>
      </c>
      <c r="N1084" s="1" t="s">
        <v>28</v>
      </c>
      <c r="O1084" s="1" t="s">
        <v>18</v>
      </c>
      <c r="P1084" s="1" t="s">
        <v>18</v>
      </c>
      <c r="Q1084" s="22" t="s">
        <v>18</v>
      </c>
      <c r="R1084" s="8">
        <v>111.1139616766467</v>
      </c>
      <c r="S1084" s="9">
        <v>25</v>
      </c>
      <c r="T1084" s="8">
        <v>182.49888383233531</v>
      </c>
      <c r="U1084" s="9" t="e">
        <f t="shared" si="2"/>
        <v>#VALUE!</v>
      </c>
      <c r="V1084" s="8">
        <v>148.11866107784431</v>
      </c>
      <c r="W1084" s="8">
        <v>31</v>
      </c>
      <c r="X1084" s="8"/>
    </row>
    <row r="1085" spans="1:24" x14ac:dyDescent="0.3">
      <c r="A1085" s="1" t="s">
        <v>2441</v>
      </c>
      <c r="B1085" s="1" t="s">
        <v>1584</v>
      </c>
      <c r="C1085" s="1" t="s">
        <v>56</v>
      </c>
      <c r="D1085" s="1" t="s">
        <v>13</v>
      </c>
      <c r="F1085" s="1">
        <v>2005</v>
      </c>
      <c r="G1085" s="1" t="s">
        <v>25</v>
      </c>
      <c r="H1085" s="1">
        <v>2022</v>
      </c>
      <c r="I1085" s="1" t="s">
        <v>1599</v>
      </c>
      <c r="J1085" s="6">
        <v>5584</v>
      </c>
      <c r="K1085" s="6">
        <v>0</v>
      </c>
      <c r="L1085" s="21">
        <v>0</v>
      </c>
      <c r="M1085" s="1">
        <v>0</v>
      </c>
      <c r="N1085" s="1" t="s">
        <v>28</v>
      </c>
      <c r="O1085" s="1" t="s">
        <v>18</v>
      </c>
      <c r="P1085" s="1" t="s">
        <v>18</v>
      </c>
      <c r="Q1085" s="22" t="s">
        <v>18</v>
      </c>
      <c r="R1085" s="8">
        <v>141.80571633237821</v>
      </c>
      <c r="S1085" s="9">
        <v>29</v>
      </c>
      <c r="T1085" s="8">
        <v>135.29545666189111</v>
      </c>
      <c r="U1085" s="9" t="e">
        <f t="shared" si="2"/>
        <v>#VALUE!</v>
      </c>
      <c r="V1085" s="8">
        <v>144.2677829512894</v>
      </c>
      <c r="W1085" s="8">
        <v>30</v>
      </c>
      <c r="X1085" s="8"/>
    </row>
    <row r="1086" spans="1:24" x14ac:dyDescent="0.3">
      <c r="A1086" s="1" t="s">
        <v>2286</v>
      </c>
      <c r="B1086" s="1" t="s">
        <v>2287</v>
      </c>
      <c r="C1086" s="1" t="s">
        <v>56</v>
      </c>
      <c r="D1086" s="1" t="s">
        <v>13</v>
      </c>
      <c r="F1086" s="1">
        <v>2013</v>
      </c>
      <c r="G1086" s="1" t="s">
        <v>19</v>
      </c>
      <c r="H1086" s="1">
        <v>2022</v>
      </c>
      <c r="I1086" s="1" t="s">
        <v>1818</v>
      </c>
      <c r="J1086" s="6">
        <v>27065</v>
      </c>
      <c r="K1086" s="6">
        <v>20238</v>
      </c>
      <c r="L1086" s="21">
        <v>0.74775540365786075</v>
      </c>
      <c r="M1086" s="1">
        <v>0</v>
      </c>
      <c r="N1086" s="1" t="s">
        <v>1589</v>
      </c>
      <c r="O1086" s="1">
        <v>10</v>
      </c>
      <c r="P1086" s="1">
        <v>0.65</v>
      </c>
      <c r="Q1086" s="22">
        <v>44879</v>
      </c>
      <c r="R1086" s="8">
        <v>130.62438573803806</v>
      </c>
      <c r="S1086" s="9">
        <v>28</v>
      </c>
      <c r="T1086" s="8">
        <v>128.50260484019952</v>
      </c>
      <c r="U1086" s="9" t="e">
        <f t="shared" si="2"/>
        <v>#VALUE!</v>
      </c>
      <c r="V1086" s="8">
        <v>138.01189728431552</v>
      </c>
      <c r="W1086" s="8">
        <v>29</v>
      </c>
      <c r="X1086" s="8"/>
    </row>
    <row r="1087" spans="1:24" x14ac:dyDescent="0.3">
      <c r="A1087" s="1" t="s">
        <v>2273</v>
      </c>
      <c r="B1087" s="1" t="s">
        <v>2274</v>
      </c>
      <c r="C1087" s="1" t="s">
        <v>56</v>
      </c>
      <c r="D1087" s="1" t="s">
        <v>13</v>
      </c>
      <c r="F1087" s="1">
        <v>1993</v>
      </c>
      <c r="J1087" s="6">
        <v>6793</v>
      </c>
      <c r="K1087" s="6">
        <v>462</v>
      </c>
      <c r="L1087" s="21">
        <v>6.8011187987634336E-2</v>
      </c>
      <c r="M1087" s="1">
        <v>0</v>
      </c>
      <c r="N1087" s="1" t="s">
        <v>28</v>
      </c>
      <c r="O1087" s="1" t="s">
        <v>18</v>
      </c>
      <c r="P1087" s="1" t="s">
        <v>18</v>
      </c>
      <c r="Q1087" s="22" t="s">
        <v>18</v>
      </c>
      <c r="R1087" s="8">
        <v>119.11955689680553</v>
      </c>
      <c r="S1087" s="9">
        <v>26</v>
      </c>
      <c r="T1087" s="8">
        <v>123.09722508464596</v>
      </c>
      <c r="U1087" s="9" t="e">
        <f t="shared" si="2"/>
        <v>#VALUE!</v>
      </c>
      <c r="V1087" s="8">
        <v>127.62113940821435</v>
      </c>
      <c r="W1087" s="8">
        <v>28</v>
      </c>
      <c r="X1087" s="8"/>
    </row>
    <row r="1088" spans="1:24" x14ac:dyDescent="0.3">
      <c r="A1088" s="1" t="s">
        <v>1483</v>
      </c>
      <c r="B1088" s="1" t="s">
        <v>1484</v>
      </c>
      <c r="C1088" s="1" t="s">
        <v>56</v>
      </c>
      <c r="D1088" s="1" t="s">
        <v>13</v>
      </c>
      <c r="F1088" s="1">
        <v>1995</v>
      </c>
      <c r="J1088" s="6">
        <v>7636</v>
      </c>
      <c r="K1088" s="6">
        <v>3818</v>
      </c>
      <c r="L1088" s="21">
        <v>0.5</v>
      </c>
      <c r="M1088" s="1">
        <v>0</v>
      </c>
      <c r="N1088" s="1" t="s">
        <v>28</v>
      </c>
      <c r="O1088" s="1" t="s">
        <v>18</v>
      </c>
      <c r="P1088" s="1" t="s">
        <v>18</v>
      </c>
      <c r="Q1088" s="22" t="s">
        <v>18</v>
      </c>
      <c r="R1088" s="8">
        <v>91.84903221581979</v>
      </c>
      <c r="S1088" s="9">
        <v>21</v>
      </c>
      <c r="T1088" s="8">
        <v>112.14428103719224</v>
      </c>
      <c r="U1088" s="9" t="e">
        <f t="shared" si="2"/>
        <v>#VALUE!</v>
      </c>
      <c r="V1088" s="8">
        <v>115.35770298585648</v>
      </c>
      <c r="W1088" s="8">
        <v>27</v>
      </c>
      <c r="X1088" s="8"/>
    </row>
    <row r="1089" spans="1:24" x14ac:dyDescent="0.3">
      <c r="A1089" s="1" t="s">
        <v>801</v>
      </c>
      <c r="B1089" s="1" t="s">
        <v>802</v>
      </c>
      <c r="C1089" s="1" t="s">
        <v>56</v>
      </c>
      <c r="D1089" s="1" t="s">
        <v>13</v>
      </c>
      <c r="F1089" s="1">
        <v>1987</v>
      </c>
      <c r="G1089" s="1" t="s">
        <v>21</v>
      </c>
      <c r="H1089" s="1">
        <v>2017</v>
      </c>
      <c r="I1089" s="1" t="s">
        <v>1601</v>
      </c>
      <c r="J1089" s="6">
        <v>8710</v>
      </c>
      <c r="K1089" s="6">
        <v>7867</v>
      </c>
      <c r="L1089" s="21">
        <v>0.90321469575200919</v>
      </c>
      <c r="M1089" s="1">
        <v>110</v>
      </c>
      <c r="N1089" s="1" t="s">
        <v>1589</v>
      </c>
      <c r="O1089" s="1">
        <v>8</v>
      </c>
      <c r="P1089" s="1">
        <v>0.67</v>
      </c>
      <c r="Q1089" s="22">
        <v>44460</v>
      </c>
      <c r="R1089" s="8">
        <v>105.23979793340986</v>
      </c>
      <c r="S1089" s="9">
        <v>24</v>
      </c>
      <c r="T1089" s="8">
        <v>106.72516188289323</v>
      </c>
      <c r="U1089" s="9" t="e">
        <f t="shared" si="2"/>
        <v>#VALUE!</v>
      </c>
      <c r="V1089" s="8">
        <v>110.69347416762342</v>
      </c>
      <c r="W1089" s="8">
        <v>26</v>
      </c>
      <c r="X1089" s="8"/>
    </row>
    <row r="1090" spans="1:24" x14ac:dyDescent="0.3">
      <c r="A1090" s="1" t="s">
        <v>2362</v>
      </c>
      <c r="B1090" s="1" t="s">
        <v>2363</v>
      </c>
      <c r="C1090" s="1" t="s">
        <v>56</v>
      </c>
      <c r="D1090" s="1" t="s">
        <v>13</v>
      </c>
      <c r="F1090" s="1">
        <v>1999</v>
      </c>
      <c r="J1090" s="6">
        <v>210427</v>
      </c>
      <c r="K1090" s="6">
        <v>559390</v>
      </c>
      <c r="L1090" s="21">
        <v>2.6583565797164814</v>
      </c>
      <c r="M1090" s="1">
        <v>0</v>
      </c>
      <c r="N1090" s="1" t="s">
        <v>1589</v>
      </c>
      <c r="O1090" s="1">
        <v>8</v>
      </c>
      <c r="P1090" s="1" t="s">
        <v>18</v>
      </c>
      <c r="Q1090" s="22" t="s">
        <v>18</v>
      </c>
      <c r="R1090" s="8">
        <v>121.79147162673992</v>
      </c>
      <c r="S1090" s="9">
        <v>27</v>
      </c>
      <c r="T1090" s="8">
        <v>101.67056508908077</v>
      </c>
      <c r="U1090" s="9" t="e">
        <f t="shared" si="2"/>
        <v>#VALUE!</v>
      </c>
      <c r="V1090" s="8">
        <v>97.897703241504175</v>
      </c>
      <c r="W1090" s="8">
        <v>25</v>
      </c>
      <c r="X1090" s="8"/>
    </row>
    <row r="1091" spans="1:24" x14ac:dyDescent="0.3">
      <c r="A1091" s="1" t="s">
        <v>91</v>
      </c>
      <c r="B1091" s="1" t="s">
        <v>92</v>
      </c>
      <c r="C1091" s="1" t="s">
        <v>56</v>
      </c>
      <c r="D1091" s="1" t="s">
        <v>13</v>
      </c>
      <c r="F1091" s="1">
        <v>1978</v>
      </c>
      <c r="J1091" s="6">
        <v>7018</v>
      </c>
      <c r="K1091" s="6">
        <v>7250</v>
      </c>
      <c r="L1091" s="21">
        <v>1.0330578512396693</v>
      </c>
      <c r="M1091" s="1">
        <v>0</v>
      </c>
      <c r="N1091" s="1" t="s">
        <v>28</v>
      </c>
      <c r="O1091" s="1" t="s">
        <v>18</v>
      </c>
      <c r="P1091" s="1" t="s">
        <v>18</v>
      </c>
      <c r="Q1091" s="22" t="s">
        <v>18</v>
      </c>
      <c r="R1091" s="8">
        <v>98.646694214876035</v>
      </c>
      <c r="S1091" s="9">
        <v>23</v>
      </c>
      <c r="T1091" s="8">
        <v>92.890125391849537</v>
      </c>
      <c r="U1091" s="9" t="e">
        <f t="shared" si="2"/>
        <v>#VALUE!</v>
      </c>
      <c r="V1091" s="8">
        <v>97.520205186662878</v>
      </c>
      <c r="W1091" s="8">
        <v>24</v>
      </c>
      <c r="X1091" s="8"/>
    </row>
    <row r="1092" spans="1:24" x14ac:dyDescent="0.3">
      <c r="A1092" s="1" t="s">
        <v>687</v>
      </c>
      <c r="B1092" s="1" t="s">
        <v>688</v>
      </c>
      <c r="C1092" s="1" t="s">
        <v>56</v>
      </c>
      <c r="D1092" s="1" t="s">
        <v>13</v>
      </c>
      <c r="F1092" s="1">
        <v>2017</v>
      </c>
      <c r="J1092" s="6">
        <v>6013</v>
      </c>
      <c r="K1092" s="6">
        <v>1753</v>
      </c>
      <c r="L1092" s="21">
        <v>0.29153500748378514</v>
      </c>
      <c r="M1092" s="1">
        <v>0</v>
      </c>
      <c r="N1092" s="1" t="s">
        <v>28</v>
      </c>
      <c r="O1092" s="1" t="s">
        <v>18</v>
      </c>
      <c r="P1092" s="1" t="s">
        <v>18</v>
      </c>
      <c r="Q1092" s="22" t="s">
        <v>18</v>
      </c>
      <c r="R1092" s="8">
        <v>91.125421586562453</v>
      </c>
      <c r="S1092" s="9">
        <v>20</v>
      </c>
      <c r="T1092" s="8">
        <v>92.995409945118908</v>
      </c>
      <c r="U1092" s="9" t="e">
        <f t="shared" si="2"/>
        <v>#VALUE!</v>
      </c>
      <c r="V1092" s="8">
        <v>97.285305172127067</v>
      </c>
      <c r="W1092" s="8">
        <v>23</v>
      </c>
      <c r="X1092" s="8"/>
    </row>
    <row r="1093" spans="1:24" x14ac:dyDescent="0.3">
      <c r="A1093" s="1" t="s">
        <v>1490</v>
      </c>
      <c r="B1093" s="1" t="s">
        <v>2453</v>
      </c>
      <c r="C1093" s="1" t="s">
        <v>56</v>
      </c>
      <c r="D1093" s="1" t="s">
        <v>13</v>
      </c>
      <c r="F1093" s="1">
        <v>2018</v>
      </c>
      <c r="G1093" s="1" t="s">
        <v>19</v>
      </c>
      <c r="H1093" s="1">
        <v>2022</v>
      </c>
      <c r="I1093" s="1" t="s">
        <v>1598</v>
      </c>
      <c r="J1093" s="6">
        <v>16644</v>
      </c>
      <c r="K1093" s="6">
        <v>7440</v>
      </c>
      <c r="L1093" s="21">
        <v>0.44700793078586876</v>
      </c>
      <c r="M1093" s="1">
        <v>0</v>
      </c>
      <c r="N1093" s="1" t="s">
        <v>1589</v>
      </c>
      <c r="O1093" s="1">
        <v>5</v>
      </c>
      <c r="P1093" s="1">
        <v>0.64800000000000002</v>
      </c>
      <c r="Q1093" s="22">
        <v>44881</v>
      </c>
      <c r="R1093" s="8">
        <v>97.925179043499156</v>
      </c>
      <c r="S1093" s="9">
        <v>22</v>
      </c>
      <c r="T1093" s="8">
        <v>103.29102679644315</v>
      </c>
      <c r="U1093" s="9" t="e">
        <f t="shared" si="2"/>
        <v>#VALUE!</v>
      </c>
      <c r="V1093" s="8">
        <v>87.312891131939438</v>
      </c>
      <c r="W1093" s="8">
        <v>22</v>
      </c>
      <c r="X1093" s="8"/>
    </row>
    <row r="1094" spans="1:24" x14ac:dyDescent="0.3">
      <c r="A1094" s="1" t="s">
        <v>2449</v>
      </c>
      <c r="B1094" s="1" t="s">
        <v>2450</v>
      </c>
      <c r="C1094" s="1" t="s">
        <v>56</v>
      </c>
      <c r="D1094" s="1" t="s">
        <v>13</v>
      </c>
      <c r="F1094" s="1">
        <v>45070</v>
      </c>
      <c r="G1094" s="1" t="s">
        <v>21</v>
      </c>
      <c r="H1094" s="1">
        <v>2022</v>
      </c>
      <c r="I1094" s="1" t="s">
        <v>1599</v>
      </c>
      <c r="J1094" s="6">
        <v>14956</v>
      </c>
      <c r="K1094" s="6">
        <v>4998</v>
      </c>
      <c r="L1094" s="21">
        <v>0.33418026210216634</v>
      </c>
      <c r="M1094" s="1">
        <v>0</v>
      </c>
      <c r="N1094" s="1" t="s">
        <v>28</v>
      </c>
      <c r="O1094" s="1" t="s">
        <v>18</v>
      </c>
      <c r="P1094" s="1" t="s">
        <v>18</v>
      </c>
      <c r="Q1094" s="22" t="s">
        <v>18</v>
      </c>
      <c r="R1094" s="8" t="s">
        <v>18</v>
      </c>
      <c r="S1094" s="9" t="s">
        <v>18</v>
      </c>
      <c r="T1094" s="8" t="s">
        <v>18</v>
      </c>
      <c r="U1094" s="9" t="s">
        <v>18</v>
      </c>
      <c r="V1094" s="8">
        <v>81.201244316662212</v>
      </c>
      <c r="W1094" s="8">
        <v>21</v>
      </c>
      <c r="X1094" s="8"/>
    </row>
    <row r="1095" spans="1:24" x14ac:dyDescent="0.3">
      <c r="A1095" s="1" t="s">
        <v>2192</v>
      </c>
      <c r="B1095" s="1" t="s">
        <v>694</v>
      </c>
      <c r="C1095" s="1" t="s">
        <v>56</v>
      </c>
      <c r="D1095" s="1" t="s">
        <v>13</v>
      </c>
      <c r="F1095" s="1">
        <v>1995</v>
      </c>
      <c r="J1095" s="6">
        <v>5709</v>
      </c>
      <c r="K1095" s="6">
        <v>552</v>
      </c>
      <c r="L1095" s="21">
        <v>9.6689437729900157E-2</v>
      </c>
      <c r="M1095" s="1">
        <v>0</v>
      </c>
      <c r="N1095" s="1" t="s">
        <v>28</v>
      </c>
      <c r="O1095" s="1" t="s">
        <v>18</v>
      </c>
      <c r="P1095" s="1" t="s">
        <v>18</v>
      </c>
      <c r="Q1095" s="22" t="s">
        <v>18</v>
      </c>
      <c r="R1095" s="8">
        <v>80.303293046067608</v>
      </c>
      <c r="S1095" s="9">
        <v>19</v>
      </c>
      <c r="T1095" s="8">
        <v>83.990117358556674</v>
      </c>
      <c r="U1095" s="9" t="e">
        <f t="shared" ref="U1095:U1108" si="3">U1094+1</f>
        <v>#VALUE!</v>
      </c>
      <c r="V1095" s="8">
        <v>80.89845857418112</v>
      </c>
      <c r="W1095" s="8">
        <v>20</v>
      </c>
      <c r="X1095" s="8"/>
    </row>
    <row r="1096" spans="1:24" x14ac:dyDescent="0.3">
      <c r="A1096" s="1" t="s">
        <v>2193</v>
      </c>
      <c r="B1096" s="1" t="s">
        <v>2194</v>
      </c>
      <c r="C1096" s="1" t="s">
        <v>56</v>
      </c>
      <c r="D1096" s="1" t="s">
        <v>13</v>
      </c>
      <c r="F1096" s="1">
        <v>1996</v>
      </c>
      <c r="J1096" s="6">
        <v>5797</v>
      </c>
      <c r="K1096" s="6">
        <v>783</v>
      </c>
      <c r="L1096" s="21">
        <v>0.13506986372261515</v>
      </c>
      <c r="M1096" s="1">
        <v>0</v>
      </c>
      <c r="N1096" s="1" t="s">
        <v>28</v>
      </c>
      <c r="O1096" s="1" t="s">
        <v>18</v>
      </c>
      <c r="P1096" s="1" t="s">
        <v>18</v>
      </c>
      <c r="Q1096" s="22" t="s">
        <v>18</v>
      </c>
      <c r="R1096" s="8">
        <v>66.211333448335338</v>
      </c>
      <c r="S1096" s="9">
        <v>14</v>
      </c>
      <c r="T1096" s="8">
        <v>65.274219423839924</v>
      </c>
      <c r="U1096" s="9" t="e">
        <f t="shared" si="3"/>
        <v>#VALUE!</v>
      </c>
      <c r="V1096" s="8">
        <v>76.617336553389691</v>
      </c>
      <c r="W1096" s="8">
        <v>19</v>
      </c>
      <c r="X1096" s="8"/>
    </row>
    <row r="1097" spans="1:24" x14ac:dyDescent="0.3">
      <c r="A1097" s="1" t="s">
        <v>2166</v>
      </c>
      <c r="B1097" s="1" t="s">
        <v>2167</v>
      </c>
      <c r="C1097" s="1" t="s">
        <v>56</v>
      </c>
      <c r="D1097" s="1" t="s">
        <v>13</v>
      </c>
      <c r="F1097" s="1">
        <v>1995</v>
      </c>
      <c r="J1097" s="6">
        <v>6199</v>
      </c>
      <c r="K1097" s="6">
        <v>355</v>
      </c>
      <c r="L1097" s="21">
        <v>5.7267301177609295E-2</v>
      </c>
      <c r="M1097" s="1">
        <v>0</v>
      </c>
      <c r="N1097" s="1" t="s">
        <v>28</v>
      </c>
      <c r="O1097" s="1" t="s">
        <v>18</v>
      </c>
      <c r="P1097" s="1" t="s">
        <v>18</v>
      </c>
      <c r="Q1097" s="22" t="s">
        <v>18</v>
      </c>
      <c r="R1097" s="8">
        <v>72.525407323761897</v>
      </c>
      <c r="S1097" s="9">
        <v>17</v>
      </c>
      <c r="T1097" s="8">
        <v>75.332311663171481</v>
      </c>
      <c r="U1097" s="9" t="e">
        <f t="shared" si="3"/>
        <v>#VALUE!</v>
      </c>
      <c r="V1097" s="8">
        <v>73.619132118083556</v>
      </c>
      <c r="W1097" s="8">
        <v>18</v>
      </c>
      <c r="X1097" s="8"/>
    </row>
    <row r="1098" spans="1:24" x14ac:dyDescent="0.3">
      <c r="A1098" s="1" t="s">
        <v>2228</v>
      </c>
      <c r="B1098" s="1" t="s">
        <v>800</v>
      </c>
      <c r="C1098" s="1" t="s">
        <v>56</v>
      </c>
      <c r="D1098" s="1" t="s">
        <v>13</v>
      </c>
      <c r="F1098" s="1">
        <v>1994</v>
      </c>
      <c r="J1098" s="6">
        <v>6848</v>
      </c>
      <c r="K1098" s="6">
        <v>4782</v>
      </c>
      <c r="L1098" s="21">
        <v>0.69830607476635509</v>
      </c>
      <c r="M1098" s="1">
        <v>0</v>
      </c>
      <c r="N1098" s="1" t="s">
        <v>28</v>
      </c>
      <c r="O1098" s="1" t="s">
        <v>18</v>
      </c>
      <c r="P1098" s="1" t="s">
        <v>18</v>
      </c>
      <c r="Q1098" s="22" t="s">
        <v>18</v>
      </c>
      <c r="R1098" s="8">
        <v>78.317610981308405</v>
      </c>
      <c r="S1098" s="9">
        <v>18</v>
      </c>
      <c r="T1098" s="8">
        <v>71.816223714953267</v>
      </c>
      <c r="U1098" s="9" t="e">
        <f t="shared" si="3"/>
        <v>#VALUE!</v>
      </c>
      <c r="V1098" s="8">
        <v>69.932523364485974</v>
      </c>
      <c r="W1098" s="8">
        <v>17</v>
      </c>
      <c r="X1098" s="8"/>
    </row>
    <row r="1099" spans="1:24" x14ac:dyDescent="0.3">
      <c r="A1099" s="1" t="s">
        <v>2226</v>
      </c>
      <c r="B1099" s="1" t="s">
        <v>2227</v>
      </c>
      <c r="C1099" s="1" t="s">
        <v>56</v>
      </c>
      <c r="D1099" s="1" t="s">
        <v>13</v>
      </c>
      <c r="F1099" s="1">
        <v>2002</v>
      </c>
      <c r="J1099" s="6">
        <v>10771</v>
      </c>
      <c r="K1099" s="6">
        <v>9256</v>
      </c>
      <c r="L1099" s="21">
        <v>0.85934453625475815</v>
      </c>
      <c r="M1099" s="1">
        <v>0</v>
      </c>
      <c r="N1099" s="1" t="s">
        <v>28</v>
      </c>
      <c r="O1099" s="1" t="s">
        <v>18</v>
      </c>
      <c r="P1099" s="1" t="s">
        <v>18</v>
      </c>
      <c r="Q1099" s="22" t="s">
        <v>18</v>
      </c>
      <c r="R1099" s="8">
        <v>71.460072416674393</v>
      </c>
      <c r="S1099" s="9">
        <v>15</v>
      </c>
      <c r="T1099" s="8">
        <v>75.90808838547953</v>
      </c>
      <c r="U1099" s="9" t="e">
        <f t="shared" si="3"/>
        <v>#VALUE!</v>
      </c>
      <c r="V1099" s="8">
        <v>68.705893603193772</v>
      </c>
      <c r="W1099" s="8">
        <v>16</v>
      </c>
      <c r="X1099" s="8"/>
    </row>
    <row r="1100" spans="1:24" x14ac:dyDescent="0.3">
      <c r="A1100" s="1" t="s">
        <v>2508</v>
      </c>
      <c r="B1100" s="1" t="s">
        <v>2509</v>
      </c>
      <c r="C1100" s="1" t="s">
        <v>56</v>
      </c>
      <c r="D1100" s="1" t="s">
        <v>13</v>
      </c>
      <c r="F1100" s="1">
        <v>2017</v>
      </c>
      <c r="J1100" s="6">
        <v>4249</v>
      </c>
      <c r="K1100" s="6">
        <v>3000</v>
      </c>
      <c r="L1100" s="21">
        <v>0.70604848199576375</v>
      </c>
      <c r="M1100" s="1">
        <v>0</v>
      </c>
      <c r="N1100" s="1" t="s">
        <v>1787</v>
      </c>
      <c r="P1100" s="1">
        <v>4</v>
      </c>
      <c r="Q1100" s="22">
        <v>45078</v>
      </c>
      <c r="R1100" s="8">
        <v>57.552843021887504</v>
      </c>
      <c r="S1100" s="9">
        <v>11</v>
      </c>
      <c r="T1100" s="8">
        <v>68.481315603671447</v>
      </c>
      <c r="U1100" s="9" t="e">
        <f t="shared" si="3"/>
        <v>#VALUE!</v>
      </c>
      <c r="V1100" s="8">
        <v>67.84974817604143</v>
      </c>
      <c r="W1100" s="8">
        <v>15</v>
      </c>
      <c r="X1100" s="8"/>
    </row>
    <row r="1101" spans="1:24" x14ac:dyDescent="0.3">
      <c r="A1101" s="1" t="s">
        <v>961</v>
      </c>
      <c r="B1101" s="1" t="s">
        <v>962</v>
      </c>
      <c r="C1101" s="1" t="s">
        <v>56</v>
      </c>
      <c r="D1101" s="1" t="s">
        <v>13</v>
      </c>
      <c r="F1101" s="1">
        <v>2016</v>
      </c>
      <c r="J1101" s="6">
        <v>14450</v>
      </c>
      <c r="K1101" s="6">
        <v>10000</v>
      </c>
      <c r="L1101" s="21">
        <v>0.69204152249134943</v>
      </c>
      <c r="M1101" s="1">
        <v>0</v>
      </c>
      <c r="N1101" s="1" t="s">
        <v>28</v>
      </c>
      <c r="O1101" s="1" t="s">
        <v>18</v>
      </c>
      <c r="P1101" s="1" t="s">
        <v>18</v>
      </c>
      <c r="Q1101" s="22" t="s">
        <v>18</v>
      </c>
      <c r="R1101" s="8">
        <v>72.071195847750872</v>
      </c>
      <c r="S1101" s="9">
        <v>16</v>
      </c>
      <c r="T1101" s="8">
        <v>70.317368858131488</v>
      </c>
      <c r="U1101" s="9" t="e">
        <f t="shared" si="3"/>
        <v>#VALUE!</v>
      </c>
      <c r="V1101" s="8">
        <v>66.179325259515565</v>
      </c>
      <c r="W1101" s="8">
        <v>14</v>
      </c>
      <c r="X1101" s="8"/>
    </row>
    <row r="1102" spans="1:24" x14ac:dyDescent="0.3">
      <c r="A1102" s="1" t="s">
        <v>699</v>
      </c>
      <c r="B1102" s="1" t="s">
        <v>700</v>
      </c>
      <c r="C1102" s="1" t="s">
        <v>56</v>
      </c>
      <c r="D1102" s="1" t="s">
        <v>13</v>
      </c>
      <c r="F1102" s="1">
        <v>2001</v>
      </c>
      <c r="J1102" s="6">
        <v>6235</v>
      </c>
      <c r="K1102" s="6">
        <v>496</v>
      </c>
      <c r="L1102" s="21">
        <v>7.9550922213311948E-2</v>
      </c>
      <c r="M1102" s="1">
        <v>0</v>
      </c>
      <c r="N1102" s="1" t="s">
        <v>28</v>
      </c>
      <c r="O1102" s="1" t="s">
        <v>18</v>
      </c>
      <c r="P1102" s="1" t="s">
        <v>18</v>
      </c>
      <c r="Q1102" s="22" t="s">
        <v>18</v>
      </c>
      <c r="R1102" s="8">
        <v>62.229776037756082</v>
      </c>
      <c r="S1102" s="9">
        <v>12</v>
      </c>
      <c r="T1102" s="8">
        <v>62.733782044406304</v>
      </c>
      <c r="U1102" s="9" t="e">
        <f t="shared" si="3"/>
        <v>#VALUE!</v>
      </c>
      <c r="V1102" s="8">
        <v>63.40927598412528</v>
      </c>
      <c r="W1102" s="8">
        <v>13</v>
      </c>
      <c r="X1102" s="8"/>
    </row>
    <row r="1103" spans="1:24" x14ac:dyDescent="0.3">
      <c r="A1103" s="1" t="s">
        <v>2059</v>
      </c>
      <c r="B1103" s="1" t="s">
        <v>2060</v>
      </c>
      <c r="C1103" s="1" t="s">
        <v>56</v>
      </c>
      <c r="D1103" s="1" t="s">
        <v>13</v>
      </c>
      <c r="F1103" s="1">
        <v>1975</v>
      </c>
      <c r="J1103" s="6">
        <v>942</v>
      </c>
      <c r="K1103" s="6">
        <v>654</v>
      </c>
      <c r="L1103" s="21">
        <v>0.69426751592356684</v>
      </c>
      <c r="M1103" s="1">
        <v>0</v>
      </c>
      <c r="N1103" s="1" t="s">
        <v>28</v>
      </c>
      <c r="O1103" s="1" t="s">
        <v>18</v>
      </c>
      <c r="P1103" s="1" t="s">
        <v>18</v>
      </c>
      <c r="Q1103" s="22" t="s">
        <v>18</v>
      </c>
      <c r="R1103" s="8">
        <v>65.976847133757971</v>
      </c>
      <c r="S1103" s="9">
        <v>13</v>
      </c>
      <c r="T1103" s="8">
        <v>63.448651804670909</v>
      </c>
      <c r="U1103" s="9" t="e">
        <f t="shared" si="3"/>
        <v>#VALUE!</v>
      </c>
      <c r="V1103" s="8">
        <v>63.26674097664543</v>
      </c>
      <c r="W1103" s="8">
        <v>12</v>
      </c>
      <c r="X1103" s="8"/>
    </row>
    <row r="1104" spans="1:24" x14ac:dyDescent="0.3">
      <c r="A1104" s="1" t="s">
        <v>491</v>
      </c>
      <c r="B1104" s="1" t="s">
        <v>492</v>
      </c>
      <c r="C1104" s="1" t="s">
        <v>56</v>
      </c>
      <c r="D1104" s="1" t="s">
        <v>13</v>
      </c>
      <c r="F1104" s="1">
        <v>1994</v>
      </c>
      <c r="J1104" s="6">
        <v>8393</v>
      </c>
      <c r="K1104" s="6">
        <v>2856</v>
      </c>
      <c r="L1104" s="21">
        <v>0.3402835696413678</v>
      </c>
      <c r="M1104" s="1">
        <v>0</v>
      </c>
      <c r="N1104" s="1" t="s">
        <v>28</v>
      </c>
      <c r="O1104" s="1" t="s">
        <v>18</v>
      </c>
      <c r="P1104" s="1" t="s">
        <v>18</v>
      </c>
      <c r="Q1104" s="22" t="s">
        <v>18</v>
      </c>
      <c r="R1104" s="8">
        <v>56.312519957107114</v>
      </c>
      <c r="S1104" s="9">
        <v>10</v>
      </c>
      <c r="T1104" s="8">
        <v>62.282656976051477</v>
      </c>
      <c r="U1104" s="9" t="e">
        <f t="shared" si="3"/>
        <v>#VALUE!</v>
      </c>
      <c r="V1104" s="8">
        <v>59.60329560347909</v>
      </c>
      <c r="W1104" s="8">
        <v>11</v>
      </c>
      <c r="X1104" s="8"/>
    </row>
    <row r="1105" spans="1:24" x14ac:dyDescent="0.3">
      <c r="A1105" s="1" t="s">
        <v>2164</v>
      </c>
      <c r="B1105" s="1" t="s">
        <v>1306</v>
      </c>
      <c r="C1105" s="1" t="s">
        <v>56</v>
      </c>
      <c r="D1105" s="1" t="s">
        <v>13</v>
      </c>
      <c r="F1105" s="1">
        <v>2016</v>
      </c>
      <c r="G1105" s="1" t="s">
        <v>21</v>
      </c>
      <c r="H1105" s="1">
        <v>2020</v>
      </c>
      <c r="I1105" s="1" t="s">
        <v>1598</v>
      </c>
      <c r="J1105" s="6">
        <v>8294</v>
      </c>
      <c r="K1105" s="6">
        <v>280</v>
      </c>
      <c r="L1105" s="21">
        <v>3.3759344104171689E-2</v>
      </c>
      <c r="M1105" s="1">
        <v>0</v>
      </c>
      <c r="N1105" s="1" t="s">
        <v>28</v>
      </c>
      <c r="O1105" s="1" t="s">
        <v>18</v>
      </c>
      <c r="P1105" s="1" t="s">
        <v>18</v>
      </c>
      <c r="Q1105" s="22" t="s">
        <v>18</v>
      </c>
      <c r="R1105" s="8">
        <v>48.803954666023628</v>
      </c>
      <c r="S1105" s="9">
        <v>8</v>
      </c>
      <c r="T1105" s="8">
        <v>53.642392090667954</v>
      </c>
      <c r="U1105" s="9" t="e">
        <f t="shared" si="3"/>
        <v>#VALUE!</v>
      </c>
      <c r="V1105" s="8">
        <v>53.033518205931998</v>
      </c>
      <c r="W1105" s="8">
        <v>10</v>
      </c>
      <c r="X1105" s="8"/>
    </row>
    <row r="1106" spans="1:24" x14ac:dyDescent="0.3">
      <c r="A1106" s="1" t="s">
        <v>697</v>
      </c>
      <c r="B1106" s="1" t="s">
        <v>698</v>
      </c>
      <c r="C1106" s="1" t="s">
        <v>56</v>
      </c>
      <c r="D1106" s="1" t="s">
        <v>13</v>
      </c>
      <c r="F1106" s="1">
        <v>1990</v>
      </c>
      <c r="J1106" s="6">
        <v>6533</v>
      </c>
      <c r="K1106" s="6">
        <v>162</v>
      </c>
      <c r="L1106" s="21">
        <v>2.4797183529771928E-2</v>
      </c>
      <c r="M1106" s="1">
        <v>0</v>
      </c>
      <c r="N1106" s="1" t="s">
        <v>28</v>
      </c>
      <c r="O1106" s="1" t="s">
        <v>18</v>
      </c>
      <c r="P1106" s="1" t="s">
        <v>18</v>
      </c>
      <c r="Q1106" s="22" t="s">
        <v>18</v>
      </c>
      <c r="R1106" s="8">
        <v>42.042190417878466</v>
      </c>
      <c r="S1106" s="9">
        <v>6</v>
      </c>
      <c r="T1106" s="8">
        <v>48.986866676871273</v>
      </c>
      <c r="U1106" s="9" t="e">
        <f t="shared" si="3"/>
        <v>#VALUE!</v>
      </c>
      <c r="V1106" s="8">
        <v>51.876118169294351</v>
      </c>
      <c r="W1106" s="8">
        <v>9</v>
      </c>
      <c r="X1106" s="8"/>
    </row>
    <row r="1107" spans="1:24" x14ac:dyDescent="0.3">
      <c r="A1107" s="1" t="s">
        <v>54</v>
      </c>
      <c r="B1107" s="1" t="s">
        <v>55</v>
      </c>
      <c r="C1107" s="1" t="s">
        <v>56</v>
      </c>
      <c r="D1107" s="1" t="s">
        <v>13</v>
      </c>
      <c r="F1107" s="1">
        <v>2004</v>
      </c>
      <c r="J1107" s="6">
        <v>9132</v>
      </c>
      <c r="K1107" s="6">
        <v>4000</v>
      </c>
      <c r="L1107" s="21">
        <v>0.43802014892685065</v>
      </c>
      <c r="M1107" s="1">
        <v>0</v>
      </c>
      <c r="N1107" s="1" t="s">
        <v>28</v>
      </c>
      <c r="O1107" s="1" t="s">
        <v>18</v>
      </c>
      <c r="P1107" s="1" t="s">
        <v>18</v>
      </c>
      <c r="Q1107" s="22" t="s">
        <v>18</v>
      </c>
      <c r="R1107" s="8">
        <v>55.125279237844943</v>
      </c>
      <c r="S1107" s="9">
        <v>9</v>
      </c>
      <c r="T1107" s="8">
        <v>54.464142575558476</v>
      </c>
      <c r="U1107" s="9" t="e">
        <f t="shared" si="3"/>
        <v>#VALUE!</v>
      </c>
      <c r="V1107" s="8">
        <v>50.906865965834427</v>
      </c>
      <c r="W1107" s="8">
        <v>8</v>
      </c>
      <c r="X1107" s="8"/>
    </row>
    <row r="1108" spans="1:24" x14ac:dyDescent="0.3">
      <c r="A1108" s="1" t="s">
        <v>692</v>
      </c>
      <c r="B1108" s="1" t="s">
        <v>693</v>
      </c>
      <c r="C1108" s="1" t="s">
        <v>56</v>
      </c>
      <c r="D1108" s="1" t="s">
        <v>13</v>
      </c>
      <c r="F1108" s="1">
        <v>2006</v>
      </c>
      <c r="G1108" s="1" t="s">
        <v>21</v>
      </c>
      <c r="H1108" s="1">
        <v>2019</v>
      </c>
      <c r="I1108" s="1" t="s">
        <v>1601</v>
      </c>
      <c r="J1108" s="6">
        <v>5095</v>
      </c>
      <c r="K1108" s="6">
        <v>915</v>
      </c>
      <c r="L1108" s="21">
        <v>0.17958783120706576</v>
      </c>
      <c r="M1108" s="1">
        <v>0</v>
      </c>
      <c r="N1108" s="1" t="s">
        <v>28</v>
      </c>
      <c r="O1108" s="1" t="s">
        <v>18</v>
      </c>
      <c r="P1108" s="1" t="s">
        <v>18</v>
      </c>
      <c r="Q1108" s="22" t="s">
        <v>18</v>
      </c>
      <c r="R1108" s="8">
        <v>46.753373895976445</v>
      </c>
      <c r="S1108" s="9">
        <v>7</v>
      </c>
      <c r="T1108" s="8">
        <v>47.357872423945039</v>
      </c>
      <c r="U1108" s="9" t="e">
        <f t="shared" si="3"/>
        <v>#VALUE!</v>
      </c>
      <c r="V1108" s="8">
        <v>48.579163886162902</v>
      </c>
      <c r="W1108" s="8">
        <v>7</v>
      </c>
      <c r="X1108" s="8"/>
    </row>
    <row r="1109" spans="1:24" x14ac:dyDescent="0.3">
      <c r="A1109" s="1" t="s">
        <v>2517</v>
      </c>
      <c r="B1109" s="1" t="s">
        <v>2518</v>
      </c>
      <c r="C1109" s="1" t="s">
        <v>56</v>
      </c>
      <c r="D1109" s="1" t="s">
        <v>13</v>
      </c>
      <c r="F1109" s="1">
        <v>2022</v>
      </c>
      <c r="J1109" s="6">
        <v>45473</v>
      </c>
      <c r="K1109" s="6">
        <v>27900</v>
      </c>
      <c r="L1109" s="21">
        <v>0.61355089833527587</v>
      </c>
      <c r="M1109" s="1">
        <v>0</v>
      </c>
      <c r="N1109" s="1" t="s">
        <v>1589</v>
      </c>
      <c r="O1109" s="1">
        <v>1</v>
      </c>
      <c r="P1109" s="1" t="s">
        <v>18</v>
      </c>
      <c r="Q1109" s="22" t="s">
        <v>18</v>
      </c>
      <c r="R1109" s="8" t="s">
        <v>18</v>
      </c>
      <c r="S1109" s="9" t="s">
        <v>18</v>
      </c>
      <c r="T1109" s="8" t="s">
        <v>18</v>
      </c>
      <c r="U1109" s="9" t="s">
        <v>18</v>
      </c>
      <c r="V1109" s="8">
        <v>41.036923009258238</v>
      </c>
      <c r="W1109" s="8">
        <v>6</v>
      </c>
      <c r="X1109" s="8"/>
    </row>
    <row r="1110" spans="1:24" x14ac:dyDescent="0.3">
      <c r="A1110" s="1" t="s">
        <v>686</v>
      </c>
      <c r="B1110" s="1" t="s">
        <v>2195</v>
      </c>
      <c r="C1110" s="1" t="s">
        <v>56</v>
      </c>
      <c r="D1110" s="1" t="s">
        <v>13</v>
      </c>
      <c r="F1110" s="1">
        <v>2018</v>
      </c>
      <c r="G1110" s="1" t="s">
        <v>21</v>
      </c>
      <c r="H1110" s="1">
        <v>2023</v>
      </c>
      <c r="I1110" s="1" t="s">
        <v>1783</v>
      </c>
      <c r="J1110" s="6">
        <v>11201</v>
      </c>
      <c r="K1110" s="6">
        <v>2697</v>
      </c>
      <c r="L1110" s="21">
        <v>0.24078207302919383</v>
      </c>
      <c r="M1110" s="1">
        <v>0</v>
      </c>
      <c r="N1110" s="1" t="s">
        <v>28</v>
      </c>
      <c r="O1110" s="1" t="s">
        <v>18</v>
      </c>
      <c r="P1110" s="1" t="s">
        <v>18</v>
      </c>
      <c r="Q1110" s="22" t="s">
        <v>18</v>
      </c>
      <c r="R1110" s="8">
        <v>35.770874029104547</v>
      </c>
      <c r="S1110" s="9">
        <v>5</v>
      </c>
      <c r="T1110" s="8">
        <v>37.781594500491032</v>
      </c>
      <c r="U1110" s="9" t="e">
        <f>U1109+1</f>
        <v>#VALUE!</v>
      </c>
      <c r="V1110" s="8">
        <v>38.971754307651103</v>
      </c>
      <c r="W1110" s="8">
        <v>5</v>
      </c>
      <c r="X1110" s="8"/>
    </row>
    <row r="1111" spans="1:24" x14ac:dyDescent="0.3">
      <c r="A1111" s="1" t="s">
        <v>2059</v>
      </c>
      <c r="B1111" s="1" t="s">
        <v>2063</v>
      </c>
      <c r="C1111" s="1" t="s">
        <v>56</v>
      </c>
      <c r="D1111" s="1" t="s">
        <v>13</v>
      </c>
      <c r="F1111" s="1">
        <v>1964</v>
      </c>
      <c r="J1111" s="6">
        <v>1584</v>
      </c>
      <c r="K1111" s="6">
        <v>623</v>
      </c>
      <c r="L1111" s="21">
        <v>0.39330808080808083</v>
      </c>
      <c r="M1111" s="1">
        <v>0</v>
      </c>
      <c r="N1111" s="1" t="s">
        <v>28</v>
      </c>
      <c r="O1111" s="1" t="s">
        <v>18</v>
      </c>
      <c r="P1111" s="1" t="s">
        <v>18</v>
      </c>
      <c r="Q1111" s="22" t="s">
        <v>18</v>
      </c>
      <c r="R1111" s="8">
        <v>31.24558080808081</v>
      </c>
      <c r="S1111" s="9">
        <v>4</v>
      </c>
      <c r="T1111" s="8">
        <v>33.294823232323232</v>
      </c>
      <c r="U1111" s="9" t="e">
        <f>U1110+1</f>
        <v>#VALUE!</v>
      </c>
      <c r="V1111" s="8">
        <v>34.650252525252526</v>
      </c>
      <c r="W1111" s="8">
        <v>4</v>
      </c>
      <c r="X1111" s="8"/>
    </row>
    <row r="1112" spans="1:24" x14ac:dyDescent="0.3">
      <c r="A1112" s="1" t="s">
        <v>449</v>
      </c>
      <c r="B1112" s="1" t="s">
        <v>450</v>
      </c>
      <c r="C1112" s="1" t="s">
        <v>56</v>
      </c>
      <c r="D1112" s="1" t="s">
        <v>13</v>
      </c>
      <c r="F1112" s="1">
        <v>2014</v>
      </c>
      <c r="J1112" s="6">
        <v>9062</v>
      </c>
      <c r="K1112" s="6">
        <v>1916</v>
      </c>
      <c r="L1112" s="21">
        <v>0.21143235488854559</v>
      </c>
      <c r="M1112" s="1">
        <v>0</v>
      </c>
      <c r="N1112" s="1" t="s">
        <v>28</v>
      </c>
      <c r="O1112" s="1" t="s">
        <v>18</v>
      </c>
      <c r="P1112" s="1" t="s">
        <v>18</v>
      </c>
      <c r="Q1112" s="22" t="s">
        <v>18</v>
      </c>
      <c r="R1112" s="8">
        <v>21.637607592143016</v>
      </c>
      <c r="S1112" s="9">
        <v>3</v>
      </c>
      <c r="T1112" s="8">
        <v>22.185499889649083</v>
      </c>
      <c r="U1112" s="9" t="e">
        <f>U1111+1</f>
        <v>#VALUE!</v>
      </c>
      <c r="V1112" s="8">
        <v>21.975281394835577</v>
      </c>
      <c r="W1112" s="8">
        <v>3</v>
      </c>
      <c r="X1112" s="8"/>
    </row>
    <row r="1113" spans="1:24" x14ac:dyDescent="0.3">
      <c r="A1113" s="1" t="s">
        <v>1925</v>
      </c>
      <c r="B1113" s="1" t="s">
        <v>960</v>
      </c>
      <c r="C1113" s="1" t="s">
        <v>56</v>
      </c>
      <c r="D1113" s="1" t="s">
        <v>13</v>
      </c>
      <c r="F1113" s="1">
        <v>1991</v>
      </c>
      <c r="J1113" s="6">
        <v>9998</v>
      </c>
      <c r="K1113" s="6">
        <v>0</v>
      </c>
      <c r="L1113" s="21">
        <v>0</v>
      </c>
      <c r="M1113" s="1">
        <v>0</v>
      </c>
      <c r="N1113" s="1" t="s">
        <v>28</v>
      </c>
      <c r="O1113" s="1" t="s">
        <v>18</v>
      </c>
      <c r="P1113" s="1" t="s">
        <v>18</v>
      </c>
      <c r="Q1113" s="22" t="s">
        <v>18</v>
      </c>
      <c r="R1113" s="8">
        <v>21.469998999799959</v>
      </c>
      <c r="S1113" s="9">
        <v>2</v>
      </c>
      <c r="T1113" s="8">
        <v>20.621542308461692</v>
      </c>
      <c r="U1113" s="9" t="e">
        <f>U1112+1</f>
        <v>#VALUE!</v>
      </c>
      <c r="V1113" s="8">
        <v>21.933539707941588</v>
      </c>
      <c r="W1113" s="8">
        <v>2</v>
      </c>
      <c r="X1113" s="8"/>
    </row>
    <row r="1114" spans="1:24" x14ac:dyDescent="0.3">
      <c r="A1114" s="1" t="s">
        <v>2547</v>
      </c>
      <c r="B1114" s="1" t="s">
        <v>415</v>
      </c>
      <c r="C1114" s="1" t="s">
        <v>56</v>
      </c>
      <c r="D1114" s="1" t="s">
        <v>13</v>
      </c>
      <c r="F1114" s="1">
        <v>1900</v>
      </c>
      <c r="J1114" s="6">
        <v>66676</v>
      </c>
      <c r="K1114" s="6">
        <v>700</v>
      </c>
      <c r="L1114" s="21">
        <v>1.0498530205771192E-2</v>
      </c>
      <c r="M1114" s="1">
        <v>0</v>
      </c>
      <c r="N1114" s="1" t="s">
        <v>28</v>
      </c>
      <c r="O1114" s="1" t="s">
        <v>18</v>
      </c>
      <c r="P1114" s="1" t="s">
        <v>18</v>
      </c>
      <c r="Q1114" s="22" t="s">
        <v>18</v>
      </c>
      <c r="R1114" s="8">
        <v>3.0512478253044573</v>
      </c>
      <c r="S1114" s="9">
        <v>1</v>
      </c>
      <c r="T1114" s="8">
        <v>3.1365858779770832</v>
      </c>
      <c r="U1114" s="9">
        <v>1</v>
      </c>
      <c r="V1114" s="8">
        <v>2.9064430979662847</v>
      </c>
      <c r="W1114" s="8">
        <v>1</v>
      </c>
      <c r="X1114" s="8"/>
    </row>
    <row r="1115" spans="1:24" x14ac:dyDescent="0.3">
      <c r="A1115" s="1" t="s">
        <v>699</v>
      </c>
      <c r="B1115" s="1" t="s">
        <v>706</v>
      </c>
      <c r="C1115" s="1" t="s">
        <v>56</v>
      </c>
      <c r="D1115" s="1" t="s">
        <v>13</v>
      </c>
      <c r="F1115" s="1">
        <v>2001</v>
      </c>
      <c r="J1115" s="6">
        <v>6762</v>
      </c>
      <c r="K1115" s="6">
        <v>336</v>
      </c>
      <c r="L1115" s="21">
        <v>4.9689440993788817E-2</v>
      </c>
      <c r="M1115" s="1">
        <v>0</v>
      </c>
      <c r="N1115" s="1" t="s">
        <v>28</v>
      </c>
      <c r="O1115" s="1" t="s">
        <v>18</v>
      </c>
      <c r="P1115" s="1" t="s">
        <v>18</v>
      </c>
      <c r="Q1115" s="22" t="s">
        <v>18</v>
      </c>
      <c r="R1115" s="8"/>
      <c r="S1115" s="9" t="s">
        <v>18</v>
      </c>
      <c r="T1115" s="8"/>
      <c r="U1115" s="9" t="s">
        <v>18</v>
      </c>
      <c r="V1115" s="8"/>
      <c r="W1115" s="8" t="s">
        <v>18</v>
      </c>
      <c r="X1115" s="8"/>
    </row>
    <row r="1116" spans="1:24" x14ac:dyDescent="0.3">
      <c r="A1116" s="1" t="s">
        <v>699</v>
      </c>
      <c r="B1116" s="1" t="s">
        <v>705</v>
      </c>
      <c r="C1116" s="1" t="s">
        <v>56</v>
      </c>
      <c r="D1116" s="1" t="s">
        <v>13</v>
      </c>
      <c r="F1116" s="1">
        <v>2001</v>
      </c>
      <c r="J1116" s="6">
        <v>6796</v>
      </c>
      <c r="K1116" s="6">
        <v>343</v>
      </c>
      <c r="L1116" s="21">
        <v>5.0470865214832253E-2</v>
      </c>
      <c r="M1116" s="1">
        <v>0</v>
      </c>
      <c r="N1116" s="1" t="s">
        <v>28</v>
      </c>
      <c r="O1116" s="1" t="s">
        <v>18</v>
      </c>
      <c r="P1116" s="1" t="s">
        <v>18</v>
      </c>
      <c r="Q1116" s="22" t="s">
        <v>18</v>
      </c>
      <c r="R1116" s="8"/>
      <c r="S1116" s="9" t="s">
        <v>18</v>
      </c>
      <c r="T1116" s="8"/>
      <c r="U1116" s="9" t="s">
        <v>18</v>
      </c>
      <c r="V1116" s="8"/>
      <c r="W1116" s="8" t="s">
        <v>18</v>
      </c>
      <c r="X1116" s="8"/>
    </row>
    <row r="1117" spans="1:24" x14ac:dyDescent="0.3">
      <c r="A1117" s="1" t="s">
        <v>699</v>
      </c>
      <c r="B1117" s="1" t="s">
        <v>704</v>
      </c>
      <c r="C1117" s="1" t="s">
        <v>56</v>
      </c>
      <c r="D1117" s="1" t="s">
        <v>13</v>
      </c>
      <c r="F1117" s="1">
        <v>2001</v>
      </c>
      <c r="J1117" s="6">
        <v>6891</v>
      </c>
      <c r="K1117" s="6">
        <v>308</v>
      </c>
      <c r="L1117" s="21">
        <v>4.469598026411261E-2</v>
      </c>
      <c r="M1117" s="1">
        <v>0</v>
      </c>
      <c r="N1117" s="1" t="s">
        <v>28</v>
      </c>
      <c r="O1117" s="1" t="s">
        <v>18</v>
      </c>
      <c r="P1117" s="1" t="s">
        <v>18</v>
      </c>
      <c r="Q1117" s="22" t="s">
        <v>18</v>
      </c>
      <c r="R1117" s="8"/>
      <c r="S1117" s="9" t="s">
        <v>18</v>
      </c>
      <c r="T1117" s="8"/>
      <c r="U1117" s="9" t="s">
        <v>18</v>
      </c>
      <c r="V1117" s="8"/>
      <c r="W1117" s="8" t="s">
        <v>18</v>
      </c>
      <c r="X1117" s="8"/>
    </row>
    <row r="1118" spans="1:24" x14ac:dyDescent="0.3">
      <c r="A1118" s="1" t="s">
        <v>699</v>
      </c>
      <c r="B1118" s="1" t="s">
        <v>703</v>
      </c>
      <c r="C1118" s="1" t="s">
        <v>56</v>
      </c>
      <c r="D1118" s="1" t="s">
        <v>13</v>
      </c>
      <c r="F1118" s="1">
        <v>2001</v>
      </c>
      <c r="J1118" s="6">
        <v>6726</v>
      </c>
      <c r="K1118" s="6">
        <v>823</v>
      </c>
      <c r="L1118" s="21">
        <v>0.12236098721379721</v>
      </c>
      <c r="M1118" s="1">
        <v>0</v>
      </c>
      <c r="N1118" s="1" t="s">
        <v>28</v>
      </c>
      <c r="O1118" s="1" t="s">
        <v>18</v>
      </c>
      <c r="P1118" s="1" t="s">
        <v>18</v>
      </c>
      <c r="Q1118" s="22" t="s">
        <v>18</v>
      </c>
      <c r="R1118" s="8"/>
      <c r="S1118" s="9" t="s">
        <v>18</v>
      </c>
      <c r="T1118" s="8"/>
      <c r="U1118" s="9" t="s">
        <v>18</v>
      </c>
      <c r="V1118" s="8"/>
      <c r="W1118" s="8" t="s">
        <v>18</v>
      </c>
      <c r="X1118" s="8"/>
    </row>
    <row r="1119" spans="1:24" x14ac:dyDescent="0.3">
      <c r="A1119" s="1" t="s">
        <v>699</v>
      </c>
      <c r="B1119" s="1" t="s">
        <v>702</v>
      </c>
      <c r="C1119" s="1" t="s">
        <v>56</v>
      </c>
      <c r="D1119" s="1" t="s">
        <v>13</v>
      </c>
      <c r="F1119" s="1">
        <v>2001</v>
      </c>
      <c r="J1119" s="6">
        <v>6520</v>
      </c>
      <c r="K1119" s="6">
        <v>275</v>
      </c>
      <c r="L1119" s="21">
        <v>4.2177914110429447E-2</v>
      </c>
      <c r="M1119" s="1">
        <v>0</v>
      </c>
      <c r="N1119" s="1" t="s">
        <v>28</v>
      </c>
      <c r="O1119" s="1" t="s">
        <v>18</v>
      </c>
      <c r="P1119" s="1" t="s">
        <v>18</v>
      </c>
      <c r="Q1119" s="22" t="s">
        <v>18</v>
      </c>
      <c r="R1119" s="8"/>
      <c r="S1119" s="9" t="s">
        <v>18</v>
      </c>
      <c r="T1119" s="8"/>
      <c r="U1119" s="9" t="s">
        <v>18</v>
      </c>
      <c r="V1119" s="8"/>
      <c r="W1119" s="8" t="s">
        <v>18</v>
      </c>
      <c r="X1119" s="8"/>
    </row>
    <row r="1120" spans="1:24" x14ac:dyDescent="0.3">
      <c r="A1120" s="1" t="s">
        <v>699</v>
      </c>
      <c r="B1120" s="1" t="s">
        <v>701</v>
      </c>
      <c r="C1120" s="1" t="s">
        <v>56</v>
      </c>
      <c r="D1120" s="1" t="s">
        <v>13</v>
      </c>
      <c r="F1120" s="1">
        <v>2001</v>
      </c>
      <c r="J1120" s="6">
        <v>6685</v>
      </c>
      <c r="K1120" s="6">
        <v>342</v>
      </c>
      <c r="L1120" s="21">
        <v>5.1159311892296187E-2</v>
      </c>
      <c r="M1120" s="1">
        <v>0</v>
      </c>
      <c r="N1120" s="1" t="s">
        <v>28</v>
      </c>
      <c r="O1120" s="1" t="s">
        <v>18</v>
      </c>
      <c r="P1120" s="1" t="s">
        <v>18</v>
      </c>
      <c r="Q1120" s="22" t="s">
        <v>18</v>
      </c>
      <c r="R1120" s="8"/>
      <c r="S1120" s="9" t="s">
        <v>18</v>
      </c>
      <c r="T1120" s="8"/>
      <c r="U1120" s="9" t="s">
        <v>18</v>
      </c>
      <c r="V1120" s="8"/>
      <c r="W1120" s="8" t="s">
        <v>18</v>
      </c>
      <c r="X1120" s="8"/>
    </row>
    <row r="1121" spans="1:24" x14ac:dyDescent="0.3">
      <c r="A1121" s="1" t="s">
        <v>382</v>
      </c>
      <c r="B1121" s="1" t="s">
        <v>383</v>
      </c>
      <c r="C1121" s="1" t="s">
        <v>56</v>
      </c>
      <c r="D1121" s="1" t="s">
        <v>381</v>
      </c>
      <c r="F1121" s="1">
        <v>2006</v>
      </c>
      <c r="G1121" s="1" t="s">
        <v>21</v>
      </c>
      <c r="H1121" s="1">
        <v>2020</v>
      </c>
      <c r="I1121" s="1" t="s">
        <v>1601</v>
      </c>
      <c r="J1121" s="6">
        <v>20121</v>
      </c>
      <c r="K1121" s="6">
        <v>15931</v>
      </c>
      <c r="L1121" s="21">
        <v>0.79175985289001538</v>
      </c>
      <c r="M1121" s="1">
        <v>0</v>
      </c>
      <c r="N1121" s="1" t="s">
        <v>1589</v>
      </c>
      <c r="O1121" s="1">
        <v>2021</v>
      </c>
      <c r="P1121" s="1">
        <v>0.57799999999999996</v>
      </c>
      <c r="Q1121" s="22">
        <v>44794</v>
      </c>
      <c r="R1121" s="8">
        <v>423.10992495402814</v>
      </c>
      <c r="S1121" s="9">
        <v>7</v>
      </c>
      <c r="T1121" s="8">
        <v>397.47198946374436</v>
      </c>
      <c r="U1121" s="9">
        <v>7</v>
      </c>
      <c r="V1121" s="8">
        <v>307.18916554843202</v>
      </c>
      <c r="W1121" s="8">
        <v>7</v>
      </c>
      <c r="X1121" s="8"/>
    </row>
    <row r="1122" spans="1:24" x14ac:dyDescent="0.3">
      <c r="A1122" s="1" t="s">
        <v>1883</v>
      </c>
      <c r="B1122" s="1" t="s">
        <v>1884</v>
      </c>
      <c r="C1122" s="1" t="s">
        <v>56</v>
      </c>
      <c r="D1122" s="1" t="s">
        <v>381</v>
      </c>
      <c r="F1122" s="1">
        <v>2000</v>
      </c>
      <c r="G1122" s="1" t="s">
        <v>21</v>
      </c>
      <c r="H1122" s="1">
        <v>2020</v>
      </c>
      <c r="I1122" s="1" t="s">
        <v>1601</v>
      </c>
      <c r="J1122" s="6">
        <v>16448.45</v>
      </c>
      <c r="K1122" s="6">
        <v>898097</v>
      </c>
      <c r="L1122" s="21">
        <v>54.600707057503897</v>
      </c>
      <c r="M1122" s="1">
        <v>0</v>
      </c>
      <c r="N1122" s="1" t="s">
        <v>1589</v>
      </c>
      <c r="O1122" s="1" t="s">
        <v>18</v>
      </c>
      <c r="P1122" s="1">
        <v>0.71</v>
      </c>
      <c r="Q1122" s="22">
        <v>44780</v>
      </c>
      <c r="R1122" s="8">
        <v>199.16173013262645</v>
      </c>
      <c r="S1122" s="9">
        <v>5</v>
      </c>
      <c r="T1122" s="8">
        <v>221.50678270596927</v>
      </c>
      <c r="U1122" s="9">
        <v>5</v>
      </c>
      <c r="V1122" s="8">
        <v>233.28891415300529</v>
      </c>
      <c r="W1122" s="8">
        <v>6</v>
      </c>
      <c r="X1122" s="8"/>
    </row>
    <row r="1123" spans="1:24" x14ac:dyDescent="0.3">
      <c r="A1123" s="1" t="s">
        <v>1582</v>
      </c>
      <c r="B1123" s="1" t="s">
        <v>2607</v>
      </c>
      <c r="C1123" s="1" t="s">
        <v>56</v>
      </c>
      <c r="D1123" s="1" t="s">
        <v>381</v>
      </c>
      <c r="F1123" s="1">
        <v>2014</v>
      </c>
      <c r="J1123" s="6">
        <v>13869</v>
      </c>
      <c r="K1123" s="6">
        <v>10000</v>
      </c>
      <c r="L1123" s="21">
        <v>0.72103251856658734</v>
      </c>
      <c r="M1123" s="1">
        <v>0</v>
      </c>
      <c r="N1123" s="1" t="s">
        <v>1589</v>
      </c>
      <c r="O1123" s="1">
        <v>4</v>
      </c>
      <c r="Q1123" s="22"/>
      <c r="R1123" s="8">
        <v>164.41340255245512</v>
      </c>
      <c r="S1123" s="9">
        <v>4</v>
      </c>
      <c r="T1123" s="8">
        <v>185.24333693849593</v>
      </c>
      <c r="U1123" s="9">
        <v>4</v>
      </c>
      <c r="V1123" s="8">
        <v>192.97966399884635</v>
      </c>
      <c r="W1123" s="8">
        <v>5</v>
      </c>
      <c r="X1123" s="8"/>
    </row>
    <row r="1124" spans="1:24" x14ac:dyDescent="0.3">
      <c r="A1124" s="1" t="s">
        <v>2083</v>
      </c>
      <c r="B1124" s="1" t="s">
        <v>380</v>
      </c>
      <c r="C1124" s="1" t="s">
        <v>56</v>
      </c>
      <c r="D1124" s="1" t="s">
        <v>381</v>
      </c>
      <c r="F1124" s="1">
        <v>2010</v>
      </c>
      <c r="G1124" s="1" t="s">
        <v>19</v>
      </c>
      <c r="H1124" s="1">
        <v>2019</v>
      </c>
      <c r="I1124" s="1" t="s">
        <v>1601</v>
      </c>
      <c r="J1124" s="6">
        <v>20940</v>
      </c>
      <c r="K1124" s="6">
        <v>19384</v>
      </c>
      <c r="L1124" s="21">
        <v>0.92569245463228267</v>
      </c>
      <c r="M1124" s="1">
        <v>0</v>
      </c>
      <c r="N1124" s="1" t="s">
        <v>1590</v>
      </c>
      <c r="O1124" s="1" t="s">
        <v>18</v>
      </c>
      <c r="P1124" s="1">
        <v>1.21</v>
      </c>
      <c r="Q1124" s="22">
        <v>42390</v>
      </c>
      <c r="R1124" s="8">
        <v>313.81</v>
      </c>
      <c r="S1124" s="9">
        <v>6</v>
      </c>
      <c r="T1124" s="8">
        <v>292.48766475644697</v>
      </c>
      <c r="U1124" s="9">
        <v>6</v>
      </c>
      <c r="V1124" s="8">
        <v>187.75458452722063</v>
      </c>
      <c r="W1124" s="8">
        <v>4</v>
      </c>
      <c r="X1124" s="8"/>
    </row>
    <row r="1125" spans="1:24" x14ac:dyDescent="0.3">
      <c r="A1125" s="1" t="s">
        <v>388</v>
      </c>
      <c r="B1125" s="1" t="s">
        <v>2372</v>
      </c>
      <c r="C1125" s="1" t="s">
        <v>56</v>
      </c>
      <c r="D1125" s="1" t="s">
        <v>381</v>
      </c>
      <c r="F1125" s="1">
        <v>2001</v>
      </c>
      <c r="J1125" s="6">
        <v>10349</v>
      </c>
      <c r="K1125" s="6">
        <v>9700</v>
      </c>
      <c r="L1125" s="21">
        <v>0.93728862692047543</v>
      </c>
      <c r="M1125" s="1">
        <v>0</v>
      </c>
      <c r="N1125" s="1" t="s">
        <v>1590</v>
      </c>
      <c r="O1125" s="1" t="s">
        <v>18</v>
      </c>
      <c r="P1125" s="1">
        <v>1.07</v>
      </c>
      <c r="Q1125" s="22">
        <v>44734</v>
      </c>
      <c r="R1125" s="8">
        <v>117.74735336747513</v>
      </c>
      <c r="S1125" s="9">
        <v>2</v>
      </c>
      <c r="T1125" s="8">
        <v>138.15910522755823</v>
      </c>
      <c r="U1125" s="9">
        <v>2</v>
      </c>
      <c r="V1125" s="8">
        <v>140.67499468547686</v>
      </c>
      <c r="W1125" s="8">
        <v>3</v>
      </c>
      <c r="X1125" s="8"/>
    </row>
    <row r="1126" spans="1:24" x14ac:dyDescent="0.3">
      <c r="A1126" s="1" t="s">
        <v>794</v>
      </c>
      <c r="B1126" s="1" t="s">
        <v>1953</v>
      </c>
      <c r="C1126" s="1" t="s">
        <v>56</v>
      </c>
      <c r="D1126" s="1" t="s">
        <v>381</v>
      </c>
      <c r="F1126" s="1">
        <v>2015</v>
      </c>
      <c r="G1126" s="1" t="s">
        <v>21</v>
      </c>
      <c r="H1126" s="1">
        <v>2022</v>
      </c>
      <c r="I1126" s="1" t="s">
        <v>1783</v>
      </c>
      <c r="J1126" s="6">
        <v>64469</v>
      </c>
      <c r="K1126" s="6">
        <v>60980</v>
      </c>
      <c r="L1126" s="21">
        <v>0.94588096604569638</v>
      </c>
      <c r="M1126" s="1">
        <v>0</v>
      </c>
      <c r="N1126" s="1" t="s">
        <v>1589</v>
      </c>
      <c r="O1126" s="1">
        <v>8</v>
      </c>
      <c r="P1126" s="1">
        <v>0.64300000000000002</v>
      </c>
      <c r="Q1126" s="22">
        <v>44777</v>
      </c>
      <c r="R1126" s="8">
        <v>156.73083575051575</v>
      </c>
      <c r="S1126" s="9">
        <v>3</v>
      </c>
      <c r="T1126" s="8">
        <v>165.01379732894878</v>
      </c>
      <c r="U1126" s="9">
        <v>3</v>
      </c>
      <c r="V1126" s="8">
        <v>110.38132280631001</v>
      </c>
      <c r="W1126" s="8">
        <v>2</v>
      </c>
      <c r="X1126" s="8"/>
    </row>
    <row r="1127" spans="1:24" x14ac:dyDescent="0.3">
      <c r="A1127" s="1" t="s">
        <v>674</v>
      </c>
      <c r="B1127" s="1" t="s">
        <v>675</v>
      </c>
      <c r="C1127" s="1" t="s">
        <v>56</v>
      </c>
      <c r="D1127" s="1" t="s">
        <v>381</v>
      </c>
      <c r="F1127" s="1">
        <v>2016</v>
      </c>
      <c r="G1127" s="1" t="s">
        <v>19</v>
      </c>
      <c r="H1127" s="1">
        <v>2021</v>
      </c>
      <c r="I1127" s="1" t="s">
        <v>1598</v>
      </c>
      <c r="J1127" s="6">
        <v>15123</v>
      </c>
      <c r="K1127" s="6">
        <v>9342</v>
      </c>
      <c r="L1127" s="21">
        <v>0.61773457647292207</v>
      </c>
      <c r="M1127" s="1">
        <v>0</v>
      </c>
      <c r="N1127" s="1" t="s">
        <v>1821</v>
      </c>
      <c r="O1127" s="1" t="s">
        <v>18</v>
      </c>
      <c r="P1127" s="1" t="s">
        <v>18</v>
      </c>
      <c r="Q1127" s="22" t="s">
        <v>18</v>
      </c>
      <c r="R1127" s="8">
        <v>68.794354294782778</v>
      </c>
      <c r="S1127" s="9">
        <v>1</v>
      </c>
      <c r="T1127" s="8">
        <v>78.089942471731803</v>
      </c>
      <c r="U1127" s="9">
        <v>1</v>
      </c>
      <c r="V1127" s="8">
        <v>88.546982080275072</v>
      </c>
      <c r="W1127" s="8">
        <v>1</v>
      </c>
      <c r="X1127" s="8"/>
    </row>
    <row r="1129" spans="1:24" x14ac:dyDescent="0.3">
      <c r="A1129" s="10" t="s">
        <v>2660</v>
      </c>
    </row>
  </sheetData>
  <sheetProtection selectLockedCells="1" selectUnlockedCells="1"/>
  <autoFilter ref="A1:X1127">
    <sortState ref="A2:X1127">
      <sortCondition ref="C2:C1127" customList="Commercial Building,Healthcare Facility,Educational Institution,Civic,Community &amp; Cultural Institution,Sports &amp; Recreation Centre"/>
      <sortCondition ref="D2:D1127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E2:E1127" customList="Large,Medium"/>
      <sortCondition descending="1" ref="V2:V1127"/>
    </sortState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499"/>
  <sheetViews>
    <sheetView tabSelected="1" topLeftCell="I1" zoomScale="85" zoomScaleNormal="85" workbookViewId="0">
      <pane ySplit="1" topLeftCell="A2" activePane="bottomLeft" state="frozen"/>
      <selection pane="bottomLeft" activeCell="P9" sqref="P9"/>
    </sheetView>
  </sheetViews>
  <sheetFormatPr defaultColWidth="27.77734375" defaultRowHeight="14.4" x14ac:dyDescent="0.3"/>
  <cols>
    <col min="1" max="1" width="33.33203125" style="35" customWidth="1"/>
    <col min="2" max="2" width="20.33203125" style="35" customWidth="1"/>
    <col min="3" max="3" width="15.5546875" style="35" customWidth="1"/>
    <col min="4" max="4" width="21.77734375" style="35" customWidth="1"/>
    <col min="5" max="5" width="36.77734375" style="35" customWidth="1"/>
    <col min="6" max="6" width="23.77734375" style="35" customWidth="1"/>
    <col min="7" max="7" width="36.77734375" style="35" customWidth="1"/>
    <col min="8" max="8" width="21.77734375" style="35" bestFit="1" customWidth="1"/>
    <col min="9" max="9" width="33.33203125" style="35" customWidth="1"/>
    <col min="10" max="11" width="12.21875" style="35" customWidth="1"/>
    <col min="12" max="12" width="18.109375" style="35" customWidth="1"/>
    <col min="13" max="13" width="22.33203125" style="35" customWidth="1"/>
    <col min="14" max="14" width="17.77734375" style="53" customWidth="1"/>
    <col min="15" max="15" width="27.77734375" style="35" customWidth="1"/>
    <col min="16" max="16" width="27.109375" style="35" customWidth="1"/>
    <col min="17" max="17" width="34" style="35" customWidth="1"/>
    <col min="18" max="18" width="12.21875" style="53" customWidth="1"/>
    <col min="19" max="19" width="21.5546875" style="53" customWidth="1"/>
    <col min="20" max="16384" width="27.77734375" style="35"/>
  </cols>
  <sheetData>
    <row r="1" spans="1:19" s="34" customFormat="1" ht="43.2" x14ac:dyDescent="0.3">
      <c r="A1" s="33" t="s">
        <v>1759</v>
      </c>
      <c r="B1" s="33" t="s">
        <v>7</v>
      </c>
      <c r="C1" s="33" t="s">
        <v>1760</v>
      </c>
      <c r="D1" s="33" t="s">
        <v>1765</v>
      </c>
      <c r="E1" s="33" t="s">
        <v>1766</v>
      </c>
      <c r="F1" s="33" t="s">
        <v>1768</v>
      </c>
      <c r="G1" s="33" t="s">
        <v>1767</v>
      </c>
      <c r="H1" s="33" t="s">
        <v>2619</v>
      </c>
      <c r="I1" s="33" t="s">
        <v>2620</v>
      </c>
      <c r="J1" s="33" t="s">
        <v>6</v>
      </c>
      <c r="K1" s="33" t="s">
        <v>1594</v>
      </c>
      <c r="L1" s="33" t="s">
        <v>1596</v>
      </c>
      <c r="M1" s="33" t="s">
        <v>1761</v>
      </c>
      <c r="N1" s="51" t="s">
        <v>1762</v>
      </c>
      <c r="O1" s="33" t="s">
        <v>1763</v>
      </c>
      <c r="P1" s="33" t="s">
        <v>1764</v>
      </c>
      <c r="Q1" s="33" t="s">
        <v>2</v>
      </c>
      <c r="R1" s="51" t="s">
        <v>3</v>
      </c>
      <c r="S1" s="51" t="s">
        <v>4</v>
      </c>
    </row>
    <row r="2" spans="1:19" x14ac:dyDescent="0.3">
      <c r="A2" s="35" t="s">
        <v>1586</v>
      </c>
      <c r="B2" s="35" t="s">
        <v>2661</v>
      </c>
      <c r="C2" s="35" t="s">
        <v>17</v>
      </c>
      <c r="D2" s="37">
        <v>3724.675904367085</v>
      </c>
      <c r="E2" s="39" t="s">
        <v>1950</v>
      </c>
      <c r="F2" s="37">
        <v>4453.2057754557327</v>
      </c>
      <c r="G2" s="35" t="s">
        <v>1950</v>
      </c>
      <c r="H2" s="37">
        <v>4579.5895280822306</v>
      </c>
      <c r="I2" s="37" t="s">
        <v>1950</v>
      </c>
      <c r="J2" s="35">
        <v>2015</v>
      </c>
      <c r="K2" s="35" t="s">
        <v>19</v>
      </c>
      <c r="L2" s="35" t="s">
        <v>1607</v>
      </c>
      <c r="M2" s="36">
        <v>35218</v>
      </c>
      <c r="N2" s="52">
        <v>28536</v>
      </c>
      <c r="O2" s="38">
        <v>0.81026747685842471</v>
      </c>
      <c r="P2" s="35">
        <v>0</v>
      </c>
      <c r="Q2" s="35" t="s">
        <v>1589</v>
      </c>
      <c r="R2" s="53">
        <v>7</v>
      </c>
      <c r="S2" s="53">
        <v>0.74399999999999999</v>
      </c>
    </row>
    <row r="3" spans="1:19" x14ac:dyDescent="0.3">
      <c r="A3" s="35" t="s">
        <v>1586</v>
      </c>
      <c r="B3" s="35" t="s">
        <v>2661</v>
      </c>
      <c r="C3" s="35" t="s">
        <v>17</v>
      </c>
      <c r="D3" s="37">
        <v>2043.5498938694616</v>
      </c>
      <c r="E3" s="35" t="s">
        <v>2654</v>
      </c>
      <c r="F3" s="37">
        <v>2213.9957524316151</v>
      </c>
      <c r="G3" s="35" t="s">
        <v>2654</v>
      </c>
      <c r="H3" s="37">
        <v>2305.2968651073043</v>
      </c>
      <c r="I3" s="37" t="s">
        <v>2654</v>
      </c>
      <c r="J3" s="35">
        <v>1999</v>
      </c>
      <c r="K3" s="35" t="s">
        <v>1950</v>
      </c>
      <c r="L3" s="35" t="s">
        <v>1950</v>
      </c>
      <c r="M3" s="36">
        <v>38349</v>
      </c>
      <c r="N3" s="52">
        <v>20000</v>
      </c>
      <c r="O3" s="38">
        <v>0.52152598503220426</v>
      </c>
      <c r="P3" s="35">
        <v>0</v>
      </c>
      <c r="Q3" s="35" t="s">
        <v>1589</v>
      </c>
      <c r="R3" s="53">
        <v>20</v>
      </c>
      <c r="S3" s="53">
        <v>0</v>
      </c>
    </row>
    <row r="4" spans="1:19" x14ac:dyDescent="0.3">
      <c r="A4" s="35" t="s">
        <v>1586</v>
      </c>
      <c r="B4" s="35" t="s">
        <v>2661</v>
      </c>
      <c r="C4" s="35" t="s">
        <v>17</v>
      </c>
      <c r="D4" s="37">
        <v>1157.4027538726334</v>
      </c>
      <c r="E4" s="35" t="s">
        <v>2654</v>
      </c>
      <c r="F4" s="37">
        <v>1182.1218119230168</v>
      </c>
      <c r="G4" s="35" t="s">
        <v>2654</v>
      </c>
      <c r="H4" s="37">
        <v>1150.5562900954467</v>
      </c>
      <c r="I4" s="37" t="s">
        <v>2654</v>
      </c>
      <c r="J4" s="35">
        <v>2014</v>
      </c>
      <c r="K4" s="35" t="s">
        <v>19</v>
      </c>
      <c r="L4" s="35" t="s">
        <v>1603</v>
      </c>
      <c r="M4" s="36">
        <v>19173</v>
      </c>
      <c r="N4" s="52">
        <v>19173</v>
      </c>
      <c r="O4" s="38">
        <v>1</v>
      </c>
      <c r="P4" s="35">
        <v>0</v>
      </c>
      <c r="Q4" s="35" t="s">
        <v>1589</v>
      </c>
      <c r="R4" s="53">
        <v>5</v>
      </c>
      <c r="S4" s="53">
        <v>0.57799999999999996</v>
      </c>
    </row>
    <row r="5" spans="1:19" x14ac:dyDescent="0.3">
      <c r="A5" s="35" t="s">
        <v>1586</v>
      </c>
      <c r="B5" s="35" t="s">
        <v>14</v>
      </c>
      <c r="C5" s="35" t="s">
        <v>17</v>
      </c>
      <c r="D5" s="37">
        <v>553.08993434023853</v>
      </c>
      <c r="E5" s="35" t="s">
        <v>2654</v>
      </c>
      <c r="F5" s="37">
        <v>660.88190282456446</v>
      </c>
      <c r="G5" s="35" t="s">
        <v>2654</v>
      </c>
      <c r="H5" s="37">
        <v>805.35280032213552</v>
      </c>
      <c r="I5" s="37" t="s">
        <v>2654</v>
      </c>
      <c r="J5" s="35">
        <v>1986</v>
      </c>
      <c r="K5" s="35" t="s">
        <v>1950</v>
      </c>
      <c r="L5" s="35" t="s">
        <v>1950</v>
      </c>
      <c r="M5" s="36">
        <v>15819.43</v>
      </c>
      <c r="N5" s="52">
        <v>12724</v>
      </c>
      <c r="O5" s="38">
        <v>0.80432733669923628</v>
      </c>
      <c r="P5" s="35">
        <v>0</v>
      </c>
      <c r="Q5" s="35" t="s">
        <v>1589</v>
      </c>
      <c r="R5" s="53">
        <v>0</v>
      </c>
      <c r="S5" s="53">
        <v>0</v>
      </c>
    </row>
    <row r="6" spans="1:19" x14ac:dyDescent="0.3">
      <c r="A6" s="35" t="s">
        <v>1586</v>
      </c>
      <c r="B6" s="35" t="s">
        <v>2661</v>
      </c>
      <c r="C6" s="35" t="s">
        <v>17</v>
      </c>
      <c r="D6" s="37">
        <v>712.94639633726081</v>
      </c>
      <c r="E6" s="35" t="s">
        <v>2654</v>
      </c>
      <c r="F6" s="37">
        <v>712.22323935803604</v>
      </c>
      <c r="G6" s="35" t="s">
        <v>2654</v>
      </c>
      <c r="H6" s="37">
        <v>723.91930322622989</v>
      </c>
      <c r="I6" s="37" t="s">
        <v>2654</v>
      </c>
      <c r="J6" s="35">
        <v>1995</v>
      </c>
      <c r="K6" s="35" t="s">
        <v>21</v>
      </c>
      <c r="L6" s="35" t="s">
        <v>1601</v>
      </c>
      <c r="M6" s="36">
        <v>30469</v>
      </c>
      <c r="N6" s="52">
        <v>22476</v>
      </c>
      <c r="O6" s="38">
        <v>0.73766779349502776</v>
      </c>
      <c r="P6" s="35">
        <v>0</v>
      </c>
      <c r="Q6" s="35" t="s">
        <v>1589</v>
      </c>
      <c r="R6" s="53">
        <v>8</v>
      </c>
      <c r="S6" s="53">
        <v>0.58199999999999996</v>
      </c>
    </row>
    <row r="7" spans="1:19" x14ac:dyDescent="0.3">
      <c r="A7" s="35" t="s">
        <v>1586</v>
      </c>
      <c r="B7" s="35" t="s">
        <v>2661</v>
      </c>
      <c r="C7" s="35" t="s">
        <v>17</v>
      </c>
      <c r="D7" s="37">
        <v>790.92122903236157</v>
      </c>
      <c r="E7" s="35" t="s">
        <v>2654</v>
      </c>
      <c r="F7" s="37">
        <v>753.6836332146637</v>
      </c>
      <c r="G7" s="35" t="s">
        <v>2654</v>
      </c>
      <c r="H7" s="37">
        <v>695.23615253856758</v>
      </c>
      <c r="I7" s="37" t="s">
        <v>2654</v>
      </c>
      <c r="J7" s="35">
        <v>1995</v>
      </c>
      <c r="K7" s="35" t="s">
        <v>1950</v>
      </c>
      <c r="L7" s="35" t="s">
        <v>1950</v>
      </c>
      <c r="M7" s="36">
        <v>31179</v>
      </c>
      <c r="N7" s="52">
        <v>21500</v>
      </c>
      <c r="O7" s="38">
        <v>0.68956669553224925</v>
      </c>
      <c r="P7" s="35">
        <v>0</v>
      </c>
      <c r="Q7" s="35" t="s">
        <v>1589</v>
      </c>
      <c r="R7" s="53">
        <v>27</v>
      </c>
      <c r="S7" s="53">
        <v>0</v>
      </c>
    </row>
    <row r="8" spans="1:19" x14ac:dyDescent="0.3">
      <c r="A8" s="35" t="s">
        <v>1586</v>
      </c>
      <c r="B8" s="35" t="s">
        <v>14</v>
      </c>
      <c r="C8" s="35" t="s">
        <v>17</v>
      </c>
      <c r="D8" s="37">
        <v>641.82718985578492</v>
      </c>
      <c r="E8" s="39" t="s">
        <v>1950</v>
      </c>
      <c r="F8" s="37">
        <v>649.48149154843838</v>
      </c>
      <c r="G8" s="35" t="s">
        <v>1950</v>
      </c>
      <c r="H8" s="37">
        <v>658.71549696820716</v>
      </c>
      <c r="I8" s="37" t="s">
        <v>1950</v>
      </c>
      <c r="J8" s="35">
        <v>2008</v>
      </c>
      <c r="K8" s="35" t="s">
        <v>21</v>
      </c>
      <c r="L8" s="35" t="s">
        <v>1601</v>
      </c>
      <c r="M8" s="36">
        <v>36007</v>
      </c>
      <c r="N8" s="52">
        <v>25895</v>
      </c>
      <c r="O8" s="38">
        <v>0.71916571777709892</v>
      </c>
      <c r="P8" s="35">
        <v>0</v>
      </c>
      <c r="Q8" s="35" t="s">
        <v>1821</v>
      </c>
      <c r="R8" s="53">
        <v>0</v>
      </c>
      <c r="S8" s="53">
        <v>0.05</v>
      </c>
    </row>
    <row r="9" spans="1:19" x14ac:dyDescent="0.3">
      <c r="A9" s="35" t="s">
        <v>1586</v>
      </c>
      <c r="B9" s="35" t="s">
        <v>2661</v>
      </c>
      <c r="C9" s="35" t="s">
        <v>17</v>
      </c>
      <c r="D9" s="37">
        <v>566.20564635958397</v>
      </c>
      <c r="E9" s="35" t="s">
        <v>2654</v>
      </c>
      <c r="F9" s="37">
        <v>529.39249678058445</v>
      </c>
      <c r="G9" s="35" t="s">
        <v>2654</v>
      </c>
      <c r="H9" s="37">
        <v>568.24349925705792</v>
      </c>
      <c r="I9" s="37" t="s">
        <v>2654</v>
      </c>
      <c r="J9" s="35">
        <v>2011</v>
      </c>
      <c r="K9" s="35" t="s">
        <v>47</v>
      </c>
      <c r="L9" s="35" t="s">
        <v>1599</v>
      </c>
      <c r="M9" s="36">
        <v>20190</v>
      </c>
      <c r="N9" s="52">
        <v>16870</v>
      </c>
      <c r="O9" s="38">
        <v>0.83556215948489354</v>
      </c>
      <c r="P9" s="35">
        <v>0</v>
      </c>
      <c r="Q9" s="35" t="s">
        <v>1589</v>
      </c>
      <c r="R9" s="53">
        <v>12</v>
      </c>
      <c r="S9" s="53">
        <v>0</v>
      </c>
    </row>
    <row r="10" spans="1:19" x14ac:dyDescent="0.3">
      <c r="A10" s="35" t="s">
        <v>1586</v>
      </c>
      <c r="B10" s="35" t="s">
        <v>14</v>
      </c>
      <c r="C10" s="35" t="s">
        <v>17</v>
      </c>
      <c r="D10" s="37">
        <v>495.96940928270044</v>
      </c>
      <c r="E10" s="39" t="s">
        <v>1950</v>
      </c>
      <c r="F10" s="37">
        <v>521.52153353702897</v>
      </c>
      <c r="G10" s="35" t="s">
        <v>1950</v>
      </c>
      <c r="H10" s="37">
        <v>522.81229109074161</v>
      </c>
      <c r="I10" s="37" t="s">
        <v>1950</v>
      </c>
      <c r="J10" s="35">
        <v>2007</v>
      </c>
      <c r="K10" s="35" t="s">
        <v>19</v>
      </c>
      <c r="L10" s="35" t="s">
        <v>1606</v>
      </c>
      <c r="M10" s="36">
        <v>20619</v>
      </c>
      <c r="N10" s="52">
        <v>13947</v>
      </c>
      <c r="O10" s="38">
        <v>0.67641495707842281</v>
      </c>
      <c r="P10" s="35">
        <v>0</v>
      </c>
      <c r="Q10" s="35" t="s">
        <v>1821</v>
      </c>
      <c r="R10" s="53">
        <v>0</v>
      </c>
      <c r="S10" s="53">
        <v>0</v>
      </c>
    </row>
    <row r="11" spans="1:19" x14ac:dyDescent="0.3">
      <c r="A11" s="35" t="s">
        <v>1586</v>
      </c>
      <c r="B11" s="35" t="s">
        <v>14</v>
      </c>
      <c r="C11" s="35" t="s">
        <v>17</v>
      </c>
      <c r="D11" s="37">
        <v>503.36340324812454</v>
      </c>
      <c r="E11" s="35" t="s">
        <v>2654</v>
      </c>
      <c r="F11" s="37">
        <v>491.18200640885578</v>
      </c>
      <c r="G11" s="35" t="s">
        <v>2654</v>
      </c>
      <c r="H11" s="37">
        <v>494.47539994659286</v>
      </c>
      <c r="I11" s="37" t="s">
        <v>2654</v>
      </c>
      <c r="J11" s="35">
        <v>2014</v>
      </c>
      <c r="K11" s="35" t="s">
        <v>25</v>
      </c>
      <c r="L11" s="35" t="s">
        <v>1783</v>
      </c>
      <c r="M11" s="36">
        <v>41193</v>
      </c>
      <c r="N11" s="52">
        <v>30413</v>
      </c>
      <c r="O11" s="38">
        <v>0.73830505182919426</v>
      </c>
      <c r="P11" s="35">
        <v>0</v>
      </c>
      <c r="Q11" s="35" t="s">
        <v>1589</v>
      </c>
      <c r="R11" s="53">
        <v>5</v>
      </c>
      <c r="S11" s="53">
        <v>0.57799999999999996</v>
      </c>
    </row>
    <row r="12" spans="1:19" x14ac:dyDescent="0.3">
      <c r="A12" s="35" t="s">
        <v>1586</v>
      </c>
      <c r="B12" s="35" t="s">
        <v>14</v>
      </c>
      <c r="C12" s="35" t="s">
        <v>17</v>
      </c>
      <c r="D12" s="37">
        <v>520.52023907050852</v>
      </c>
      <c r="E12" s="35" t="s">
        <v>2654</v>
      </c>
      <c r="F12" s="37">
        <v>360.17597344914378</v>
      </c>
      <c r="G12" s="35" t="s">
        <v>2654</v>
      </c>
      <c r="H12" s="37">
        <v>490.10717676835333</v>
      </c>
      <c r="I12" s="37" t="s">
        <v>2654</v>
      </c>
      <c r="J12" s="35">
        <v>2017</v>
      </c>
      <c r="K12" s="35" t="s">
        <v>1950</v>
      </c>
      <c r="L12" s="35" t="s">
        <v>1950</v>
      </c>
      <c r="M12" s="36">
        <v>141841</v>
      </c>
      <c r="N12" s="52">
        <v>105166</v>
      </c>
      <c r="O12" s="38">
        <v>0.74143583308070304</v>
      </c>
      <c r="P12" s="35">
        <v>0</v>
      </c>
      <c r="Q12" s="35" t="s">
        <v>1589</v>
      </c>
      <c r="R12" s="53">
        <v>2</v>
      </c>
      <c r="S12" s="53">
        <v>0.62</v>
      </c>
    </row>
    <row r="13" spans="1:19" x14ac:dyDescent="0.3">
      <c r="A13" s="35" t="s">
        <v>1586</v>
      </c>
      <c r="B13" s="35" t="s">
        <v>14</v>
      </c>
      <c r="C13" s="35" t="s">
        <v>17</v>
      </c>
      <c r="D13" s="37">
        <v>148.40478104255968</v>
      </c>
      <c r="E13" s="35" t="s">
        <v>2656</v>
      </c>
      <c r="F13" s="37">
        <v>507.23150573289621</v>
      </c>
      <c r="G13" s="35" t="s">
        <v>2654</v>
      </c>
      <c r="H13" s="37">
        <v>483.30921556062935</v>
      </c>
      <c r="I13" s="37" t="s">
        <v>2654</v>
      </c>
      <c r="J13" s="35">
        <v>1996</v>
      </c>
      <c r="K13" s="35" t="s">
        <v>19</v>
      </c>
      <c r="L13" s="35" t="s">
        <v>1597</v>
      </c>
      <c r="M13" s="36">
        <v>32147.8</v>
      </c>
      <c r="N13" s="52">
        <v>23595</v>
      </c>
      <c r="O13" s="38">
        <v>0.73395380088217543</v>
      </c>
      <c r="P13" s="35">
        <v>0</v>
      </c>
      <c r="Q13" s="35" t="s">
        <v>1589</v>
      </c>
      <c r="R13" s="53">
        <v>9</v>
      </c>
      <c r="S13" s="53">
        <v>0.65</v>
      </c>
    </row>
    <row r="14" spans="1:19" x14ac:dyDescent="0.3">
      <c r="A14" s="35" t="s">
        <v>1586</v>
      </c>
      <c r="B14" s="35" t="s">
        <v>14</v>
      </c>
      <c r="C14" s="35" t="s">
        <v>17</v>
      </c>
      <c r="D14" s="37">
        <v>492.7328033268102</v>
      </c>
      <c r="E14" s="39" t="s">
        <v>1950</v>
      </c>
      <c r="F14" s="37">
        <v>482.50437866927592</v>
      </c>
      <c r="G14" s="35" t="s">
        <v>1950</v>
      </c>
      <c r="H14" s="37">
        <v>456.91308708414874</v>
      </c>
      <c r="I14" s="37" t="s">
        <v>1950</v>
      </c>
      <c r="J14" s="35">
        <v>2014</v>
      </c>
      <c r="K14" s="35" t="s">
        <v>19</v>
      </c>
      <c r="L14" s="35" t="s">
        <v>1598</v>
      </c>
      <c r="M14" s="36">
        <v>40880</v>
      </c>
      <c r="N14" s="52">
        <v>35333</v>
      </c>
      <c r="O14" s="38">
        <v>0.86431017612524463</v>
      </c>
      <c r="P14" s="35">
        <v>0</v>
      </c>
      <c r="Q14" s="35" t="s">
        <v>1821</v>
      </c>
      <c r="R14" s="53">
        <v>0</v>
      </c>
      <c r="S14" s="53">
        <v>0</v>
      </c>
    </row>
    <row r="15" spans="1:19" x14ac:dyDescent="0.3">
      <c r="A15" s="35" t="s">
        <v>1586</v>
      </c>
      <c r="B15" s="35" t="s">
        <v>2661</v>
      </c>
      <c r="C15" s="35" t="s">
        <v>17</v>
      </c>
      <c r="D15" s="37">
        <v>447.36173802360565</v>
      </c>
      <c r="E15" s="35" t="s">
        <v>2654</v>
      </c>
      <c r="F15" s="37">
        <v>458.8381526267068</v>
      </c>
      <c r="G15" s="35" t="s">
        <v>2654</v>
      </c>
      <c r="H15" s="37">
        <v>438.14511918537374</v>
      </c>
      <c r="I15" s="37" t="s">
        <v>2654</v>
      </c>
      <c r="J15" s="35">
        <v>1988</v>
      </c>
      <c r="K15" s="35" t="s">
        <v>19</v>
      </c>
      <c r="L15" s="35" t="s">
        <v>1818</v>
      </c>
      <c r="M15" s="36">
        <v>17284</v>
      </c>
      <c r="N15" s="52">
        <v>15751</v>
      </c>
      <c r="O15" s="38">
        <v>0.91130525341356172</v>
      </c>
      <c r="P15" s="35">
        <v>0</v>
      </c>
      <c r="Q15" s="35" t="s">
        <v>1589</v>
      </c>
      <c r="R15" s="53">
        <v>3</v>
      </c>
      <c r="S15" s="53">
        <v>0.58399999999999996</v>
      </c>
    </row>
    <row r="16" spans="1:19" x14ac:dyDescent="0.3">
      <c r="A16" s="35" t="s">
        <v>1586</v>
      </c>
      <c r="B16" s="35" t="s">
        <v>2661</v>
      </c>
      <c r="C16" s="35" t="s">
        <v>17</v>
      </c>
      <c r="D16" s="37">
        <v>348.74354333142026</v>
      </c>
      <c r="E16" s="35" t="s">
        <v>2654</v>
      </c>
      <c r="F16" s="37">
        <v>397.75692022427268</v>
      </c>
      <c r="G16" s="35" t="s">
        <v>2654</v>
      </c>
      <c r="H16" s="37">
        <v>435.14052359719216</v>
      </c>
      <c r="I16" s="37" t="s">
        <v>2654</v>
      </c>
      <c r="J16" s="35">
        <v>2008</v>
      </c>
      <c r="K16" s="35" t="s">
        <v>21</v>
      </c>
      <c r="L16" s="35" t="s">
        <v>1601</v>
      </c>
      <c r="M16" s="36">
        <v>22651</v>
      </c>
      <c r="N16" s="52">
        <v>21106</v>
      </c>
      <c r="O16" s="38">
        <v>0.93179109090106393</v>
      </c>
      <c r="P16" s="35">
        <v>0</v>
      </c>
      <c r="Q16" s="35" t="s">
        <v>1589</v>
      </c>
      <c r="R16" s="53">
        <v>13</v>
      </c>
      <c r="S16" s="53">
        <v>0.64</v>
      </c>
    </row>
    <row r="17" spans="1:19" x14ac:dyDescent="0.3">
      <c r="A17" s="35" t="s">
        <v>1586</v>
      </c>
      <c r="B17" s="35" t="s">
        <v>14</v>
      </c>
      <c r="C17" s="35" t="s">
        <v>17</v>
      </c>
      <c r="D17" s="37">
        <v>413.49142391182096</v>
      </c>
      <c r="E17" s="39" t="s">
        <v>1950</v>
      </c>
      <c r="F17" s="37">
        <v>411.26377797773029</v>
      </c>
      <c r="G17" s="35" t="s">
        <v>1950</v>
      </c>
      <c r="H17" s="37">
        <v>423.68774603531659</v>
      </c>
      <c r="I17" s="37" t="s">
        <v>1950</v>
      </c>
      <c r="J17" s="35">
        <v>2006</v>
      </c>
      <c r="K17" s="35" t="s">
        <v>25</v>
      </c>
      <c r="L17" s="35" t="s">
        <v>1783</v>
      </c>
      <c r="M17" s="36">
        <v>12960</v>
      </c>
      <c r="N17" s="52">
        <v>10000</v>
      </c>
      <c r="O17" s="38">
        <v>0.77160493827160492</v>
      </c>
      <c r="P17" s="35">
        <v>0</v>
      </c>
      <c r="Q17" s="35" t="s">
        <v>1821</v>
      </c>
      <c r="R17" s="53">
        <v>0</v>
      </c>
      <c r="S17" s="53">
        <v>0</v>
      </c>
    </row>
    <row r="18" spans="1:19" x14ac:dyDescent="0.3">
      <c r="A18" s="35" t="s">
        <v>1586</v>
      </c>
      <c r="B18" s="35" t="s">
        <v>14</v>
      </c>
      <c r="C18" s="35" t="s">
        <v>17</v>
      </c>
      <c r="D18" s="37">
        <v>384.91865086875873</v>
      </c>
      <c r="E18" s="35" t="s">
        <v>2654</v>
      </c>
      <c r="F18" s="37">
        <v>399.58861339289098</v>
      </c>
      <c r="G18" s="35" t="s">
        <v>2654</v>
      </c>
      <c r="H18" s="37">
        <v>407.07956240299808</v>
      </c>
      <c r="I18" s="37" t="s">
        <v>2654</v>
      </c>
      <c r="J18" s="35">
        <v>1998</v>
      </c>
      <c r="K18" s="35" t="s">
        <v>25</v>
      </c>
      <c r="L18" s="35" t="s">
        <v>1783</v>
      </c>
      <c r="M18" s="36">
        <v>26417</v>
      </c>
      <c r="N18" s="52">
        <v>22930</v>
      </c>
      <c r="O18" s="38">
        <v>0.86800166559412495</v>
      </c>
      <c r="P18" s="35">
        <v>0</v>
      </c>
      <c r="Q18" s="35" t="s">
        <v>28</v>
      </c>
      <c r="R18" s="53">
        <v>0</v>
      </c>
      <c r="S18" s="53">
        <v>0.76</v>
      </c>
    </row>
    <row r="19" spans="1:19" x14ac:dyDescent="0.3">
      <c r="A19" s="35" t="s">
        <v>1586</v>
      </c>
      <c r="B19" s="35" t="s">
        <v>14</v>
      </c>
      <c r="C19" s="35" t="s">
        <v>17</v>
      </c>
      <c r="D19" s="37">
        <v>378.49213840641107</v>
      </c>
      <c r="E19" s="35" t="s">
        <v>2654</v>
      </c>
      <c r="F19" s="37">
        <v>390.53270405281364</v>
      </c>
      <c r="G19" s="35" t="s">
        <v>2654</v>
      </c>
      <c r="H19" s="37">
        <v>397.20681529337003</v>
      </c>
      <c r="I19" s="37" t="s">
        <v>2654</v>
      </c>
      <c r="J19" s="35">
        <v>1986</v>
      </c>
      <c r="K19" s="35" t="s">
        <v>21</v>
      </c>
      <c r="L19" s="35" t="s">
        <v>1597</v>
      </c>
      <c r="M19" s="36">
        <v>44934</v>
      </c>
      <c r="N19" s="52">
        <v>41000</v>
      </c>
      <c r="O19" s="38">
        <v>0.91244937018738592</v>
      </c>
      <c r="P19" s="35">
        <v>0</v>
      </c>
      <c r="Q19" s="35" t="s">
        <v>1589</v>
      </c>
      <c r="R19" s="53">
        <v>0</v>
      </c>
      <c r="S19" s="53">
        <v>0</v>
      </c>
    </row>
    <row r="20" spans="1:19" x14ac:dyDescent="0.3">
      <c r="A20" s="35" t="s">
        <v>1586</v>
      </c>
      <c r="B20" s="35" t="s">
        <v>14</v>
      </c>
      <c r="C20" s="35" t="s">
        <v>17</v>
      </c>
      <c r="D20" s="37">
        <v>317.63807127677762</v>
      </c>
      <c r="E20" s="35" t="s">
        <v>2654</v>
      </c>
      <c r="F20" s="37">
        <v>327.99785046044116</v>
      </c>
      <c r="G20" s="35" t="s">
        <v>2654</v>
      </c>
      <c r="H20" s="37">
        <v>371.05205305454456</v>
      </c>
      <c r="I20" s="37" t="s">
        <v>2654</v>
      </c>
      <c r="J20" s="35">
        <v>1975</v>
      </c>
      <c r="K20" s="35" t="s">
        <v>25</v>
      </c>
      <c r="L20" s="35" t="s">
        <v>1601</v>
      </c>
      <c r="M20" s="36">
        <v>40939</v>
      </c>
      <c r="N20" s="52">
        <v>35950</v>
      </c>
      <c r="O20" s="38">
        <v>0.87813576296441043</v>
      </c>
      <c r="P20" s="35">
        <v>0</v>
      </c>
      <c r="Q20" s="35" t="s">
        <v>1589</v>
      </c>
      <c r="R20" s="53">
        <v>10</v>
      </c>
      <c r="S20" s="53">
        <v>0.65</v>
      </c>
    </row>
    <row r="21" spans="1:19" x14ac:dyDescent="0.3">
      <c r="A21" s="35" t="s">
        <v>1586</v>
      </c>
      <c r="B21" s="35" t="s">
        <v>14</v>
      </c>
      <c r="C21" s="35" t="s">
        <v>17</v>
      </c>
      <c r="D21" s="37">
        <v>451.93334837222909</v>
      </c>
      <c r="E21" s="35" t="s">
        <v>2654</v>
      </c>
      <c r="F21" s="37">
        <v>422.77255866792171</v>
      </c>
      <c r="G21" s="35" t="s">
        <v>2654</v>
      </c>
      <c r="H21" s="37">
        <v>355.66723489889318</v>
      </c>
      <c r="I21" s="37" t="s">
        <v>2654</v>
      </c>
      <c r="J21" s="35">
        <v>1995</v>
      </c>
      <c r="K21" s="35" t="s">
        <v>1950</v>
      </c>
      <c r="L21" s="35" t="s">
        <v>1950</v>
      </c>
      <c r="M21" s="36">
        <v>30809</v>
      </c>
      <c r="N21" s="52">
        <v>29361</v>
      </c>
      <c r="O21" s="38">
        <v>0.95300074653510336</v>
      </c>
      <c r="P21" s="35">
        <v>180</v>
      </c>
      <c r="Q21" s="35" t="s">
        <v>1589</v>
      </c>
      <c r="R21" s="53">
        <v>17</v>
      </c>
      <c r="S21" s="53">
        <v>0</v>
      </c>
    </row>
    <row r="22" spans="1:19" x14ac:dyDescent="0.3">
      <c r="A22" s="35" t="s">
        <v>1586</v>
      </c>
      <c r="B22" s="35" t="s">
        <v>14</v>
      </c>
      <c r="C22" s="35" t="s">
        <v>17</v>
      </c>
      <c r="D22" s="37">
        <v>289.32588839504075</v>
      </c>
      <c r="E22" s="35" t="s">
        <v>2654</v>
      </c>
      <c r="F22" s="37">
        <v>303.54432937073346</v>
      </c>
      <c r="G22" s="35" t="s">
        <v>2654</v>
      </c>
      <c r="H22" s="37">
        <v>327.36448121132213</v>
      </c>
      <c r="I22" s="37" t="s">
        <v>2654</v>
      </c>
      <c r="J22" s="35">
        <v>2014</v>
      </c>
      <c r="K22" s="35" t="s">
        <v>19</v>
      </c>
      <c r="L22" s="35" t="s">
        <v>1598</v>
      </c>
      <c r="M22" s="36">
        <v>38868</v>
      </c>
      <c r="N22" s="52">
        <v>32602</v>
      </c>
      <c r="O22" s="38">
        <v>0.83878769167438505</v>
      </c>
      <c r="P22" s="35">
        <v>0</v>
      </c>
      <c r="Q22" s="35" t="s">
        <v>1589</v>
      </c>
      <c r="R22" s="53">
        <v>8</v>
      </c>
      <c r="S22" s="53">
        <v>0.47199999999999998</v>
      </c>
    </row>
    <row r="23" spans="1:19" x14ac:dyDescent="0.3">
      <c r="A23" s="35" t="s">
        <v>1586</v>
      </c>
      <c r="B23" s="35" t="s">
        <v>2661</v>
      </c>
      <c r="C23" s="35" t="s">
        <v>17</v>
      </c>
      <c r="D23" s="37">
        <v>271.42636246323752</v>
      </c>
      <c r="E23" s="35" t="s">
        <v>2654</v>
      </c>
      <c r="F23" s="37">
        <v>298.64363423564009</v>
      </c>
      <c r="G23" s="35" t="s">
        <v>2654</v>
      </c>
      <c r="H23" s="37">
        <v>315.31023918132161</v>
      </c>
      <c r="I23" s="37" t="s">
        <v>2654</v>
      </c>
      <c r="J23" s="35">
        <v>1998</v>
      </c>
      <c r="K23" s="35" t="s">
        <v>25</v>
      </c>
      <c r="L23" s="35" t="s">
        <v>1783</v>
      </c>
      <c r="M23" s="36">
        <v>33322</v>
      </c>
      <c r="N23" s="52">
        <v>11653</v>
      </c>
      <c r="O23" s="38">
        <v>0.34970890102634894</v>
      </c>
      <c r="P23" s="35">
        <v>0</v>
      </c>
      <c r="Q23" s="35" t="s">
        <v>28</v>
      </c>
      <c r="R23" s="53">
        <v>0</v>
      </c>
      <c r="S23" s="53">
        <v>0.21540000000000001</v>
      </c>
    </row>
    <row r="24" spans="1:19" x14ac:dyDescent="0.3">
      <c r="A24" s="35" t="s">
        <v>1586</v>
      </c>
      <c r="B24" s="35" t="s">
        <v>14</v>
      </c>
      <c r="C24" s="35" t="s">
        <v>17</v>
      </c>
      <c r="D24" s="37">
        <v>296.43049082088845</v>
      </c>
      <c r="E24" s="39" t="s">
        <v>1950</v>
      </c>
      <c r="F24" s="37">
        <v>309.63121849139162</v>
      </c>
      <c r="G24" s="35" t="s">
        <v>1950</v>
      </c>
      <c r="H24" s="37">
        <v>311.01983258822412</v>
      </c>
      <c r="I24" s="37" t="s">
        <v>1950</v>
      </c>
      <c r="J24" s="35">
        <v>2012</v>
      </c>
      <c r="K24" s="35" t="s">
        <v>21</v>
      </c>
      <c r="L24" s="35" t="s">
        <v>1599</v>
      </c>
      <c r="M24" s="36">
        <v>31539</v>
      </c>
      <c r="N24" s="52">
        <v>28385</v>
      </c>
      <c r="O24" s="38">
        <v>0.8999968293224262</v>
      </c>
      <c r="P24" s="35">
        <v>0</v>
      </c>
      <c r="Q24" s="35" t="s">
        <v>1821</v>
      </c>
      <c r="R24" s="53">
        <v>0</v>
      </c>
      <c r="S24" s="53">
        <v>0</v>
      </c>
    </row>
    <row r="25" spans="1:19" x14ac:dyDescent="0.3">
      <c r="A25" s="35" t="s">
        <v>1586</v>
      </c>
      <c r="B25" s="35" t="s">
        <v>14</v>
      </c>
      <c r="C25" s="35" t="s">
        <v>17</v>
      </c>
      <c r="D25" s="37">
        <v>377.95256908344732</v>
      </c>
      <c r="E25" s="35" t="s">
        <v>2654</v>
      </c>
      <c r="F25" s="37">
        <v>343.66616689466485</v>
      </c>
      <c r="G25" s="35" t="s">
        <v>2654</v>
      </c>
      <c r="H25" s="37">
        <v>303.53361422708616</v>
      </c>
      <c r="I25" s="37" t="s">
        <v>2654</v>
      </c>
      <c r="J25" s="35">
        <v>2000</v>
      </c>
      <c r="K25" s="35" t="s">
        <v>47</v>
      </c>
      <c r="L25" s="35" t="s">
        <v>1599</v>
      </c>
      <c r="M25" s="36">
        <v>18275</v>
      </c>
      <c r="N25" s="52">
        <v>18074</v>
      </c>
      <c r="O25" s="38">
        <v>0.98900136798905613</v>
      </c>
      <c r="P25" s="35">
        <v>0</v>
      </c>
      <c r="Q25" s="35" t="s">
        <v>28</v>
      </c>
      <c r="R25" s="53">
        <v>0</v>
      </c>
      <c r="S25" s="53">
        <v>0.81</v>
      </c>
    </row>
    <row r="26" spans="1:19" x14ac:dyDescent="0.3">
      <c r="A26" s="35" t="s">
        <v>1586</v>
      </c>
      <c r="B26" s="35" t="s">
        <v>2661</v>
      </c>
      <c r="C26" s="35" t="s">
        <v>17</v>
      </c>
      <c r="D26" s="37">
        <v>319.10667971864245</v>
      </c>
      <c r="E26" s="35" t="s">
        <v>2654</v>
      </c>
      <c r="F26" s="37">
        <v>304.78687267259386</v>
      </c>
      <c r="G26" s="35" t="s">
        <v>2654</v>
      </c>
      <c r="H26" s="37">
        <v>302.92237438314277</v>
      </c>
      <c r="I26" s="37" t="s">
        <v>2654</v>
      </c>
      <c r="J26" s="35">
        <v>2001</v>
      </c>
      <c r="K26" s="35" t="s">
        <v>19</v>
      </c>
      <c r="L26" s="35" t="s">
        <v>1599</v>
      </c>
      <c r="M26" s="36">
        <v>99091</v>
      </c>
      <c r="N26" s="52">
        <v>77451</v>
      </c>
      <c r="O26" s="38">
        <v>0.78161487925240436</v>
      </c>
      <c r="P26" s="35">
        <v>0</v>
      </c>
      <c r="Q26" s="35" t="s">
        <v>1589</v>
      </c>
      <c r="R26" s="53">
        <v>16</v>
      </c>
      <c r="S26" s="53">
        <v>0</v>
      </c>
    </row>
    <row r="27" spans="1:19" x14ac:dyDescent="0.3">
      <c r="A27" s="35" t="s">
        <v>1586</v>
      </c>
      <c r="B27" s="35" t="s">
        <v>14</v>
      </c>
      <c r="C27" s="35" t="s">
        <v>17</v>
      </c>
      <c r="D27" s="37">
        <v>301.97509043927653</v>
      </c>
      <c r="E27" s="35" t="s">
        <v>2654</v>
      </c>
      <c r="F27" s="37">
        <v>295.50542635658917</v>
      </c>
      <c r="G27" s="35" t="s">
        <v>2654</v>
      </c>
      <c r="H27" s="37">
        <v>300.88201550387595</v>
      </c>
      <c r="I27" s="37" t="s">
        <v>2654</v>
      </c>
      <c r="J27" s="35">
        <v>1953</v>
      </c>
      <c r="K27" s="35" t="s">
        <v>1950</v>
      </c>
      <c r="L27" s="35" t="s">
        <v>1950</v>
      </c>
      <c r="M27" s="36">
        <v>15480</v>
      </c>
      <c r="N27" s="52">
        <v>15480</v>
      </c>
      <c r="O27" s="38">
        <v>1</v>
      </c>
      <c r="P27" s="35">
        <v>0</v>
      </c>
      <c r="Q27" s="35" t="s">
        <v>28</v>
      </c>
      <c r="R27" s="53">
        <v>0</v>
      </c>
      <c r="S27" s="53">
        <v>0</v>
      </c>
    </row>
    <row r="28" spans="1:19" x14ac:dyDescent="0.3">
      <c r="A28" s="35" t="s">
        <v>1586</v>
      </c>
      <c r="B28" s="35" t="s">
        <v>14</v>
      </c>
      <c r="C28" s="35" t="s">
        <v>17</v>
      </c>
      <c r="D28" s="37">
        <v>297.46145772310098</v>
      </c>
      <c r="E28" s="35" t="s">
        <v>2654</v>
      </c>
      <c r="F28" s="37">
        <v>294.98093634055846</v>
      </c>
      <c r="G28" s="35" t="s">
        <v>2654</v>
      </c>
      <c r="H28" s="37">
        <v>300.8384348760008</v>
      </c>
      <c r="I28" s="37" t="s">
        <v>2654</v>
      </c>
      <c r="J28" s="35">
        <v>2014</v>
      </c>
      <c r="K28" s="35" t="s">
        <v>21</v>
      </c>
      <c r="L28" s="35" t="s">
        <v>1818</v>
      </c>
      <c r="M28" s="36">
        <v>20484</v>
      </c>
      <c r="N28" s="52">
        <v>18058</v>
      </c>
      <c r="O28" s="38">
        <v>0.88156610037102123</v>
      </c>
      <c r="P28" s="35">
        <v>0</v>
      </c>
      <c r="Q28" s="35" t="s">
        <v>1589</v>
      </c>
      <c r="R28" s="53">
        <v>9</v>
      </c>
      <c r="S28" s="53">
        <v>0.64</v>
      </c>
    </row>
    <row r="29" spans="1:19" x14ac:dyDescent="0.3">
      <c r="A29" s="35" t="s">
        <v>1586</v>
      </c>
      <c r="B29" s="35" t="s">
        <v>14</v>
      </c>
      <c r="C29" s="35" t="s">
        <v>17</v>
      </c>
      <c r="D29" s="37">
        <v>298.50928457213598</v>
      </c>
      <c r="E29" s="39" t="s">
        <v>1950</v>
      </c>
      <c r="F29" s="37">
        <v>283.21442203538453</v>
      </c>
      <c r="G29" s="35" t="s">
        <v>1950</v>
      </c>
      <c r="H29" s="37">
        <v>299.36323309434158</v>
      </c>
      <c r="I29" s="37" t="s">
        <v>1950</v>
      </c>
      <c r="J29" s="35">
        <v>2008</v>
      </c>
      <c r="K29" s="35" t="s">
        <v>19</v>
      </c>
      <c r="L29" s="35" t="s">
        <v>1601</v>
      </c>
      <c r="M29" s="36">
        <v>38774</v>
      </c>
      <c r="N29" s="52">
        <v>34511</v>
      </c>
      <c r="O29" s="38">
        <v>0.89005519162325275</v>
      </c>
      <c r="P29" s="35">
        <v>0</v>
      </c>
      <c r="Q29" s="35" t="s">
        <v>1821</v>
      </c>
      <c r="R29" s="53">
        <v>0</v>
      </c>
      <c r="S29" s="53">
        <v>0</v>
      </c>
    </row>
    <row r="30" spans="1:19" x14ac:dyDescent="0.3">
      <c r="A30" s="35" t="s">
        <v>1586</v>
      </c>
      <c r="B30" s="35" t="s">
        <v>14</v>
      </c>
      <c r="C30" s="35" t="s">
        <v>17</v>
      </c>
      <c r="D30" s="37">
        <v>260.69736778782737</v>
      </c>
      <c r="E30" s="35" t="s">
        <v>2654</v>
      </c>
      <c r="F30" s="37">
        <v>300.70776935822613</v>
      </c>
      <c r="G30" s="35" t="s">
        <v>2654</v>
      </c>
      <c r="H30" s="37">
        <v>298.99086456365501</v>
      </c>
      <c r="I30" s="37" t="s">
        <v>2654</v>
      </c>
      <c r="J30" s="35">
        <v>1983</v>
      </c>
      <c r="K30" s="35" t="s">
        <v>19</v>
      </c>
      <c r="L30" s="35" t="s">
        <v>1818</v>
      </c>
      <c r="M30" s="36">
        <v>94753</v>
      </c>
      <c r="N30" s="52">
        <v>94753</v>
      </c>
      <c r="O30" s="38">
        <v>1</v>
      </c>
      <c r="P30" s="35">
        <v>0</v>
      </c>
      <c r="Q30" s="35" t="s">
        <v>1589</v>
      </c>
      <c r="R30" s="53">
        <v>10</v>
      </c>
      <c r="S30" s="53">
        <v>0.63100000000000001</v>
      </c>
    </row>
    <row r="31" spans="1:19" x14ac:dyDescent="0.3">
      <c r="A31" s="35" t="s">
        <v>1586</v>
      </c>
      <c r="B31" s="35" t="s">
        <v>14</v>
      </c>
      <c r="C31" s="35" t="s">
        <v>17</v>
      </c>
      <c r="D31" s="37">
        <v>290.5293853213779</v>
      </c>
      <c r="E31" s="35" t="s">
        <v>2654</v>
      </c>
      <c r="F31" s="37">
        <v>299.40596443558854</v>
      </c>
      <c r="G31" s="35" t="s">
        <v>2654</v>
      </c>
      <c r="H31" s="37">
        <v>298.63147359840599</v>
      </c>
      <c r="I31" s="37" t="s">
        <v>2654</v>
      </c>
      <c r="J31" s="35">
        <v>2014</v>
      </c>
      <c r="K31" s="35" t="s">
        <v>19</v>
      </c>
      <c r="L31" s="35" t="s">
        <v>1603</v>
      </c>
      <c r="M31" s="36">
        <v>33123</v>
      </c>
      <c r="N31" s="52">
        <v>26327</v>
      </c>
      <c r="O31" s="38">
        <v>0.79482534794553639</v>
      </c>
      <c r="P31" s="35">
        <v>0</v>
      </c>
      <c r="Q31" s="35" t="s">
        <v>1589</v>
      </c>
      <c r="R31" s="53">
        <v>5</v>
      </c>
      <c r="S31" s="53">
        <v>0.57799999999999996</v>
      </c>
    </row>
    <row r="32" spans="1:19" x14ac:dyDescent="0.3">
      <c r="A32" s="35" t="s">
        <v>1586</v>
      </c>
      <c r="B32" s="35" t="s">
        <v>14</v>
      </c>
      <c r="C32" s="35" t="s">
        <v>17</v>
      </c>
      <c r="D32" s="37">
        <v>271.51940667490732</v>
      </c>
      <c r="E32" s="35" t="s">
        <v>2654</v>
      </c>
      <c r="F32" s="37">
        <v>276.22927070457354</v>
      </c>
      <c r="G32" s="35" t="s">
        <v>2654</v>
      </c>
      <c r="H32" s="37">
        <v>293.94932014833125</v>
      </c>
      <c r="I32" s="37" t="s">
        <v>2654</v>
      </c>
      <c r="J32" s="35">
        <v>2011</v>
      </c>
      <c r="K32" s="35" t="s">
        <v>25</v>
      </c>
      <c r="L32" s="35" t="s">
        <v>1597</v>
      </c>
      <c r="M32" s="36">
        <v>38624</v>
      </c>
      <c r="N32" s="52">
        <v>38624</v>
      </c>
      <c r="O32" s="38">
        <v>1</v>
      </c>
      <c r="P32" s="35">
        <v>0</v>
      </c>
      <c r="Q32" s="35" t="s">
        <v>1589</v>
      </c>
      <c r="R32" s="53">
        <v>11</v>
      </c>
      <c r="S32" s="53">
        <v>0.81599999999999995</v>
      </c>
    </row>
    <row r="33" spans="1:19" x14ac:dyDescent="0.3">
      <c r="A33" s="35" t="s">
        <v>1586</v>
      </c>
      <c r="B33" s="35" t="s">
        <v>2661</v>
      </c>
      <c r="C33" s="35" t="s">
        <v>17</v>
      </c>
      <c r="D33" s="37">
        <v>289.62226840277771</v>
      </c>
      <c r="E33" s="35" t="s">
        <v>2654</v>
      </c>
      <c r="F33" s="37">
        <v>298.30469027777781</v>
      </c>
      <c r="G33" s="35" t="s">
        <v>2654</v>
      </c>
      <c r="H33" s="37">
        <v>288.91996736111111</v>
      </c>
      <c r="I33" s="37" t="s">
        <v>2654</v>
      </c>
      <c r="J33" s="35">
        <v>2012</v>
      </c>
      <c r="K33" s="35" t="s">
        <v>19</v>
      </c>
      <c r="L33" s="35" t="s">
        <v>1603</v>
      </c>
      <c r="M33" s="36">
        <v>28800</v>
      </c>
      <c r="N33" s="52">
        <v>20897</v>
      </c>
      <c r="O33" s="38">
        <v>0.72559027777777774</v>
      </c>
      <c r="P33" s="35">
        <v>0</v>
      </c>
      <c r="Q33" s="35" t="s">
        <v>1589</v>
      </c>
      <c r="R33" s="53">
        <v>11</v>
      </c>
      <c r="S33" s="53">
        <v>0</v>
      </c>
    </row>
    <row r="34" spans="1:19" x14ac:dyDescent="0.3">
      <c r="A34" s="35" t="s">
        <v>1586</v>
      </c>
      <c r="B34" s="35" t="s">
        <v>2661</v>
      </c>
      <c r="C34" s="35" t="s">
        <v>17</v>
      </c>
      <c r="D34" s="37">
        <v>351.00491891891892</v>
      </c>
      <c r="E34" s="35" t="s">
        <v>2654</v>
      </c>
      <c r="F34" s="37">
        <v>307.06140540540542</v>
      </c>
      <c r="G34" s="35" t="s">
        <v>2654</v>
      </c>
      <c r="H34" s="37">
        <v>288.80886486486486</v>
      </c>
      <c r="I34" s="37" t="s">
        <v>2654</v>
      </c>
      <c r="J34" s="35">
        <v>1997</v>
      </c>
      <c r="K34" s="35" t="s">
        <v>19</v>
      </c>
      <c r="L34" s="35" t="s">
        <v>1875</v>
      </c>
      <c r="M34" s="36">
        <v>37000</v>
      </c>
      <c r="N34" s="52">
        <v>3700</v>
      </c>
      <c r="O34" s="38">
        <v>0.1</v>
      </c>
      <c r="P34" s="35">
        <v>0</v>
      </c>
      <c r="Q34" s="35" t="s">
        <v>1589</v>
      </c>
      <c r="R34" s="53">
        <v>2</v>
      </c>
      <c r="S34" s="53">
        <v>0</v>
      </c>
    </row>
    <row r="35" spans="1:19" x14ac:dyDescent="0.3">
      <c r="A35" s="35" t="s">
        <v>1586</v>
      </c>
      <c r="B35" s="35" t="s">
        <v>2661</v>
      </c>
      <c r="C35" s="35" t="s">
        <v>17</v>
      </c>
      <c r="D35" s="37">
        <v>328.68092261961471</v>
      </c>
      <c r="E35" s="35" t="s">
        <v>2654</v>
      </c>
      <c r="F35" s="37">
        <v>315.5146433947524</v>
      </c>
      <c r="G35" s="35" t="s">
        <v>2654</v>
      </c>
      <c r="H35" s="37">
        <v>288.40408909891198</v>
      </c>
      <c r="I35" s="37" t="s">
        <v>2654</v>
      </c>
      <c r="J35" s="35">
        <v>1981</v>
      </c>
      <c r="K35" s="35" t="s">
        <v>1950</v>
      </c>
      <c r="L35" s="35" t="s">
        <v>1950</v>
      </c>
      <c r="M35" s="36">
        <v>104962</v>
      </c>
      <c r="N35" s="52">
        <v>83076</v>
      </c>
      <c r="O35" s="38">
        <v>0.79148644271260071</v>
      </c>
      <c r="P35" s="35">
        <v>0</v>
      </c>
      <c r="Q35" s="35" t="s">
        <v>1589</v>
      </c>
      <c r="R35" s="53">
        <v>5</v>
      </c>
      <c r="S35" s="53">
        <v>0.72</v>
      </c>
    </row>
    <row r="36" spans="1:19" x14ac:dyDescent="0.3">
      <c r="A36" s="35" t="s">
        <v>1586</v>
      </c>
      <c r="B36" s="35" t="s">
        <v>2661</v>
      </c>
      <c r="C36" s="35" t="s">
        <v>17</v>
      </c>
      <c r="D36" s="37">
        <v>296.04778906752415</v>
      </c>
      <c r="E36" s="35" t="s">
        <v>2654</v>
      </c>
      <c r="F36" s="37">
        <v>281.01022122186492</v>
      </c>
      <c r="G36" s="35" t="s">
        <v>2654</v>
      </c>
      <c r="H36" s="37">
        <v>287.62980707395496</v>
      </c>
      <c r="I36" s="37" t="s">
        <v>2654</v>
      </c>
      <c r="J36" s="35">
        <v>1997</v>
      </c>
      <c r="K36" s="35" t="s">
        <v>21</v>
      </c>
      <c r="L36" s="35" t="s">
        <v>1599</v>
      </c>
      <c r="M36" s="36">
        <v>15550</v>
      </c>
      <c r="N36" s="52">
        <v>13873</v>
      </c>
      <c r="O36" s="38">
        <v>0.89215434083601286</v>
      </c>
      <c r="P36" s="35">
        <v>0</v>
      </c>
      <c r="Q36" s="35" t="s">
        <v>1589</v>
      </c>
      <c r="R36" s="53">
        <v>2</v>
      </c>
      <c r="S36" s="53">
        <v>0.61799999999999999</v>
      </c>
    </row>
    <row r="37" spans="1:19" x14ac:dyDescent="0.3">
      <c r="A37" s="35" t="s">
        <v>1586</v>
      </c>
      <c r="B37" s="35" t="s">
        <v>2661</v>
      </c>
      <c r="C37" s="35" t="s">
        <v>17</v>
      </c>
      <c r="D37" s="37">
        <v>282.70601167264255</v>
      </c>
      <c r="E37" s="35" t="s">
        <v>2654</v>
      </c>
      <c r="F37" s="37">
        <v>266.22836242770029</v>
      </c>
      <c r="G37" s="35" t="s">
        <v>2654</v>
      </c>
      <c r="H37" s="37">
        <v>283.73698605040698</v>
      </c>
      <c r="I37" s="37" t="s">
        <v>2654</v>
      </c>
      <c r="J37" s="35">
        <v>1998</v>
      </c>
      <c r="K37" s="35" t="s">
        <v>21</v>
      </c>
      <c r="L37" s="35" t="s">
        <v>1601</v>
      </c>
      <c r="M37" s="36">
        <v>38209</v>
      </c>
      <c r="N37" s="52">
        <v>31200</v>
      </c>
      <c r="O37" s="38">
        <v>0.81656154309194173</v>
      </c>
      <c r="P37" s="35">
        <v>0</v>
      </c>
      <c r="Q37" s="35" t="s">
        <v>1589</v>
      </c>
      <c r="R37" s="53">
        <v>5</v>
      </c>
      <c r="S37" s="53">
        <v>0.6</v>
      </c>
    </row>
    <row r="38" spans="1:19" x14ac:dyDescent="0.3">
      <c r="A38" s="35" t="s">
        <v>1586</v>
      </c>
      <c r="B38" s="35" t="s">
        <v>2661</v>
      </c>
      <c r="C38" s="35" t="s">
        <v>17</v>
      </c>
      <c r="D38" s="37">
        <v>264.2544954898259</v>
      </c>
      <c r="E38" s="35" t="s">
        <v>2654</v>
      </c>
      <c r="F38" s="37">
        <v>275.80436927487585</v>
      </c>
      <c r="G38" s="35" t="s">
        <v>2654</v>
      </c>
      <c r="H38" s="37">
        <v>278.09360813929095</v>
      </c>
      <c r="I38" s="37" t="s">
        <v>2654</v>
      </c>
      <c r="J38" s="35">
        <v>2001</v>
      </c>
      <c r="K38" s="35" t="s">
        <v>21</v>
      </c>
      <c r="L38" s="35" t="s">
        <v>1818</v>
      </c>
      <c r="M38" s="36">
        <v>28602</v>
      </c>
      <c r="N38" s="52">
        <v>28602</v>
      </c>
      <c r="O38" s="38">
        <v>1</v>
      </c>
      <c r="P38" s="35">
        <v>0</v>
      </c>
      <c r="Q38" s="35" t="s">
        <v>1590</v>
      </c>
      <c r="R38" s="53">
        <v>0</v>
      </c>
      <c r="S38" s="53">
        <v>0</v>
      </c>
    </row>
    <row r="39" spans="1:19" x14ac:dyDescent="0.3">
      <c r="A39" s="35" t="s">
        <v>1586</v>
      </c>
      <c r="B39" s="35" t="s">
        <v>2661</v>
      </c>
      <c r="C39" s="35" t="s">
        <v>17</v>
      </c>
      <c r="D39" s="37">
        <v>246.18021555849845</v>
      </c>
      <c r="E39" s="35" t="s">
        <v>2654</v>
      </c>
      <c r="F39" s="37">
        <v>264.46478817837334</v>
      </c>
      <c r="G39" s="35" t="s">
        <v>2654</v>
      </c>
      <c r="H39" s="37">
        <v>266.94398625880132</v>
      </c>
      <c r="I39" s="37" t="s">
        <v>2654</v>
      </c>
      <c r="J39" s="35">
        <v>2013</v>
      </c>
      <c r="K39" s="35" t="s">
        <v>21</v>
      </c>
      <c r="L39" s="35" t="s">
        <v>1600</v>
      </c>
      <c r="M39" s="36">
        <v>45637</v>
      </c>
      <c r="N39" s="52">
        <v>30912</v>
      </c>
      <c r="O39" s="38">
        <v>0.6773451366216009</v>
      </c>
      <c r="P39" s="35">
        <v>0</v>
      </c>
      <c r="Q39" s="35" t="s">
        <v>1589</v>
      </c>
      <c r="R39" s="53">
        <v>7</v>
      </c>
      <c r="S39" s="53">
        <v>0.65</v>
      </c>
    </row>
    <row r="40" spans="1:19" x14ac:dyDescent="0.3">
      <c r="A40" s="35" t="s">
        <v>1586</v>
      </c>
      <c r="B40" s="35" t="s">
        <v>14</v>
      </c>
      <c r="C40" s="35" t="s">
        <v>17</v>
      </c>
      <c r="D40" s="37">
        <v>256.5496</v>
      </c>
      <c r="E40" s="39" t="s">
        <v>1950</v>
      </c>
      <c r="F40" s="37">
        <v>243.08789999999999</v>
      </c>
      <c r="G40" s="35" t="s">
        <v>1950</v>
      </c>
      <c r="H40" s="37">
        <v>259.32676666666669</v>
      </c>
      <c r="I40" s="37" t="s">
        <v>1950</v>
      </c>
      <c r="J40" s="35">
        <v>2013</v>
      </c>
      <c r="K40" s="35" t="s">
        <v>19</v>
      </c>
      <c r="L40" s="35" t="s">
        <v>1601</v>
      </c>
      <c r="M40" s="36">
        <v>22500</v>
      </c>
      <c r="N40" s="52">
        <v>2800</v>
      </c>
      <c r="O40" s="38">
        <v>0.12444444444444444</v>
      </c>
      <c r="P40" s="35">
        <v>0</v>
      </c>
      <c r="Q40" s="35" t="s">
        <v>1821</v>
      </c>
      <c r="R40" s="53">
        <v>0</v>
      </c>
      <c r="S40" s="53">
        <v>0</v>
      </c>
    </row>
    <row r="41" spans="1:19" x14ac:dyDescent="0.3">
      <c r="A41" s="35" t="s">
        <v>1586</v>
      </c>
      <c r="B41" s="35" t="s">
        <v>14</v>
      </c>
      <c r="C41" s="35" t="s">
        <v>17</v>
      </c>
      <c r="D41" s="37">
        <v>241.77654793085387</v>
      </c>
      <c r="E41" s="35" t="s">
        <v>2654</v>
      </c>
      <c r="F41" s="37">
        <v>243.19198390399546</v>
      </c>
      <c r="G41" s="35" t="s">
        <v>2654</v>
      </c>
      <c r="H41" s="37">
        <v>247.63525405971714</v>
      </c>
      <c r="I41" s="37" t="s">
        <v>2654</v>
      </c>
      <c r="J41" s="35">
        <v>1970</v>
      </c>
      <c r="K41" s="35" t="s">
        <v>25</v>
      </c>
      <c r="L41" s="35" t="s">
        <v>1601</v>
      </c>
      <c r="M41" s="36">
        <v>20999</v>
      </c>
      <c r="N41" s="52">
        <v>18900</v>
      </c>
      <c r="O41" s="38">
        <v>0.90004285918377069</v>
      </c>
      <c r="P41" s="35">
        <v>0</v>
      </c>
      <c r="Q41" s="35" t="s">
        <v>1589</v>
      </c>
      <c r="R41" s="53">
        <v>13</v>
      </c>
      <c r="S41" s="53">
        <v>0.52600000000000002</v>
      </c>
    </row>
    <row r="42" spans="1:19" x14ac:dyDescent="0.3">
      <c r="A42" s="35" t="s">
        <v>1586</v>
      </c>
      <c r="B42" s="35" t="s">
        <v>14</v>
      </c>
      <c r="C42" s="35" t="s">
        <v>17</v>
      </c>
      <c r="D42" s="37">
        <v>225.98765495025282</v>
      </c>
      <c r="E42" s="35" t="s">
        <v>2654</v>
      </c>
      <c r="F42" s="37">
        <v>237.47619678682108</v>
      </c>
      <c r="G42" s="35" t="s">
        <v>2654</v>
      </c>
      <c r="H42" s="37">
        <v>240.23010112542815</v>
      </c>
      <c r="I42" s="37" t="s">
        <v>2654</v>
      </c>
      <c r="J42" s="35">
        <v>1993</v>
      </c>
      <c r="K42" s="35" t="s">
        <v>25</v>
      </c>
      <c r="L42" s="35" t="s">
        <v>1601</v>
      </c>
      <c r="M42" s="36">
        <v>49048</v>
      </c>
      <c r="N42" s="52">
        <v>26199</v>
      </c>
      <c r="O42" s="38">
        <v>0.5341502201924645</v>
      </c>
      <c r="P42" s="35">
        <v>0</v>
      </c>
      <c r="Q42" s="35" t="s">
        <v>1589</v>
      </c>
      <c r="R42" s="53">
        <v>12</v>
      </c>
      <c r="S42" s="53">
        <v>0.60099999999999998</v>
      </c>
    </row>
    <row r="43" spans="1:19" x14ac:dyDescent="0.3">
      <c r="A43" s="35" t="s">
        <v>1586</v>
      </c>
      <c r="B43" s="35" t="s">
        <v>14</v>
      </c>
      <c r="C43" s="35" t="s">
        <v>17</v>
      </c>
      <c r="D43" s="37">
        <v>326.89234232150841</v>
      </c>
      <c r="E43" s="35" t="s">
        <v>2654</v>
      </c>
      <c r="F43" s="37">
        <v>226.47304318332485</v>
      </c>
      <c r="G43" s="35" t="s">
        <v>2654</v>
      </c>
      <c r="H43" s="37">
        <v>234.80560566116276</v>
      </c>
      <c r="I43" s="37" t="s">
        <v>2654</v>
      </c>
      <c r="J43" s="35">
        <v>2016</v>
      </c>
      <c r="K43" s="35" t="s">
        <v>19</v>
      </c>
      <c r="L43" s="35" t="s">
        <v>1600</v>
      </c>
      <c r="M43" s="36">
        <v>129726</v>
      </c>
      <c r="N43" s="52">
        <v>115000</v>
      </c>
      <c r="O43" s="38">
        <v>0.88648381974315094</v>
      </c>
      <c r="P43" s="35">
        <v>223</v>
      </c>
      <c r="Q43" s="35" t="s">
        <v>1589</v>
      </c>
      <c r="R43" s="53">
        <v>5</v>
      </c>
      <c r="S43" s="53">
        <v>0.64500000000000002</v>
      </c>
    </row>
    <row r="44" spans="1:19" x14ac:dyDescent="0.3">
      <c r="A44" s="35" t="s">
        <v>1586</v>
      </c>
      <c r="B44" s="35" t="s">
        <v>14</v>
      </c>
      <c r="C44" s="35" t="s">
        <v>17</v>
      </c>
      <c r="D44" s="37">
        <v>239.85549276521968</v>
      </c>
      <c r="E44" s="35" t="s">
        <v>2654</v>
      </c>
      <c r="F44" s="37">
        <v>236.34577615523108</v>
      </c>
      <c r="G44" s="35" t="s">
        <v>2654</v>
      </c>
      <c r="H44" s="37">
        <v>229.43097152763886</v>
      </c>
      <c r="I44" s="37" t="s">
        <v>2654</v>
      </c>
      <c r="J44" s="35">
        <v>1990</v>
      </c>
      <c r="K44" s="35" t="s">
        <v>21</v>
      </c>
      <c r="L44" s="35" t="s">
        <v>1601</v>
      </c>
      <c r="M44" s="36">
        <v>15159</v>
      </c>
      <c r="N44" s="52">
        <v>14547</v>
      </c>
      <c r="O44" s="38">
        <v>0.95962794379576488</v>
      </c>
      <c r="P44" s="35">
        <v>0</v>
      </c>
      <c r="Q44" s="35" t="s">
        <v>1589</v>
      </c>
      <c r="R44" s="53">
        <v>9</v>
      </c>
      <c r="S44" s="53">
        <v>0.6</v>
      </c>
    </row>
    <row r="45" spans="1:19" x14ac:dyDescent="0.3">
      <c r="A45" s="35" t="s">
        <v>1586</v>
      </c>
      <c r="B45" s="35" t="s">
        <v>14</v>
      </c>
      <c r="C45" s="35" t="s">
        <v>17</v>
      </c>
      <c r="D45" s="37">
        <v>204.23494028230186</v>
      </c>
      <c r="E45" s="35" t="s">
        <v>2655</v>
      </c>
      <c r="F45" s="37">
        <v>211.80369163952227</v>
      </c>
      <c r="G45" s="35" t="s">
        <v>2654</v>
      </c>
      <c r="H45" s="37">
        <v>225.45038002171552</v>
      </c>
      <c r="I45" s="37" t="s">
        <v>2654</v>
      </c>
      <c r="J45" s="35">
        <v>1979</v>
      </c>
      <c r="K45" s="35" t="s">
        <v>19</v>
      </c>
      <c r="L45" s="35" t="s">
        <v>1818</v>
      </c>
      <c r="M45" s="36">
        <v>110520</v>
      </c>
      <c r="N45" s="52">
        <v>79182</v>
      </c>
      <c r="O45" s="38">
        <v>0.7164495114006515</v>
      </c>
      <c r="P45" s="35">
        <v>0</v>
      </c>
      <c r="Q45" s="35" t="s">
        <v>1589</v>
      </c>
      <c r="R45" s="53">
        <v>13</v>
      </c>
      <c r="S45" s="53">
        <v>0.64700000000000002</v>
      </c>
    </row>
    <row r="46" spans="1:19" x14ac:dyDescent="0.3">
      <c r="A46" s="35" t="s">
        <v>1586</v>
      </c>
      <c r="B46" s="35" t="s">
        <v>14</v>
      </c>
      <c r="C46" s="35" t="s">
        <v>17</v>
      </c>
      <c r="D46" s="37">
        <v>202.69234793715671</v>
      </c>
      <c r="E46" s="35" t="s">
        <v>2655</v>
      </c>
      <c r="F46" s="37">
        <v>200.19914803934088</v>
      </c>
      <c r="G46" s="35" t="s">
        <v>2655</v>
      </c>
      <c r="H46" s="37">
        <v>218.24720705070891</v>
      </c>
      <c r="I46" s="37" t="s">
        <v>2654</v>
      </c>
      <c r="J46" s="35">
        <v>2002</v>
      </c>
      <c r="K46" s="35" t="s">
        <v>1950</v>
      </c>
      <c r="L46" s="35" t="s">
        <v>1950</v>
      </c>
      <c r="M46" s="36">
        <v>39145</v>
      </c>
      <c r="N46" s="52">
        <v>34501</v>
      </c>
      <c r="O46" s="38">
        <v>0.88136415889641073</v>
      </c>
      <c r="P46" s="35">
        <v>0</v>
      </c>
      <c r="Q46" s="35" t="s">
        <v>1589</v>
      </c>
      <c r="R46" s="53">
        <v>21</v>
      </c>
      <c r="S46" s="53">
        <v>0</v>
      </c>
    </row>
    <row r="47" spans="1:19" x14ac:dyDescent="0.3">
      <c r="A47" s="35" t="s">
        <v>1586</v>
      </c>
      <c r="B47" s="35" t="s">
        <v>14</v>
      </c>
      <c r="C47" s="35" t="s">
        <v>17</v>
      </c>
      <c r="D47" s="37">
        <v>76.248609964360739</v>
      </c>
      <c r="E47" s="35" t="s">
        <v>2657</v>
      </c>
      <c r="F47" s="37">
        <v>210.09429454571517</v>
      </c>
      <c r="G47" s="35" t="s">
        <v>2654</v>
      </c>
      <c r="H47" s="37">
        <v>215.47779115722332</v>
      </c>
      <c r="I47" s="37" t="s">
        <v>2654</v>
      </c>
      <c r="J47" s="35">
        <v>2002</v>
      </c>
      <c r="K47" s="35" t="s">
        <v>1950</v>
      </c>
      <c r="L47" s="35" t="s">
        <v>1950</v>
      </c>
      <c r="M47" s="36">
        <v>53581.36</v>
      </c>
      <c r="N47" s="52">
        <v>42866</v>
      </c>
      <c r="O47" s="38">
        <v>0.80001702084456239</v>
      </c>
      <c r="P47" s="35">
        <v>0</v>
      </c>
      <c r="Q47" s="35" t="s">
        <v>1589</v>
      </c>
      <c r="R47" s="53">
        <v>0</v>
      </c>
      <c r="S47" s="53">
        <v>0</v>
      </c>
    </row>
    <row r="48" spans="1:19" x14ac:dyDescent="0.3">
      <c r="A48" s="35" t="s">
        <v>1586</v>
      </c>
      <c r="B48" s="35" t="s">
        <v>14</v>
      </c>
      <c r="C48" s="35" t="s">
        <v>17</v>
      </c>
      <c r="D48" s="37">
        <v>95.731367581515372</v>
      </c>
      <c r="E48" s="35" t="s">
        <v>2657</v>
      </c>
      <c r="F48" s="37">
        <v>203.51817968566738</v>
      </c>
      <c r="G48" s="35" t="s">
        <v>2654</v>
      </c>
      <c r="H48" s="37">
        <v>214.31550551254983</v>
      </c>
      <c r="I48" s="37" t="s">
        <v>2654</v>
      </c>
      <c r="J48" s="35">
        <v>2019</v>
      </c>
      <c r="K48" s="35" t="s">
        <v>1950</v>
      </c>
      <c r="L48" s="35" t="s">
        <v>1950</v>
      </c>
      <c r="M48" s="36">
        <v>42630</v>
      </c>
      <c r="N48" s="52">
        <v>36510</v>
      </c>
      <c r="O48" s="38">
        <v>0.85643912737508798</v>
      </c>
      <c r="P48" s="35">
        <v>0</v>
      </c>
      <c r="Q48" s="35" t="s">
        <v>1590</v>
      </c>
      <c r="R48" s="53">
        <v>0</v>
      </c>
      <c r="S48" s="53">
        <v>0.57299999999999995</v>
      </c>
    </row>
    <row r="49" spans="1:19" x14ac:dyDescent="0.3">
      <c r="A49" s="35" t="s">
        <v>1586</v>
      </c>
      <c r="B49" s="35" t="s">
        <v>14</v>
      </c>
      <c r="C49" s="35" t="s">
        <v>17</v>
      </c>
      <c r="D49" s="37">
        <v>213.31976800154024</v>
      </c>
      <c r="E49" s="35" t="s">
        <v>2654</v>
      </c>
      <c r="F49" s="37">
        <v>218.06505102040816</v>
      </c>
      <c r="G49" s="35" t="s">
        <v>2654</v>
      </c>
      <c r="H49" s="37">
        <v>211.94657296881016</v>
      </c>
      <c r="I49" s="37" t="s">
        <v>2654</v>
      </c>
      <c r="J49" s="35">
        <v>2014</v>
      </c>
      <c r="K49" s="35" t="s">
        <v>21</v>
      </c>
      <c r="L49" s="35" t="s">
        <v>1600</v>
      </c>
      <c r="M49" s="36">
        <v>62328</v>
      </c>
      <c r="N49" s="52">
        <v>57395</v>
      </c>
      <c r="O49" s="38">
        <v>0.92085419073289698</v>
      </c>
      <c r="P49" s="35">
        <v>0</v>
      </c>
      <c r="Q49" s="35" t="s">
        <v>1589</v>
      </c>
      <c r="R49" s="53">
        <v>8</v>
      </c>
      <c r="S49" s="53">
        <v>0</v>
      </c>
    </row>
    <row r="50" spans="1:19" x14ac:dyDescent="0.3">
      <c r="A50" s="35" t="s">
        <v>1586</v>
      </c>
      <c r="B50" s="35" t="s">
        <v>14</v>
      </c>
      <c r="C50" s="35" t="s">
        <v>17</v>
      </c>
      <c r="D50" s="37">
        <v>212.22555970149253</v>
      </c>
      <c r="E50" s="35" t="s">
        <v>2654</v>
      </c>
      <c r="F50" s="37">
        <v>209.77163631144973</v>
      </c>
      <c r="G50" s="35" t="s">
        <v>2654</v>
      </c>
      <c r="H50" s="37">
        <v>211.75532747103642</v>
      </c>
      <c r="I50" s="37" t="s">
        <v>2654</v>
      </c>
      <c r="J50" s="35">
        <v>1999</v>
      </c>
      <c r="K50" s="35" t="s">
        <v>19</v>
      </c>
      <c r="L50" s="35" t="s">
        <v>1601</v>
      </c>
      <c r="M50" s="36">
        <v>38324</v>
      </c>
      <c r="N50" s="52">
        <v>30249</v>
      </c>
      <c r="O50" s="38">
        <v>0.78929652437115128</v>
      </c>
      <c r="P50" s="35">
        <v>0</v>
      </c>
      <c r="Q50" s="35" t="s">
        <v>1589</v>
      </c>
      <c r="R50" s="53">
        <v>7</v>
      </c>
      <c r="S50" s="53">
        <v>0.6</v>
      </c>
    </row>
    <row r="51" spans="1:19" x14ac:dyDescent="0.3">
      <c r="A51" s="35" t="s">
        <v>1586</v>
      </c>
      <c r="B51" s="35" t="s">
        <v>14</v>
      </c>
      <c r="C51" s="35" t="s">
        <v>17</v>
      </c>
      <c r="D51" s="37">
        <v>215.47421988743469</v>
      </c>
      <c r="E51" s="35" t="s">
        <v>2654</v>
      </c>
      <c r="F51" s="37">
        <v>207.86453825168644</v>
      </c>
      <c r="G51" s="35" t="s">
        <v>2654</v>
      </c>
      <c r="H51" s="37">
        <v>211.75307160098413</v>
      </c>
      <c r="I51" s="37" t="s">
        <v>2654</v>
      </c>
      <c r="J51" s="35">
        <v>2016</v>
      </c>
      <c r="K51" s="35" t="s">
        <v>19</v>
      </c>
      <c r="L51" s="35" t="s">
        <v>1598</v>
      </c>
      <c r="M51" s="36">
        <v>120267.9</v>
      </c>
      <c r="N51" s="52">
        <v>42473</v>
      </c>
      <c r="O51" s="38">
        <v>0.35315325203150633</v>
      </c>
      <c r="P51" s="35">
        <v>0</v>
      </c>
      <c r="Q51" s="35" t="s">
        <v>1589</v>
      </c>
      <c r="R51" s="53">
        <v>7</v>
      </c>
      <c r="S51" s="53">
        <v>0</v>
      </c>
    </row>
    <row r="52" spans="1:19" x14ac:dyDescent="0.3">
      <c r="A52" s="35" t="s">
        <v>1586</v>
      </c>
      <c r="B52" s="35" t="s">
        <v>14</v>
      </c>
      <c r="C52" s="35" t="s">
        <v>17</v>
      </c>
      <c r="D52" s="37">
        <v>207.08830237862495</v>
      </c>
      <c r="E52" s="35" t="s">
        <v>2655</v>
      </c>
      <c r="F52" s="37">
        <v>211.63554903877485</v>
      </c>
      <c r="G52" s="35" t="s">
        <v>2654</v>
      </c>
      <c r="H52" s="37">
        <v>210.81759530791788</v>
      </c>
      <c r="I52" s="37" t="s">
        <v>2654</v>
      </c>
      <c r="J52" s="35">
        <v>2002</v>
      </c>
      <c r="K52" s="35" t="s">
        <v>1950</v>
      </c>
      <c r="L52" s="35" t="s">
        <v>1950</v>
      </c>
      <c r="M52" s="36">
        <v>15345</v>
      </c>
      <c r="N52" s="52">
        <v>13475</v>
      </c>
      <c r="O52" s="38">
        <v>0.87813620071684584</v>
      </c>
      <c r="P52" s="35">
        <v>0</v>
      </c>
      <c r="Q52" s="35" t="s">
        <v>28</v>
      </c>
      <c r="R52" s="53">
        <v>0</v>
      </c>
      <c r="S52" s="53">
        <v>0</v>
      </c>
    </row>
    <row r="53" spans="1:19" x14ac:dyDescent="0.3">
      <c r="A53" s="35" t="s">
        <v>1586</v>
      </c>
      <c r="B53" s="35" t="s">
        <v>14</v>
      </c>
      <c r="C53" s="35" t="s">
        <v>17</v>
      </c>
      <c r="D53" s="37">
        <v>199.60130973221811</v>
      </c>
      <c r="E53" s="35" t="s">
        <v>2655</v>
      </c>
      <c r="F53" s="37">
        <v>208.23964209297802</v>
      </c>
      <c r="G53" s="35" t="s">
        <v>2654</v>
      </c>
      <c r="H53" s="37">
        <v>210.04399273811839</v>
      </c>
      <c r="I53" s="37" t="s">
        <v>2654</v>
      </c>
      <c r="J53" s="35">
        <v>2001</v>
      </c>
      <c r="K53" s="35" t="s">
        <v>1950</v>
      </c>
      <c r="L53" s="35" t="s">
        <v>1950</v>
      </c>
      <c r="M53" s="36">
        <v>15423</v>
      </c>
      <c r="N53" s="52">
        <v>8863</v>
      </c>
      <c r="O53" s="38">
        <v>0.57466122025546262</v>
      </c>
      <c r="P53" s="35">
        <v>0</v>
      </c>
      <c r="Q53" s="35" t="s">
        <v>1589</v>
      </c>
      <c r="R53" s="53">
        <v>22</v>
      </c>
      <c r="S53" s="53">
        <v>0</v>
      </c>
    </row>
    <row r="54" spans="1:19" x14ac:dyDescent="0.3">
      <c r="A54" s="35" t="s">
        <v>1586</v>
      </c>
      <c r="B54" s="35" t="s">
        <v>14</v>
      </c>
      <c r="C54" s="35" t="s">
        <v>17</v>
      </c>
      <c r="D54" s="37">
        <v>197.49235911749074</v>
      </c>
      <c r="E54" s="39" t="s">
        <v>1950</v>
      </c>
      <c r="F54" s="37">
        <v>204.45041616826157</v>
      </c>
      <c r="G54" s="35" t="s">
        <v>1950</v>
      </c>
      <c r="H54" s="37">
        <v>209.95402395667202</v>
      </c>
      <c r="I54" s="37" t="s">
        <v>1950</v>
      </c>
      <c r="J54" s="35">
        <v>2008</v>
      </c>
      <c r="K54" s="35" t="s">
        <v>1950</v>
      </c>
      <c r="L54" s="35" t="s">
        <v>1950</v>
      </c>
      <c r="M54" s="36">
        <v>120383</v>
      </c>
      <c r="N54" s="52">
        <v>86950</v>
      </c>
      <c r="O54" s="38">
        <v>0.72227806251713278</v>
      </c>
      <c r="P54" s="35">
        <v>0</v>
      </c>
      <c r="Q54" s="35" t="s">
        <v>1821</v>
      </c>
      <c r="R54" s="53">
        <v>0</v>
      </c>
      <c r="S54" s="53">
        <v>0</v>
      </c>
    </row>
    <row r="55" spans="1:19" x14ac:dyDescent="0.3">
      <c r="A55" s="35" t="s">
        <v>1586</v>
      </c>
      <c r="B55" s="35" t="s">
        <v>14</v>
      </c>
      <c r="C55" s="35" t="s">
        <v>17</v>
      </c>
      <c r="D55" s="37">
        <v>266.97900587835409</v>
      </c>
      <c r="E55" s="35" t="s">
        <v>2654</v>
      </c>
      <c r="F55" s="37">
        <v>236.22181789099054</v>
      </c>
      <c r="G55" s="35" t="s">
        <v>2654</v>
      </c>
      <c r="H55" s="37">
        <v>209.74075258927499</v>
      </c>
      <c r="I55" s="37" t="s">
        <v>2654</v>
      </c>
      <c r="J55" s="35">
        <v>2000</v>
      </c>
      <c r="K55" s="35" t="s">
        <v>19</v>
      </c>
      <c r="L55" s="35" t="s">
        <v>1601</v>
      </c>
      <c r="M55" s="36">
        <v>75021</v>
      </c>
      <c r="N55" s="52">
        <v>69037</v>
      </c>
      <c r="O55" s="38">
        <v>0.92023566734647633</v>
      </c>
      <c r="P55" s="35">
        <v>0</v>
      </c>
      <c r="Q55" s="35" t="s">
        <v>1589</v>
      </c>
      <c r="R55" s="53">
        <v>23</v>
      </c>
      <c r="S55" s="53">
        <v>3.617</v>
      </c>
    </row>
    <row r="56" spans="1:19" x14ac:dyDescent="0.3">
      <c r="A56" s="35" t="s">
        <v>1586</v>
      </c>
      <c r="B56" s="35" t="s">
        <v>14</v>
      </c>
      <c r="C56" s="35" t="s">
        <v>17</v>
      </c>
      <c r="D56" s="37">
        <v>217.2691570631722</v>
      </c>
      <c r="E56" s="35" t="s">
        <v>2654</v>
      </c>
      <c r="F56" s="37">
        <v>205.15591934665991</v>
      </c>
      <c r="G56" s="35" t="s">
        <v>2654</v>
      </c>
      <c r="H56" s="37">
        <v>209.33697184339056</v>
      </c>
      <c r="I56" s="37" t="s">
        <v>2654</v>
      </c>
      <c r="J56" s="35">
        <v>2000</v>
      </c>
      <c r="K56" s="35" t="s">
        <v>19</v>
      </c>
      <c r="L56" s="35" t="s">
        <v>1601</v>
      </c>
      <c r="M56" s="36">
        <v>187345</v>
      </c>
      <c r="N56" s="52">
        <v>122472</v>
      </c>
      <c r="O56" s="38">
        <v>0.65372441218073607</v>
      </c>
      <c r="P56" s="35">
        <v>0</v>
      </c>
      <c r="Q56" s="35" t="s">
        <v>1589</v>
      </c>
      <c r="R56" s="53">
        <v>10</v>
      </c>
      <c r="S56" s="53">
        <v>0.65</v>
      </c>
    </row>
    <row r="57" spans="1:19" x14ac:dyDescent="0.3">
      <c r="A57" s="35" t="s">
        <v>1586</v>
      </c>
      <c r="B57" s="35" t="s">
        <v>14</v>
      </c>
      <c r="C57" s="35" t="s">
        <v>17</v>
      </c>
      <c r="D57" s="37">
        <v>210.76085158883004</v>
      </c>
      <c r="E57" s="35" t="s">
        <v>2655</v>
      </c>
      <c r="F57" s="37">
        <v>220.23695414058739</v>
      </c>
      <c r="G57" s="35" t="s">
        <v>2654</v>
      </c>
      <c r="H57" s="37">
        <v>208.60228574867597</v>
      </c>
      <c r="I57" s="37" t="s">
        <v>2654</v>
      </c>
      <c r="J57" s="35">
        <v>2005</v>
      </c>
      <c r="K57" s="35" t="s">
        <v>1950</v>
      </c>
      <c r="L57" s="35" t="s">
        <v>1950</v>
      </c>
      <c r="M57" s="36">
        <v>16616</v>
      </c>
      <c r="N57" s="52">
        <v>9195</v>
      </c>
      <c r="O57" s="38">
        <v>0.55338228213769858</v>
      </c>
      <c r="P57" s="35">
        <v>0</v>
      </c>
      <c r="Q57" s="35" t="s">
        <v>1590</v>
      </c>
      <c r="R57" s="53">
        <v>0</v>
      </c>
      <c r="S57" s="53">
        <v>1.41</v>
      </c>
    </row>
    <row r="58" spans="1:19" x14ac:dyDescent="0.3">
      <c r="A58" s="35" t="s">
        <v>1586</v>
      </c>
      <c r="B58" s="35" t="s">
        <v>14</v>
      </c>
      <c r="C58" s="35" t="s">
        <v>17</v>
      </c>
      <c r="D58" s="37">
        <v>224.30858965228322</v>
      </c>
      <c r="E58" s="35" t="s">
        <v>2654</v>
      </c>
      <c r="F58" s="37">
        <v>212.58265354000841</v>
      </c>
      <c r="G58" s="35" t="s">
        <v>2654</v>
      </c>
      <c r="H58" s="37">
        <v>208.4438680351906</v>
      </c>
      <c r="I58" s="37" t="s">
        <v>2654</v>
      </c>
      <c r="J58" s="35">
        <v>1980</v>
      </c>
      <c r="K58" s="35" t="s">
        <v>19</v>
      </c>
      <c r="L58" s="35" t="s">
        <v>1599</v>
      </c>
      <c r="M58" s="36">
        <v>47740</v>
      </c>
      <c r="N58" s="52">
        <v>44136</v>
      </c>
      <c r="O58" s="38">
        <v>0.92450775031420196</v>
      </c>
      <c r="P58" s="35">
        <v>0</v>
      </c>
      <c r="Q58" s="35" t="s">
        <v>1589</v>
      </c>
      <c r="R58" s="53">
        <v>13</v>
      </c>
      <c r="S58" s="53">
        <v>0</v>
      </c>
    </row>
    <row r="59" spans="1:19" x14ac:dyDescent="0.3">
      <c r="A59" s="35" t="s">
        <v>1586</v>
      </c>
      <c r="B59" s="35" t="s">
        <v>14</v>
      </c>
      <c r="C59" s="35" t="s">
        <v>17</v>
      </c>
      <c r="D59" s="37">
        <v>222.24270833333333</v>
      </c>
      <c r="E59" s="35" t="s">
        <v>2654</v>
      </c>
      <c r="F59" s="37">
        <v>215.66996527777778</v>
      </c>
      <c r="G59" s="35" t="s">
        <v>2654</v>
      </c>
      <c r="H59" s="37">
        <v>206.42528935185186</v>
      </c>
      <c r="I59" s="37" t="s">
        <v>2654</v>
      </c>
      <c r="J59" s="35">
        <v>1989</v>
      </c>
      <c r="K59" s="35" t="s">
        <v>1950</v>
      </c>
      <c r="L59" s="35" t="s">
        <v>1950</v>
      </c>
      <c r="M59" s="36">
        <v>34560</v>
      </c>
      <c r="N59" s="52">
        <v>18000</v>
      </c>
      <c r="O59" s="38">
        <v>0.52083333333333337</v>
      </c>
      <c r="P59" s="35">
        <v>0</v>
      </c>
      <c r="Q59" s="35" t="s">
        <v>1589</v>
      </c>
      <c r="R59" s="53">
        <v>3</v>
      </c>
      <c r="S59" s="53">
        <v>0</v>
      </c>
    </row>
    <row r="60" spans="1:19" x14ac:dyDescent="0.3">
      <c r="A60" s="35" t="s">
        <v>1586</v>
      </c>
      <c r="B60" s="35" t="s">
        <v>14</v>
      </c>
      <c r="C60" s="35" t="s">
        <v>17</v>
      </c>
      <c r="D60" s="37">
        <v>188.46804007961487</v>
      </c>
      <c r="E60" s="35" t="s">
        <v>2655</v>
      </c>
      <c r="F60" s="37">
        <v>201.28971981695386</v>
      </c>
      <c r="G60" s="35" t="s">
        <v>2654</v>
      </c>
      <c r="H60" s="37">
        <v>204.13669258118841</v>
      </c>
      <c r="I60" s="37" t="s">
        <v>2655</v>
      </c>
      <c r="J60" s="35">
        <v>2005</v>
      </c>
      <c r="K60" s="35" t="s">
        <v>19</v>
      </c>
      <c r="L60" s="35" t="s">
        <v>1597</v>
      </c>
      <c r="M60" s="36">
        <v>58783</v>
      </c>
      <c r="N60" s="52">
        <v>58783</v>
      </c>
      <c r="O60" s="38">
        <v>1</v>
      </c>
      <c r="P60" s="35">
        <v>0</v>
      </c>
      <c r="Q60" s="35" t="s">
        <v>1589</v>
      </c>
      <c r="R60" s="53">
        <v>18</v>
      </c>
      <c r="S60" s="53">
        <v>0.81</v>
      </c>
    </row>
    <row r="61" spans="1:19" x14ac:dyDescent="0.3">
      <c r="A61" s="35" t="s">
        <v>1586</v>
      </c>
      <c r="B61" s="35" t="s">
        <v>14</v>
      </c>
      <c r="C61" s="35" t="s">
        <v>17</v>
      </c>
      <c r="D61" s="37">
        <v>216.86317455263921</v>
      </c>
      <c r="E61" s="35" t="s">
        <v>2654</v>
      </c>
      <c r="F61" s="37">
        <v>214.4199385727529</v>
      </c>
      <c r="G61" s="35" t="s">
        <v>2654</v>
      </c>
      <c r="H61" s="37">
        <v>203.0746022679389</v>
      </c>
      <c r="I61" s="37" t="s">
        <v>2655</v>
      </c>
      <c r="J61" s="35">
        <v>2001</v>
      </c>
      <c r="K61" s="35" t="s">
        <v>19</v>
      </c>
      <c r="L61" s="35" t="s">
        <v>1601</v>
      </c>
      <c r="M61" s="36">
        <v>106793</v>
      </c>
      <c r="N61" s="52">
        <v>27600</v>
      </c>
      <c r="O61" s="38">
        <v>0.25844390549942414</v>
      </c>
      <c r="P61" s="35">
        <v>0</v>
      </c>
      <c r="Q61" s="35" t="s">
        <v>1589</v>
      </c>
      <c r="R61" s="53">
        <v>3</v>
      </c>
      <c r="S61" s="53">
        <v>0.52</v>
      </c>
    </row>
    <row r="62" spans="1:19" x14ac:dyDescent="0.3">
      <c r="A62" s="35" t="s">
        <v>1586</v>
      </c>
      <c r="B62" s="35" t="s">
        <v>14</v>
      </c>
      <c r="C62" s="35" t="s">
        <v>17</v>
      </c>
      <c r="D62" s="37">
        <v>198.66567269303201</v>
      </c>
      <c r="E62" s="35" t="s">
        <v>2655</v>
      </c>
      <c r="F62" s="37">
        <v>192.30346327683617</v>
      </c>
      <c r="G62" s="35" t="s">
        <v>2655</v>
      </c>
      <c r="H62" s="37">
        <v>202.59139962335217</v>
      </c>
      <c r="I62" s="37" t="s">
        <v>2655</v>
      </c>
      <c r="J62" s="35">
        <v>1986</v>
      </c>
      <c r="K62" s="35" t="s">
        <v>21</v>
      </c>
      <c r="L62" s="35" t="s">
        <v>1597</v>
      </c>
      <c r="M62" s="36">
        <v>79650</v>
      </c>
      <c r="N62" s="52">
        <v>74816</v>
      </c>
      <c r="O62" s="38">
        <v>0.93930947897049588</v>
      </c>
      <c r="P62" s="35">
        <v>0</v>
      </c>
      <c r="Q62" s="35" t="s">
        <v>1589</v>
      </c>
      <c r="R62" s="53">
        <v>11</v>
      </c>
      <c r="S62" s="53">
        <v>0.69</v>
      </c>
    </row>
    <row r="63" spans="1:19" x14ac:dyDescent="0.3">
      <c r="A63" s="35" t="s">
        <v>1586</v>
      </c>
      <c r="B63" s="35" t="s">
        <v>14</v>
      </c>
      <c r="C63" s="35" t="s">
        <v>17</v>
      </c>
      <c r="D63" s="37">
        <v>204.28530098781414</v>
      </c>
      <c r="E63" s="35" t="s">
        <v>2655</v>
      </c>
      <c r="F63" s="37">
        <v>212.43659696620043</v>
      </c>
      <c r="G63" s="35" t="s">
        <v>2654</v>
      </c>
      <c r="H63" s="37">
        <v>198.55955872006302</v>
      </c>
      <c r="I63" s="37" t="s">
        <v>2655</v>
      </c>
      <c r="J63" s="35">
        <v>2003</v>
      </c>
      <c r="K63" s="35" t="s">
        <v>25</v>
      </c>
      <c r="L63" s="35" t="s">
        <v>1599</v>
      </c>
      <c r="M63" s="36">
        <v>35533</v>
      </c>
      <c r="N63" s="52">
        <v>26752</v>
      </c>
      <c r="O63" s="38">
        <v>0.75287760673177051</v>
      </c>
      <c r="P63" s="35">
        <v>0</v>
      </c>
      <c r="Q63" s="35" t="s">
        <v>1589</v>
      </c>
      <c r="R63" s="53">
        <v>2</v>
      </c>
      <c r="S63" s="53">
        <v>0.59</v>
      </c>
    </row>
    <row r="64" spans="1:19" x14ac:dyDescent="0.3">
      <c r="A64" s="35" t="s">
        <v>1586</v>
      </c>
      <c r="B64" s="35" t="s">
        <v>14</v>
      </c>
      <c r="C64" s="35" t="s">
        <v>17</v>
      </c>
      <c r="D64" s="37">
        <v>0</v>
      </c>
      <c r="E64" s="39" t="s">
        <v>1950</v>
      </c>
      <c r="F64" s="37">
        <v>67.07278220269157</v>
      </c>
      <c r="G64" s="35" t="s">
        <v>2657</v>
      </c>
      <c r="H64" s="37">
        <v>198.34778157848743</v>
      </c>
      <c r="I64" s="37" t="s">
        <v>2655</v>
      </c>
      <c r="J64" s="35">
        <v>2021</v>
      </c>
      <c r="K64" s="35" t="s">
        <v>1950</v>
      </c>
      <c r="L64" s="35" t="s">
        <v>1950</v>
      </c>
      <c r="M64" s="36">
        <v>80102</v>
      </c>
      <c r="N64" s="52">
        <v>67798</v>
      </c>
      <c r="O64" s="38">
        <v>0.84639584529724599</v>
      </c>
      <c r="P64" s="35">
        <v>0</v>
      </c>
      <c r="Q64" s="35" t="s">
        <v>1589</v>
      </c>
      <c r="R64" s="53">
        <v>2</v>
      </c>
      <c r="S64" s="53">
        <v>0.752</v>
      </c>
    </row>
    <row r="65" spans="1:19" x14ac:dyDescent="0.3">
      <c r="A65" s="35" t="s">
        <v>1586</v>
      </c>
      <c r="B65" s="35" t="s">
        <v>14</v>
      </c>
      <c r="C65" s="35" t="s">
        <v>17</v>
      </c>
      <c r="D65" s="37">
        <v>210.40291649939783</v>
      </c>
      <c r="E65" s="35" t="s">
        <v>2655</v>
      </c>
      <c r="F65" s="37">
        <v>197.75843235648338</v>
      </c>
      <c r="G65" s="35" t="s">
        <v>2655</v>
      </c>
      <c r="H65" s="37">
        <v>198.21868576876759</v>
      </c>
      <c r="I65" s="37" t="s">
        <v>2655</v>
      </c>
      <c r="J65" s="35">
        <v>1983</v>
      </c>
      <c r="K65" s="35" t="s">
        <v>1950</v>
      </c>
      <c r="L65" s="35" t="s">
        <v>1950</v>
      </c>
      <c r="M65" s="36">
        <v>19928</v>
      </c>
      <c r="N65" s="52">
        <v>14629</v>
      </c>
      <c r="O65" s="38">
        <v>0.7340927338418306</v>
      </c>
      <c r="P65" s="35">
        <v>3</v>
      </c>
      <c r="Q65" s="35" t="s">
        <v>1787</v>
      </c>
      <c r="R65" s="53">
        <v>0</v>
      </c>
      <c r="S65" s="53">
        <v>0.83</v>
      </c>
    </row>
    <row r="66" spans="1:19" x14ac:dyDescent="0.3">
      <c r="A66" s="35" t="s">
        <v>1586</v>
      </c>
      <c r="B66" s="35" t="s">
        <v>14</v>
      </c>
      <c r="C66" s="35" t="s">
        <v>17</v>
      </c>
      <c r="D66" s="37">
        <v>199.87414275274742</v>
      </c>
      <c r="E66" s="35" t="s">
        <v>2655</v>
      </c>
      <c r="F66" s="37">
        <v>192.81696365833778</v>
      </c>
      <c r="G66" s="35" t="s">
        <v>2655</v>
      </c>
      <c r="H66" s="37">
        <v>196.11769934511932</v>
      </c>
      <c r="I66" s="37" t="s">
        <v>2655</v>
      </c>
      <c r="J66" s="35">
        <v>2012</v>
      </c>
      <c r="K66" s="35" t="s">
        <v>21</v>
      </c>
      <c r="L66" s="35" t="s">
        <v>1818</v>
      </c>
      <c r="M66" s="36">
        <v>71158</v>
      </c>
      <c r="N66" s="52">
        <v>53000</v>
      </c>
      <c r="O66" s="38">
        <v>0.74482138340032045</v>
      </c>
      <c r="P66" s="35">
        <v>0</v>
      </c>
      <c r="Q66" s="35" t="s">
        <v>1589</v>
      </c>
      <c r="R66" s="53">
        <v>10</v>
      </c>
      <c r="S66" s="53">
        <v>0.63200000000000001</v>
      </c>
    </row>
    <row r="67" spans="1:19" x14ac:dyDescent="0.3">
      <c r="A67" s="35" t="s">
        <v>1586</v>
      </c>
      <c r="B67" s="35" t="s">
        <v>14</v>
      </c>
      <c r="C67" s="35" t="s">
        <v>17</v>
      </c>
      <c r="D67" s="37">
        <v>184.0236057426836</v>
      </c>
      <c r="E67" s="35" t="s">
        <v>2655</v>
      </c>
      <c r="F67" s="37">
        <v>186.81165102153506</v>
      </c>
      <c r="G67" s="35" t="s">
        <v>2655</v>
      </c>
      <c r="H67" s="37">
        <v>194.48520154610713</v>
      </c>
      <c r="I67" s="37" t="s">
        <v>2655</v>
      </c>
      <c r="J67" s="35">
        <v>1997</v>
      </c>
      <c r="K67" s="35" t="s">
        <v>21</v>
      </c>
      <c r="L67" s="35" t="s">
        <v>1601</v>
      </c>
      <c r="M67" s="36">
        <v>18110</v>
      </c>
      <c r="N67" s="52">
        <v>14803</v>
      </c>
      <c r="O67" s="38">
        <v>0.81739370513528442</v>
      </c>
      <c r="P67" s="35">
        <v>0</v>
      </c>
      <c r="Q67" s="35" t="s">
        <v>1589</v>
      </c>
      <c r="R67" s="53">
        <v>6</v>
      </c>
      <c r="S67" s="53">
        <v>0</v>
      </c>
    </row>
    <row r="68" spans="1:19" x14ac:dyDescent="0.3">
      <c r="A68" s="35" t="s">
        <v>1586</v>
      </c>
      <c r="B68" s="35" t="s">
        <v>14</v>
      </c>
      <c r="C68" s="35" t="s">
        <v>17</v>
      </c>
      <c r="D68" s="37">
        <v>210.41181310152126</v>
      </c>
      <c r="E68" s="35" t="s">
        <v>2655</v>
      </c>
      <c r="F68" s="37">
        <v>196.3417342440236</v>
      </c>
      <c r="G68" s="35" t="s">
        <v>2655</v>
      </c>
      <c r="H68" s="37">
        <v>194.20538652592361</v>
      </c>
      <c r="I68" s="37" t="s">
        <v>2655</v>
      </c>
      <c r="J68" s="35">
        <v>1992</v>
      </c>
      <c r="K68" s="35" t="s">
        <v>1950</v>
      </c>
      <c r="L68" s="35" t="s">
        <v>1950</v>
      </c>
      <c r="M68" s="36">
        <v>16105</v>
      </c>
      <c r="N68" s="52">
        <v>16000</v>
      </c>
      <c r="O68" s="38">
        <v>0.9934802856255821</v>
      </c>
      <c r="P68" s="35">
        <v>0</v>
      </c>
      <c r="Q68" s="35" t="s">
        <v>28</v>
      </c>
      <c r="R68" s="53">
        <v>0</v>
      </c>
      <c r="S68" s="53">
        <v>0</v>
      </c>
    </row>
    <row r="69" spans="1:19" x14ac:dyDescent="0.3">
      <c r="A69" s="35" t="s">
        <v>1586</v>
      </c>
      <c r="B69" s="35" t="s">
        <v>14</v>
      </c>
      <c r="C69" s="35" t="s">
        <v>17</v>
      </c>
      <c r="D69" s="37">
        <v>190.22730235286451</v>
      </c>
      <c r="E69" s="35" t="s">
        <v>2655</v>
      </c>
      <c r="F69" s="37">
        <v>198.37020139477286</v>
      </c>
      <c r="G69" s="35" t="s">
        <v>2655</v>
      </c>
      <c r="H69" s="37">
        <v>192.40070390406049</v>
      </c>
      <c r="I69" s="37" t="s">
        <v>2655</v>
      </c>
      <c r="J69" s="35">
        <v>2002</v>
      </c>
      <c r="K69" s="35" t="s">
        <v>47</v>
      </c>
      <c r="L69" s="35" t="s">
        <v>1601</v>
      </c>
      <c r="M69" s="36">
        <v>15343</v>
      </c>
      <c r="N69" s="52">
        <v>13475</v>
      </c>
      <c r="O69" s="38">
        <v>0.8782506680570944</v>
      </c>
      <c r="P69" s="35">
        <v>0</v>
      </c>
      <c r="Q69" s="35" t="s">
        <v>28</v>
      </c>
      <c r="R69" s="53">
        <v>0</v>
      </c>
      <c r="S69" s="53">
        <v>0.87</v>
      </c>
    </row>
    <row r="70" spans="1:19" x14ac:dyDescent="0.3">
      <c r="A70" s="35" t="s">
        <v>1586</v>
      </c>
      <c r="B70" s="35" t="s">
        <v>14</v>
      </c>
      <c r="C70" s="35" t="s">
        <v>17</v>
      </c>
      <c r="D70" s="37">
        <v>193.63430232558139</v>
      </c>
      <c r="E70" s="35" t="s">
        <v>2655</v>
      </c>
      <c r="F70" s="37">
        <v>186.21499701848538</v>
      </c>
      <c r="G70" s="35" t="s">
        <v>2655</v>
      </c>
      <c r="H70" s="37">
        <v>191.73297555158021</v>
      </c>
      <c r="I70" s="37" t="s">
        <v>2655</v>
      </c>
      <c r="J70" s="35">
        <v>2006</v>
      </c>
      <c r="K70" s="35" t="s">
        <v>21</v>
      </c>
      <c r="L70" s="35" t="s">
        <v>1597</v>
      </c>
      <c r="M70" s="36">
        <v>50310</v>
      </c>
      <c r="N70" s="52">
        <v>41621</v>
      </c>
      <c r="O70" s="38">
        <v>0.82729079705823894</v>
      </c>
      <c r="P70" s="35">
        <v>0</v>
      </c>
      <c r="Q70" s="35" t="s">
        <v>1589</v>
      </c>
      <c r="R70" s="53">
        <v>18.5</v>
      </c>
      <c r="S70" s="53">
        <v>0.9</v>
      </c>
    </row>
    <row r="71" spans="1:19" x14ac:dyDescent="0.3">
      <c r="A71" s="35" t="s">
        <v>1586</v>
      </c>
      <c r="B71" s="35" t="s">
        <v>14</v>
      </c>
      <c r="C71" s="35" t="s">
        <v>17</v>
      </c>
      <c r="D71" s="37">
        <v>164.06634511270795</v>
      </c>
      <c r="E71" s="35" t="s">
        <v>2655</v>
      </c>
      <c r="F71" s="37">
        <v>178.79579683039668</v>
      </c>
      <c r="G71" s="35" t="s">
        <v>2655</v>
      </c>
      <c r="H71" s="37">
        <v>190.57371132329297</v>
      </c>
      <c r="I71" s="37" t="s">
        <v>2655</v>
      </c>
      <c r="J71" s="35">
        <v>1975</v>
      </c>
      <c r="K71" s="35" t="s">
        <v>21</v>
      </c>
      <c r="L71" s="35" t="s">
        <v>1783</v>
      </c>
      <c r="M71" s="36">
        <v>30477</v>
      </c>
      <c r="N71" s="52">
        <v>27429</v>
      </c>
      <c r="O71" s="38">
        <v>0.89999015651146763</v>
      </c>
      <c r="P71" s="35">
        <v>0</v>
      </c>
      <c r="Q71" s="35" t="s">
        <v>1589</v>
      </c>
      <c r="R71" s="53">
        <v>0</v>
      </c>
      <c r="S71" s="53">
        <v>0.629</v>
      </c>
    </row>
    <row r="72" spans="1:19" x14ac:dyDescent="0.3">
      <c r="A72" s="35" t="s">
        <v>1586</v>
      </c>
      <c r="B72" s="35" t="s">
        <v>14</v>
      </c>
      <c r="C72" s="35" t="s">
        <v>17</v>
      </c>
      <c r="D72" s="37">
        <v>210.76349987112295</v>
      </c>
      <c r="E72" s="35" t="s">
        <v>2655</v>
      </c>
      <c r="F72" s="37">
        <v>209.38686742847324</v>
      </c>
      <c r="G72" s="35" t="s">
        <v>2654</v>
      </c>
      <c r="H72" s="37">
        <v>188.6774851791391</v>
      </c>
      <c r="I72" s="37" t="s">
        <v>2655</v>
      </c>
      <c r="J72" s="35">
        <v>1988</v>
      </c>
      <c r="K72" s="35" t="s">
        <v>1950</v>
      </c>
      <c r="L72" s="35" t="s">
        <v>1950</v>
      </c>
      <c r="M72" s="36">
        <v>23278</v>
      </c>
      <c r="N72" s="52">
        <v>22000</v>
      </c>
      <c r="O72" s="38">
        <v>0.94509837614915371</v>
      </c>
      <c r="P72" s="35">
        <v>0</v>
      </c>
      <c r="Q72" s="35" t="s">
        <v>1589</v>
      </c>
      <c r="R72" s="53">
        <v>19</v>
      </c>
      <c r="S72" s="53">
        <v>0</v>
      </c>
    </row>
    <row r="73" spans="1:19" x14ac:dyDescent="0.3">
      <c r="A73" s="35" t="s">
        <v>1586</v>
      </c>
      <c r="B73" s="35" t="s">
        <v>14</v>
      </c>
      <c r="C73" s="35" t="s">
        <v>17</v>
      </c>
      <c r="D73" s="37">
        <v>182.50061189999806</v>
      </c>
      <c r="E73" s="35" t="s">
        <v>2655</v>
      </c>
      <c r="F73" s="37">
        <v>188.81289457837175</v>
      </c>
      <c r="G73" s="35" t="s">
        <v>2655</v>
      </c>
      <c r="H73" s="37">
        <v>188.43116610656773</v>
      </c>
      <c r="I73" s="37" t="s">
        <v>2655</v>
      </c>
      <c r="J73" s="35">
        <v>2000</v>
      </c>
      <c r="K73" s="35" t="s">
        <v>19</v>
      </c>
      <c r="L73" s="35" t="s">
        <v>1599</v>
      </c>
      <c r="M73" s="36">
        <v>51479</v>
      </c>
      <c r="N73" s="52">
        <v>30615</v>
      </c>
      <c r="O73" s="38">
        <v>0.59470852192156021</v>
      </c>
      <c r="P73" s="35">
        <v>0</v>
      </c>
      <c r="Q73" s="35" t="s">
        <v>1589</v>
      </c>
      <c r="R73" s="53">
        <v>2</v>
      </c>
      <c r="S73" s="53">
        <v>0.18</v>
      </c>
    </row>
    <row r="74" spans="1:19" x14ac:dyDescent="0.3">
      <c r="A74" s="35" t="s">
        <v>1586</v>
      </c>
      <c r="B74" s="35" t="s">
        <v>14</v>
      </c>
      <c r="C74" s="35" t="s">
        <v>17</v>
      </c>
      <c r="D74" s="37">
        <v>152.81270917360337</v>
      </c>
      <c r="E74" s="39" t="s">
        <v>1950</v>
      </c>
      <c r="F74" s="37">
        <v>157.6106689264567</v>
      </c>
      <c r="G74" s="35" t="s">
        <v>1950</v>
      </c>
      <c r="H74" s="37">
        <v>186.82568866386339</v>
      </c>
      <c r="I74" s="37" t="s">
        <v>1950</v>
      </c>
      <c r="J74" s="35">
        <v>2014</v>
      </c>
      <c r="K74" s="35" t="s">
        <v>21</v>
      </c>
      <c r="L74" s="35" t="s">
        <v>1818</v>
      </c>
      <c r="M74" s="36">
        <v>46612</v>
      </c>
      <c r="N74" s="52">
        <v>38820</v>
      </c>
      <c r="O74" s="38">
        <v>0.8328327469321205</v>
      </c>
      <c r="P74" s="35">
        <v>0</v>
      </c>
      <c r="Q74" s="35" t="s">
        <v>1821</v>
      </c>
      <c r="R74" s="53">
        <v>0</v>
      </c>
      <c r="S74" s="53">
        <v>0</v>
      </c>
    </row>
    <row r="75" spans="1:19" x14ac:dyDescent="0.3">
      <c r="A75" s="35" t="s">
        <v>1586</v>
      </c>
      <c r="B75" s="35" t="s">
        <v>14</v>
      </c>
      <c r="C75" s="35" t="s">
        <v>17</v>
      </c>
      <c r="D75" s="37">
        <v>183.12823378491322</v>
      </c>
      <c r="E75" s="35" t="s">
        <v>2655</v>
      </c>
      <c r="F75" s="37">
        <v>185.43405119633036</v>
      </c>
      <c r="G75" s="35" t="s">
        <v>2655</v>
      </c>
      <c r="H75" s="37">
        <v>185.6344826915975</v>
      </c>
      <c r="I75" s="37" t="s">
        <v>2655</v>
      </c>
      <c r="J75" s="35">
        <v>1998</v>
      </c>
      <c r="K75" s="35" t="s">
        <v>19</v>
      </c>
      <c r="L75" s="35" t="s">
        <v>2572</v>
      </c>
      <c r="M75" s="36">
        <v>102898</v>
      </c>
      <c r="N75" s="52">
        <v>81652</v>
      </c>
      <c r="O75" s="38">
        <v>0.79352368364788428</v>
      </c>
      <c r="P75" s="35">
        <v>0</v>
      </c>
      <c r="Q75" s="35" t="s">
        <v>1589</v>
      </c>
      <c r="R75" s="53">
        <v>5</v>
      </c>
      <c r="S75" s="53">
        <v>0.61</v>
      </c>
    </row>
    <row r="76" spans="1:19" x14ac:dyDescent="0.3">
      <c r="A76" s="35" t="s">
        <v>1586</v>
      </c>
      <c r="B76" s="35" t="s">
        <v>14</v>
      </c>
      <c r="C76" s="35" t="s">
        <v>17</v>
      </c>
      <c r="D76" s="37">
        <v>177.101660508946</v>
      </c>
      <c r="E76" s="35" t="s">
        <v>2655</v>
      </c>
      <c r="F76" s="37">
        <v>166.25883183195648</v>
      </c>
      <c r="G76" s="35" t="s">
        <v>2655</v>
      </c>
      <c r="H76" s="37">
        <v>184.28411308065921</v>
      </c>
      <c r="I76" s="37" t="s">
        <v>2655</v>
      </c>
      <c r="J76" s="35">
        <v>2009</v>
      </c>
      <c r="K76" s="35" t="s">
        <v>25</v>
      </c>
      <c r="L76" s="35" t="s">
        <v>1818</v>
      </c>
      <c r="M76" s="36">
        <v>24089</v>
      </c>
      <c r="N76" s="52">
        <v>23530</v>
      </c>
      <c r="O76" s="38">
        <v>0.97679438747976255</v>
      </c>
      <c r="P76" s="35">
        <v>0</v>
      </c>
      <c r="Q76" s="35" t="s">
        <v>1589</v>
      </c>
      <c r="R76" s="53">
        <v>9</v>
      </c>
      <c r="S76" s="53">
        <v>0.60199999999999998</v>
      </c>
    </row>
    <row r="77" spans="1:19" x14ac:dyDescent="0.3">
      <c r="A77" s="35" t="s">
        <v>1586</v>
      </c>
      <c r="B77" s="35" t="s">
        <v>14</v>
      </c>
      <c r="C77" s="35" t="s">
        <v>17</v>
      </c>
      <c r="D77" s="37">
        <v>197.31095423446075</v>
      </c>
      <c r="E77" s="35" t="s">
        <v>2655</v>
      </c>
      <c r="F77" s="37">
        <v>181.73974324879723</v>
      </c>
      <c r="G77" s="35" t="s">
        <v>2655</v>
      </c>
      <c r="H77" s="37">
        <v>183.61281821918141</v>
      </c>
      <c r="I77" s="37" t="s">
        <v>2655</v>
      </c>
      <c r="J77" s="35">
        <v>1998</v>
      </c>
      <c r="K77" s="35" t="s">
        <v>21</v>
      </c>
      <c r="L77" s="35" t="s">
        <v>1599</v>
      </c>
      <c r="M77" s="36">
        <v>41363</v>
      </c>
      <c r="N77" s="52">
        <v>28100</v>
      </c>
      <c r="O77" s="38">
        <v>0.67935111089621159</v>
      </c>
      <c r="P77" s="35">
        <v>0</v>
      </c>
      <c r="Q77" s="35" t="s">
        <v>1589</v>
      </c>
      <c r="R77" s="53">
        <v>2</v>
      </c>
      <c r="S77" s="53">
        <v>0.59899999999999998</v>
      </c>
    </row>
    <row r="78" spans="1:19" x14ac:dyDescent="0.3">
      <c r="A78" s="35" t="s">
        <v>1586</v>
      </c>
      <c r="B78" s="35" t="s">
        <v>14</v>
      </c>
      <c r="C78" s="35" t="s">
        <v>17</v>
      </c>
      <c r="D78" s="37">
        <v>171.36336727788338</v>
      </c>
      <c r="E78" s="35" t="s">
        <v>2655</v>
      </c>
      <c r="F78" s="37">
        <v>181.44050078953305</v>
      </c>
      <c r="G78" s="35" t="s">
        <v>2655</v>
      </c>
      <c r="H78" s="37">
        <v>181.34834455866715</v>
      </c>
      <c r="I78" s="37" t="s">
        <v>2655</v>
      </c>
      <c r="J78" s="35">
        <v>1997</v>
      </c>
      <c r="K78" s="35" t="s">
        <v>1950</v>
      </c>
      <c r="L78" s="35" t="s">
        <v>1950</v>
      </c>
      <c r="M78" s="36">
        <v>31031</v>
      </c>
      <c r="N78" s="52">
        <v>25833</v>
      </c>
      <c r="O78" s="38">
        <v>0.83249009055460665</v>
      </c>
      <c r="P78" s="35">
        <v>0</v>
      </c>
      <c r="Q78" s="35" t="s">
        <v>1787</v>
      </c>
      <c r="R78" s="53">
        <v>0</v>
      </c>
      <c r="S78" s="53">
        <v>0</v>
      </c>
    </row>
    <row r="79" spans="1:19" x14ac:dyDescent="0.3">
      <c r="A79" s="35" t="s">
        <v>1586</v>
      </c>
      <c r="B79" s="35" t="s">
        <v>14</v>
      </c>
      <c r="C79" s="35" t="s">
        <v>17</v>
      </c>
      <c r="D79" s="37">
        <v>187.5277548200871</v>
      </c>
      <c r="E79" s="35" t="s">
        <v>2655</v>
      </c>
      <c r="F79" s="37">
        <v>181.70844795046074</v>
      </c>
      <c r="G79" s="35" t="s">
        <v>2655</v>
      </c>
      <c r="H79" s="37">
        <v>179.69007117569419</v>
      </c>
      <c r="I79" s="37" t="s">
        <v>2655</v>
      </c>
      <c r="J79" s="35">
        <v>1999</v>
      </c>
      <c r="K79" s="35" t="s">
        <v>21</v>
      </c>
      <c r="L79" s="35" t="s">
        <v>1599</v>
      </c>
      <c r="M79" s="36">
        <v>162134</v>
      </c>
      <c r="N79" s="52">
        <v>153490</v>
      </c>
      <c r="O79" s="38">
        <v>0.94668607448160169</v>
      </c>
      <c r="P79" s="35">
        <v>0</v>
      </c>
      <c r="Q79" s="35" t="s">
        <v>1589</v>
      </c>
      <c r="R79" s="53">
        <v>2</v>
      </c>
      <c r="S79" s="53">
        <v>0.62</v>
      </c>
    </row>
    <row r="80" spans="1:19" x14ac:dyDescent="0.3">
      <c r="A80" s="35" t="s">
        <v>1586</v>
      </c>
      <c r="B80" s="35" t="s">
        <v>14</v>
      </c>
      <c r="C80" s="35" t="s">
        <v>17</v>
      </c>
      <c r="D80" s="37">
        <v>271.93285665451231</v>
      </c>
      <c r="E80" s="35" t="s">
        <v>2654</v>
      </c>
      <c r="F80" s="37">
        <v>174.39335973108479</v>
      </c>
      <c r="G80" s="35" t="s">
        <v>2655</v>
      </c>
      <c r="H80" s="37">
        <v>178.55289995442115</v>
      </c>
      <c r="I80" s="37" t="s">
        <v>2655</v>
      </c>
      <c r="J80" s="35">
        <v>1990</v>
      </c>
      <c r="K80" s="35" t="s">
        <v>1950</v>
      </c>
      <c r="L80" s="35" t="s">
        <v>1950</v>
      </c>
      <c r="M80" s="36">
        <v>105312</v>
      </c>
      <c r="N80" s="52">
        <v>70526</v>
      </c>
      <c r="O80" s="38">
        <v>0.66968626557277422</v>
      </c>
      <c r="P80" s="35">
        <v>0</v>
      </c>
      <c r="Q80" s="35" t="s">
        <v>1589</v>
      </c>
      <c r="R80" s="53">
        <v>0</v>
      </c>
      <c r="S80" s="53">
        <v>0.72</v>
      </c>
    </row>
    <row r="81" spans="1:19" x14ac:dyDescent="0.3">
      <c r="A81" s="35" t="s">
        <v>1586</v>
      </c>
      <c r="B81" s="35" t="s">
        <v>14</v>
      </c>
      <c r="C81" s="35" t="s">
        <v>17</v>
      </c>
      <c r="D81" s="37">
        <v>149.90373137647319</v>
      </c>
      <c r="E81" s="35" t="s">
        <v>2656</v>
      </c>
      <c r="F81" s="37">
        <v>162.02221614409606</v>
      </c>
      <c r="G81" s="35" t="s">
        <v>2655</v>
      </c>
      <c r="H81" s="37">
        <v>177.87338225483657</v>
      </c>
      <c r="I81" s="37" t="s">
        <v>2655</v>
      </c>
      <c r="J81" s="35">
        <v>2014</v>
      </c>
      <c r="K81" s="35" t="s">
        <v>19</v>
      </c>
      <c r="L81" s="35" t="s">
        <v>1604</v>
      </c>
      <c r="M81" s="36">
        <v>22485</v>
      </c>
      <c r="N81" s="52">
        <v>10537</v>
      </c>
      <c r="O81" s="38">
        <v>0.46862352679564157</v>
      </c>
      <c r="P81" s="35">
        <v>0</v>
      </c>
      <c r="Q81" s="35" t="s">
        <v>1589</v>
      </c>
      <c r="R81" s="53">
        <v>5</v>
      </c>
      <c r="S81" s="53">
        <v>0.6</v>
      </c>
    </row>
    <row r="82" spans="1:19" x14ac:dyDescent="0.3">
      <c r="A82" s="35" t="s">
        <v>1586</v>
      </c>
      <c r="B82" s="35" t="s">
        <v>14</v>
      </c>
      <c r="C82" s="35" t="s">
        <v>17</v>
      </c>
      <c r="D82" s="37">
        <v>173.48993833735074</v>
      </c>
      <c r="E82" s="35" t="s">
        <v>2655</v>
      </c>
      <c r="F82" s="37">
        <v>175.14885924098886</v>
      </c>
      <c r="G82" s="35" t="s">
        <v>2655</v>
      </c>
      <c r="H82" s="37">
        <v>177.55183194125232</v>
      </c>
      <c r="I82" s="37" t="s">
        <v>2655</v>
      </c>
      <c r="J82" s="35">
        <v>1997</v>
      </c>
      <c r="K82" s="35" t="s">
        <v>21</v>
      </c>
      <c r="L82" s="35" t="s">
        <v>1601</v>
      </c>
      <c r="M82" s="36">
        <v>17839</v>
      </c>
      <c r="N82" s="52">
        <v>7821</v>
      </c>
      <c r="O82" s="38">
        <v>0.43842143617915802</v>
      </c>
      <c r="P82" s="35">
        <v>0</v>
      </c>
      <c r="Q82" s="35" t="s">
        <v>1589</v>
      </c>
      <c r="R82" s="53">
        <v>16</v>
      </c>
      <c r="S82" s="53">
        <v>0.64200000000000002</v>
      </c>
    </row>
    <row r="83" spans="1:19" x14ac:dyDescent="0.3">
      <c r="A83" s="35" t="s">
        <v>1586</v>
      </c>
      <c r="B83" s="35" t="s">
        <v>14</v>
      </c>
      <c r="C83" s="35" t="s">
        <v>17</v>
      </c>
      <c r="D83" s="37">
        <v>172.11403680417897</v>
      </c>
      <c r="E83" s="35" t="s">
        <v>2655</v>
      </c>
      <c r="F83" s="37">
        <v>171.73765749823465</v>
      </c>
      <c r="G83" s="35" t="s">
        <v>2655</v>
      </c>
      <c r="H83" s="37">
        <v>177.18270220603875</v>
      </c>
      <c r="I83" s="37" t="s">
        <v>2655</v>
      </c>
      <c r="J83" s="35">
        <v>1988</v>
      </c>
      <c r="K83" s="35" t="s">
        <v>25</v>
      </c>
      <c r="L83" s="35" t="s">
        <v>1783</v>
      </c>
      <c r="M83" s="36">
        <v>117541</v>
      </c>
      <c r="N83" s="52">
        <v>106000</v>
      </c>
      <c r="O83" s="38">
        <v>0.90181298440544155</v>
      </c>
      <c r="P83" s="35">
        <v>0</v>
      </c>
      <c r="Q83" s="35" t="s">
        <v>1589</v>
      </c>
      <c r="R83" s="53">
        <v>5</v>
      </c>
      <c r="S83" s="53">
        <v>0.623</v>
      </c>
    </row>
    <row r="84" spans="1:19" x14ac:dyDescent="0.3">
      <c r="A84" s="35" t="s">
        <v>1586</v>
      </c>
      <c r="B84" s="35" t="s">
        <v>14</v>
      </c>
      <c r="C84" s="35" t="s">
        <v>17</v>
      </c>
      <c r="D84" s="37">
        <v>173.74909317027672</v>
      </c>
      <c r="E84" s="35" t="s">
        <v>2655</v>
      </c>
      <c r="F84" s="37">
        <v>170.84857239092133</v>
      </c>
      <c r="G84" s="35" t="s">
        <v>2655</v>
      </c>
      <c r="H84" s="37">
        <v>174.16158410197949</v>
      </c>
      <c r="I84" s="37" t="s">
        <v>2655</v>
      </c>
      <c r="J84" s="35">
        <v>1992</v>
      </c>
      <c r="K84" s="35" t="s">
        <v>25</v>
      </c>
      <c r="L84" s="35" t="s">
        <v>1783</v>
      </c>
      <c r="M84" s="36">
        <v>38596</v>
      </c>
      <c r="N84" s="52">
        <v>36706</v>
      </c>
      <c r="O84" s="38">
        <v>0.95103119494248112</v>
      </c>
      <c r="P84" s="35">
        <v>0</v>
      </c>
      <c r="Q84" s="35" t="s">
        <v>1589</v>
      </c>
      <c r="R84" s="53">
        <v>3</v>
      </c>
      <c r="S84" s="53">
        <v>0.60499999999999998</v>
      </c>
    </row>
    <row r="85" spans="1:19" x14ac:dyDescent="0.3">
      <c r="A85" s="35" t="s">
        <v>1586</v>
      </c>
      <c r="B85" s="35" t="s">
        <v>14</v>
      </c>
      <c r="C85" s="35" t="s">
        <v>17</v>
      </c>
      <c r="D85" s="37">
        <v>168.16586893576789</v>
      </c>
      <c r="E85" s="35" t="s">
        <v>2655</v>
      </c>
      <c r="F85" s="37">
        <v>162.74451929326952</v>
      </c>
      <c r="G85" s="35" t="s">
        <v>2655</v>
      </c>
      <c r="H85" s="37">
        <v>173.2335283342197</v>
      </c>
      <c r="I85" s="37" t="s">
        <v>2655</v>
      </c>
      <c r="J85" s="35">
        <v>2003</v>
      </c>
      <c r="K85" s="35" t="s">
        <v>1950</v>
      </c>
      <c r="L85" s="35" t="s">
        <v>1950</v>
      </c>
      <c r="M85" s="36">
        <v>33846</v>
      </c>
      <c r="N85" s="52">
        <v>33846</v>
      </c>
      <c r="O85" s="38">
        <v>1</v>
      </c>
      <c r="P85" s="35">
        <v>0</v>
      </c>
      <c r="Q85" s="35" t="s">
        <v>28</v>
      </c>
      <c r="R85" s="53">
        <v>0</v>
      </c>
      <c r="S85" s="53">
        <v>0</v>
      </c>
    </row>
    <row r="86" spans="1:19" x14ac:dyDescent="0.3">
      <c r="A86" s="35" t="s">
        <v>1586</v>
      </c>
      <c r="B86" s="35" t="s">
        <v>14</v>
      </c>
      <c r="C86" s="35" t="s">
        <v>17</v>
      </c>
      <c r="D86" s="37">
        <v>174.82250329528563</v>
      </c>
      <c r="E86" s="35" t="s">
        <v>2655</v>
      </c>
      <c r="F86" s="37">
        <v>162.21793757186526</v>
      </c>
      <c r="G86" s="35" t="s">
        <v>2655</v>
      </c>
      <c r="H86" s="37">
        <v>172.98948313094203</v>
      </c>
      <c r="I86" s="37" t="s">
        <v>2655</v>
      </c>
      <c r="J86" s="35">
        <v>2009</v>
      </c>
      <c r="K86" s="35" t="s">
        <v>19</v>
      </c>
      <c r="L86" s="35" t="s">
        <v>1818</v>
      </c>
      <c r="M86" s="36">
        <v>35657</v>
      </c>
      <c r="N86" s="52">
        <v>32771</v>
      </c>
      <c r="O86" s="38">
        <v>0.9190621757298707</v>
      </c>
      <c r="P86" s="35">
        <v>0</v>
      </c>
      <c r="Q86" s="35" t="s">
        <v>1589</v>
      </c>
      <c r="R86" s="53">
        <v>12</v>
      </c>
      <c r="S86" s="53">
        <v>0</v>
      </c>
    </row>
    <row r="87" spans="1:19" x14ac:dyDescent="0.3">
      <c r="A87" s="35" t="s">
        <v>1586</v>
      </c>
      <c r="B87" s="35" t="s">
        <v>14</v>
      </c>
      <c r="C87" s="35" t="s">
        <v>17</v>
      </c>
      <c r="D87" s="37">
        <v>266.93795403198493</v>
      </c>
      <c r="E87" s="35" t="s">
        <v>2654</v>
      </c>
      <c r="F87" s="37">
        <v>189.87451369865266</v>
      </c>
      <c r="G87" s="35" t="s">
        <v>2655</v>
      </c>
      <c r="H87" s="37">
        <v>172.89264768268981</v>
      </c>
      <c r="I87" s="37" t="s">
        <v>2655</v>
      </c>
      <c r="J87" s="35">
        <v>2000</v>
      </c>
      <c r="K87" s="35" t="s">
        <v>19</v>
      </c>
      <c r="L87" s="35" t="s">
        <v>1601</v>
      </c>
      <c r="M87" s="36">
        <v>30408.1</v>
      </c>
      <c r="N87" s="52">
        <v>28950</v>
      </c>
      <c r="O87" s="38">
        <v>0.9520489606387772</v>
      </c>
      <c r="P87" s="35">
        <v>0</v>
      </c>
      <c r="Q87" s="35" t="s">
        <v>1589</v>
      </c>
      <c r="R87" s="53">
        <v>2</v>
      </c>
      <c r="S87" s="53">
        <v>0.55000000000000004</v>
      </c>
    </row>
    <row r="88" spans="1:19" x14ac:dyDescent="0.3">
      <c r="A88" s="35" t="s">
        <v>1586</v>
      </c>
      <c r="B88" s="35" t="s">
        <v>14</v>
      </c>
      <c r="C88" s="35" t="s">
        <v>17</v>
      </c>
      <c r="D88" s="37">
        <v>184.59973226935577</v>
      </c>
      <c r="E88" s="39" t="s">
        <v>1950</v>
      </c>
      <c r="F88" s="37">
        <v>179.32192266022167</v>
      </c>
      <c r="G88" s="35" t="s">
        <v>1950</v>
      </c>
      <c r="H88" s="37">
        <v>172.38095362113509</v>
      </c>
      <c r="I88" s="37" t="s">
        <v>1950</v>
      </c>
      <c r="J88" s="35">
        <v>2011</v>
      </c>
      <c r="K88" s="35" t="s">
        <v>19</v>
      </c>
      <c r="L88" s="35" t="s">
        <v>1601</v>
      </c>
      <c r="M88" s="36">
        <v>95992</v>
      </c>
      <c r="N88" s="52">
        <v>85783</v>
      </c>
      <c r="O88" s="38">
        <v>0.89364738728227355</v>
      </c>
      <c r="P88" s="35">
        <v>0</v>
      </c>
      <c r="Q88" s="35" t="s">
        <v>1821</v>
      </c>
      <c r="R88" s="53">
        <v>0</v>
      </c>
      <c r="S88" s="53">
        <v>0</v>
      </c>
    </row>
    <row r="89" spans="1:19" x14ac:dyDescent="0.3">
      <c r="A89" s="35" t="s">
        <v>1586</v>
      </c>
      <c r="B89" s="35" t="s">
        <v>14</v>
      </c>
      <c r="C89" s="35" t="s">
        <v>17</v>
      </c>
      <c r="D89" s="37">
        <v>173.30423175459345</v>
      </c>
      <c r="E89" s="39" t="s">
        <v>1950</v>
      </c>
      <c r="F89" s="37">
        <v>167.11787285367578</v>
      </c>
      <c r="G89" s="35" t="s">
        <v>1950</v>
      </c>
      <c r="H89" s="37">
        <v>171.52965485668673</v>
      </c>
      <c r="I89" s="37" t="s">
        <v>1950</v>
      </c>
      <c r="J89" s="35">
        <v>2009</v>
      </c>
      <c r="K89" s="35" t="s">
        <v>19</v>
      </c>
      <c r="L89" s="35" t="s">
        <v>1601</v>
      </c>
      <c r="M89" s="36">
        <v>68130</v>
      </c>
      <c r="N89" s="52">
        <v>60000</v>
      </c>
      <c r="O89" s="38">
        <v>0.8806693086745927</v>
      </c>
      <c r="P89" s="35">
        <v>0</v>
      </c>
      <c r="Q89" s="35" t="s">
        <v>1821</v>
      </c>
      <c r="R89" s="53">
        <v>0</v>
      </c>
      <c r="S89" s="53">
        <v>0</v>
      </c>
    </row>
    <row r="90" spans="1:19" x14ac:dyDescent="0.3">
      <c r="A90" s="35" t="s">
        <v>1586</v>
      </c>
      <c r="B90" s="35" t="s">
        <v>14</v>
      </c>
      <c r="C90" s="35" t="s">
        <v>17</v>
      </c>
      <c r="D90" s="37">
        <v>172.66897201614299</v>
      </c>
      <c r="E90" s="35" t="s">
        <v>2655</v>
      </c>
      <c r="F90" s="37">
        <v>165.51413844084232</v>
      </c>
      <c r="G90" s="35" t="s">
        <v>2655</v>
      </c>
      <c r="H90" s="37">
        <v>170.53309180996018</v>
      </c>
      <c r="I90" s="37" t="s">
        <v>2655</v>
      </c>
      <c r="J90" s="35">
        <v>1979</v>
      </c>
      <c r="K90" s="35" t="s">
        <v>25</v>
      </c>
      <c r="L90" s="35" t="s">
        <v>1818</v>
      </c>
      <c r="M90" s="36">
        <v>75079</v>
      </c>
      <c r="N90" s="52">
        <v>50258</v>
      </c>
      <c r="O90" s="38">
        <v>0.66940156368625048</v>
      </c>
      <c r="P90" s="35">
        <v>0</v>
      </c>
      <c r="Q90" s="35" t="s">
        <v>1589</v>
      </c>
      <c r="R90" s="53">
        <v>12</v>
      </c>
      <c r="S90" s="53">
        <v>0.79</v>
      </c>
    </row>
    <row r="91" spans="1:19" x14ac:dyDescent="0.3">
      <c r="A91" s="35" t="s">
        <v>1586</v>
      </c>
      <c r="B91" s="35" t="s">
        <v>14</v>
      </c>
      <c r="C91" s="35" t="s">
        <v>17</v>
      </c>
      <c r="D91" s="37">
        <v>181.37670295489892</v>
      </c>
      <c r="E91" s="35" t="s">
        <v>2655</v>
      </c>
      <c r="F91" s="37">
        <v>167.67200622083982</v>
      </c>
      <c r="G91" s="35" t="s">
        <v>2655</v>
      </c>
      <c r="H91" s="37">
        <v>170.1108864696734</v>
      </c>
      <c r="I91" s="37" t="s">
        <v>2655</v>
      </c>
      <c r="J91" s="35">
        <v>1985</v>
      </c>
      <c r="K91" s="35" t="s">
        <v>47</v>
      </c>
      <c r="L91" s="35" t="s">
        <v>1597</v>
      </c>
      <c r="M91" s="36">
        <v>32150</v>
      </c>
      <c r="N91" s="52">
        <v>27761</v>
      </c>
      <c r="O91" s="38">
        <v>0.86348367029548989</v>
      </c>
      <c r="P91" s="35">
        <v>0</v>
      </c>
      <c r="Q91" s="35" t="s">
        <v>1589</v>
      </c>
      <c r="R91" s="53">
        <v>10</v>
      </c>
      <c r="S91" s="53">
        <v>0.72</v>
      </c>
    </row>
    <row r="92" spans="1:19" x14ac:dyDescent="0.3">
      <c r="A92" s="35" t="s">
        <v>1586</v>
      </c>
      <c r="B92" s="35" t="s">
        <v>14</v>
      </c>
      <c r="C92" s="35" t="s">
        <v>17</v>
      </c>
      <c r="D92" s="37">
        <v>174.165810321278</v>
      </c>
      <c r="E92" s="35" t="s">
        <v>2655</v>
      </c>
      <c r="F92" s="37">
        <v>165.80141873032846</v>
      </c>
      <c r="G92" s="35" t="s">
        <v>2655</v>
      </c>
      <c r="H92" s="37">
        <v>169.89042817269433</v>
      </c>
      <c r="I92" s="37" t="s">
        <v>2655</v>
      </c>
      <c r="J92" s="35">
        <v>2017</v>
      </c>
      <c r="K92" s="35" t="s">
        <v>1950</v>
      </c>
      <c r="L92" s="35" t="s">
        <v>1950</v>
      </c>
      <c r="M92" s="36">
        <v>16839</v>
      </c>
      <c r="N92" s="52">
        <v>1000</v>
      </c>
      <c r="O92" s="38">
        <v>5.938594928439931E-2</v>
      </c>
      <c r="P92" s="35">
        <v>0</v>
      </c>
      <c r="Q92" s="35" t="s">
        <v>28</v>
      </c>
      <c r="R92" s="53">
        <v>0</v>
      </c>
      <c r="S92" s="53">
        <v>0</v>
      </c>
    </row>
    <row r="93" spans="1:19" x14ac:dyDescent="0.3">
      <c r="A93" s="35" t="s">
        <v>1586</v>
      </c>
      <c r="B93" s="35" t="s">
        <v>14</v>
      </c>
      <c r="C93" s="35" t="s">
        <v>17</v>
      </c>
      <c r="D93" s="37">
        <v>163.40955617336044</v>
      </c>
      <c r="E93" s="35" t="s">
        <v>2655</v>
      </c>
      <c r="F93" s="37">
        <v>154.55290125601942</v>
      </c>
      <c r="G93" s="35" t="s">
        <v>2656</v>
      </c>
      <c r="H93" s="37">
        <v>168.28657498882987</v>
      </c>
      <c r="I93" s="37" t="s">
        <v>2655</v>
      </c>
      <c r="J93" s="35">
        <v>1995</v>
      </c>
      <c r="K93" s="35" t="s">
        <v>47</v>
      </c>
      <c r="L93" s="35" t="s">
        <v>1818</v>
      </c>
      <c r="M93" s="36">
        <v>20143</v>
      </c>
      <c r="N93" s="52">
        <v>16115</v>
      </c>
      <c r="O93" s="38">
        <v>0.80002978702278704</v>
      </c>
      <c r="P93" s="35">
        <v>0</v>
      </c>
      <c r="Q93" s="35" t="s">
        <v>1787</v>
      </c>
      <c r="R93" s="53">
        <v>0</v>
      </c>
      <c r="S93" s="53">
        <v>0.65</v>
      </c>
    </row>
    <row r="94" spans="1:19" x14ac:dyDescent="0.3">
      <c r="A94" s="35" t="s">
        <v>1586</v>
      </c>
      <c r="B94" s="35" t="s">
        <v>14</v>
      </c>
      <c r="C94" s="35" t="s">
        <v>17</v>
      </c>
      <c r="D94" s="37">
        <v>161.13611713665944</v>
      </c>
      <c r="E94" s="39" t="s">
        <v>1950</v>
      </c>
      <c r="F94" s="37">
        <v>151.1411183417691</v>
      </c>
      <c r="G94" s="35" t="s">
        <v>1950</v>
      </c>
      <c r="H94" s="37">
        <v>166.9743914196192</v>
      </c>
      <c r="I94" s="37" t="s">
        <v>1950</v>
      </c>
      <c r="J94" s="35">
        <v>2013</v>
      </c>
      <c r="K94" s="35" t="s">
        <v>19</v>
      </c>
      <c r="L94" s="35" t="s">
        <v>1603</v>
      </c>
      <c r="M94" s="36">
        <v>99576</v>
      </c>
      <c r="N94" s="52">
        <v>82727</v>
      </c>
      <c r="O94" s="38">
        <v>0.83079256045633487</v>
      </c>
      <c r="P94" s="35">
        <v>305</v>
      </c>
      <c r="Q94" s="35" t="s">
        <v>1821</v>
      </c>
      <c r="R94" s="53">
        <v>0</v>
      </c>
      <c r="S94" s="53">
        <v>0</v>
      </c>
    </row>
    <row r="95" spans="1:19" x14ac:dyDescent="0.3">
      <c r="A95" s="35" t="s">
        <v>1586</v>
      </c>
      <c r="B95" s="35" t="s">
        <v>14</v>
      </c>
      <c r="C95" s="35" t="s">
        <v>17</v>
      </c>
      <c r="D95" s="37">
        <v>285.38059367188526</v>
      </c>
      <c r="E95" s="35" t="s">
        <v>2654</v>
      </c>
      <c r="F95" s="37">
        <v>188.79684712537824</v>
      </c>
      <c r="G95" s="35" t="s">
        <v>2655</v>
      </c>
      <c r="H95" s="37">
        <v>165.0619076437311</v>
      </c>
      <c r="I95" s="37" t="s">
        <v>2655</v>
      </c>
      <c r="J95" s="35">
        <v>2001</v>
      </c>
      <c r="K95" s="35" t="s">
        <v>19</v>
      </c>
      <c r="L95" s="35" t="s">
        <v>1601</v>
      </c>
      <c r="M95" s="36">
        <v>30404</v>
      </c>
      <c r="N95" s="52">
        <v>28950</v>
      </c>
      <c r="O95" s="38">
        <v>0.95217734508617291</v>
      </c>
      <c r="P95" s="35">
        <v>0</v>
      </c>
      <c r="Q95" s="35" t="s">
        <v>1589</v>
      </c>
      <c r="R95" s="53">
        <v>2</v>
      </c>
      <c r="S95" s="53">
        <v>0.55000000000000004</v>
      </c>
    </row>
    <row r="96" spans="1:19" x14ac:dyDescent="0.3">
      <c r="A96" s="35" t="s">
        <v>1586</v>
      </c>
      <c r="B96" s="35" t="s">
        <v>14</v>
      </c>
      <c r="C96" s="35" t="s">
        <v>17</v>
      </c>
      <c r="D96" s="37">
        <v>116.01373983301913</v>
      </c>
      <c r="E96" s="35" t="s">
        <v>2657</v>
      </c>
      <c r="F96" s="37">
        <v>153.55433342310798</v>
      </c>
      <c r="G96" s="35" t="s">
        <v>2656</v>
      </c>
      <c r="H96" s="37">
        <v>164.76571990304336</v>
      </c>
      <c r="I96" s="37" t="s">
        <v>2655</v>
      </c>
      <c r="J96" s="35">
        <v>2009</v>
      </c>
      <c r="K96" s="35" t="s">
        <v>25</v>
      </c>
      <c r="L96" s="35" t="s">
        <v>1783</v>
      </c>
      <c r="M96" s="36">
        <v>18565</v>
      </c>
      <c r="N96" s="52">
        <v>14762</v>
      </c>
      <c r="O96" s="38">
        <v>0.79515216805817401</v>
      </c>
      <c r="P96" s="35">
        <v>0</v>
      </c>
      <c r="Q96" s="35" t="s">
        <v>28</v>
      </c>
      <c r="R96" s="53">
        <v>0</v>
      </c>
      <c r="S96" s="53">
        <v>0</v>
      </c>
    </row>
    <row r="97" spans="1:19" x14ac:dyDescent="0.3">
      <c r="A97" s="35" t="s">
        <v>1586</v>
      </c>
      <c r="B97" s="35" t="s">
        <v>14</v>
      </c>
      <c r="C97" s="35" t="s">
        <v>17</v>
      </c>
      <c r="D97" s="37">
        <v>153.59537056477009</v>
      </c>
      <c r="E97" s="35" t="s">
        <v>2656</v>
      </c>
      <c r="F97" s="37">
        <v>154.46261022464833</v>
      </c>
      <c r="G97" s="35" t="s">
        <v>2656</v>
      </c>
      <c r="H97" s="37">
        <v>163.47946672265377</v>
      </c>
      <c r="I97" s="37" t="s">
        <v>2655</v>
      </c>
      <c r="J97" s="35">
        <v>2018</v>
      </c>
      <c r="K97" s="35" t="s">
        <v>19</v>
      </c>
      <c r="L97" s="35" t="s">
        <v>1598</v>
      </c>
      <c r="M97" s="36">
        <v>76208</v>
      </c>
      <c r="N97" s="52">
        <v>67215</v>
      </c>
      <c r="O97" s="38">
        <v>0.88199401637623343</v>
      </c>
      <c r="P97" s="35">
        <v>0</v>
      </c>
      <c r="Q97" s="35" t="s">
        <v>1589</v>
      </c>
      <c r="R97" s="53">
        <v>4</v>
      </c>
      <c r="S97" s="53">
        <v>0.58199999999999996</v>
      </c>
    </row>
    <row r="98" spans="1:19" x14ac:dyDescent="0.3">
      <c r="A98" s="35" t="s">
        <v>1586</v>
      </c>
      <c r="B98" s="35" t="s">
        <v>14</v>
      </c>
      <c r="C98" s="35" t="s">
        <v>17</v>
      </c>
      <c r="D98" s="37">
        <v>144.09994381827642</v>
      </c>
      <c r="E98" s="35" t="s">
        <v>2656</v>
      </c>
      <c r="F98" s="37">
        <v>148.39728975203744</v>
      </c>
      <c r="G98" s="35" t="s">
        <v>2656</v>
      </c>
      <c r="H98" s="37">
        <v>162.10711496445293</v>
      </c>
      <c r="I98" s="37" t="s">
        <v>2655</v>
      </c>
      <c r="J98" s="35">
        <v>1983</v>
      </c>
      <c r="K98" s="35" t="s">
        <v>1950</v>
      </c>
      <c r="L98" s="35" t="s">
        <v>1950</v>
      </c>
      <c r="M98" s="36">
        <v>28835</v>
      </c>
      <c r="N98" s="52">
        <v>28835</v>
      </c>
      <c r="O98" s="38">
        <v>1</v>
      </c>
      <c r="P98" s="35">
        <v>0</v>
      </c>
      <c r="Q98" s="35" t="s">
        <v>1589</v>
      </c>
      <c r="R98" s="53">
        <v>19</v>
      </c>
      <c r="S98" s="53">
        <v>0</v>
      </c>
    </row>
    <row r="99" spans="1:19" x14ac:dyDescent="0.3">
      <c r="A99" s="35" t="s">
        <v>1586</v>
      </c>
      <c r="B99" s="35" t="s">
        <v>14</v>
      </c>
      <c r="C99" s="35" t="s">
        <v>17</v>
      </c>
      <c r="D99" s="37">
        <v>176.37884098721983</v>
      </c>
      <c r="E99" s="35" t="s">
        <v>2655</v>
      </c>
      <c r="F99" s="37">
        <v>159.65757512539795</v>
      </c>
      <c r="G99" s="35" t="s">
        <v>2655</v>
      </c>
      <c r="H99" s="37">
        <v>161.37481519106748</v>
      </c>
      <c r="I99" s="37" t="s">
        <v>2655</v>
      </c>
      <c r="J99" s="35">
        <v>2005</v>
      </c>
      <c r="K99" s="35" t="s">
        <v>21</v>
      </c>
      <c r="L99" s="35" t="s">
        <v>1601</v>
      </c>
      <c r="M99" s="36">
        <v>27562.25</v>
      </c>
      <c r="N99" s="52">
        <v>33840</v>
      </c>
      <c r="O99" s="38">
        <v>1.2277662382425238</v>
      </c>
      <c r="P99" s="35">
        <v>0</v>
      </c>
      <c r="Q99" s="35" t="s">
        <v>1589</v>
      </c>
      <c r="R99" s="53">
        <v>7</v>
      </c>
      <c r="S99" s="53">
        <v>0.624</v>
      </c>
    </row>
    <row r="100" spans="1:19" x14ac:dyDescent="0.3">
      <c r="A100" s="35" t="s">
        <v>1586</v>
      </c>
      <c r="B100" s="35" t="s">
        <v>14</v>
      </c>
      <c r="C100" s="35" t="s">
        <v>17</v>
      </c>
      <c r="D100" s="37">
        <v>150.73633364151164</v>
      </c>
      <c r="E100" s="35" t="s">
        <v>2656</v>
      </c>
      <c r="F100" s="37">
        <v>164.85149254593784</v>
      </c>
      <c r="G100" s="35" t="s">
        <v>2655</v>
      </c>
      <c r="H100" s="37">
        <v>160.85882930775452</v>
      </c>
      <c r="I100" s="37" t="s">
        <v>2655</v>
      </c>
      <c r="J100" s="35">
        <v>1989</v>
      </c>
      <c r="K100" s="35" t="s">
        <v>1950</v>
      </c>
      <c r="L100" s="35" t="s">
        <v>1950</v>
      </c>
      <c r="M100" s="36">
        <v>17306</v>
      </c>
      <c r="N100" s="52">
        <v>15000</v>
      </c>
      <c r="O100" s="38">
        <v>0.86675141569397895</v>
      </c>
      <c r="P100" s="35">
        <v>0</v>
      </c>
      <c r="Q100" s="35" t="s">
        <v>1589</v>
      </c>
      <c r="R100" s="53">
        <v>20</v>
      </c>
      <c r="S100" s="53">
        <v>0</v>
      </c>
    </row>
    <row r="101" spans="1:19" x14ac:dyDescent="0.3">
      <c r="A101" s="35" t="s">
        <v>1586</v>
      </c>
      <c r="B101" s="35" t="s">
        <v>14</v>
      </c>
      <c r="C101" s="35" t="s">
        <v>17</v>
      </c>
      <c r="D101" s="37">
        <v>185.35978482714975</v>
      </c>
      <c r="E101" s="35" t="s">
        <v>2655</v>
      </c>
      <c r="F101" s="37">
        <v>175.24180260000526</v>
      </c>
      <c r="G101" s="35" t="s">
        <v>2655</v>
      </c>
      <c r="H101" s="37">
        <v>160.84864804999606</v>
      </c>
      <c r="I101" s="37" t="s">
        <v>2655</v>
      </c>
      <c r="J101" s="35">
        <v>1997</v>
      </c>
      <c r="K101" s="35" t="s">
        <v>1950</v>
      </c>
      <c r="L101" s="35" t="s">
        <v>1950</v>
      </c>
      <c r="M101" s="36">
        <v>37923</v>
      </c>
      <c r="N101" s="52">
        <v>30003</v>
      </c>
      <c r="O101" s="38">
        <v>0.79115576299343404</v>
      </c>
      <c r="P101" s="35">
        <v>0</v>
      </c>
      <c r="Q101" s="35" t="s">
        <v>28</v>
      </c>
      <c r="R101" s="53">
        <v>0</v>
      </c>
      <c r="S101" s="53">
        <v>0</v>
      </c>
    </row>
    <row r="102" spans="1:19" x14ac:dyDescent="0.3">
      <c r="A102" s="35" t="s">
        <v>1586</v>
      </c>
      <c r="B102" s="35" t="s">
        <v>14</v>
      </c>
      <c r="C102" s="35" t="s">
        <v>17</v>
      </c>
      <c r="D102" s="37">
        <v>156.31420191944198</v>
      </c>
      <c r="E102" s="35" t="s">
        <v>2656</v>
      </c>
      <c r="F102" s="37">
        <v>149.83533529261123</v>
      </c>
      <c r="G102" s="35" t="s">
        <v>2656</v>
      </c>
      <c r="H102" s="37">
        <v>160.40868626757558</v>
      </c>
      <c r="I102" s="37" t="s">
        <v>2655</v>
      </c>
      <c r="J102" s="35">
        <v>2014</v>
      </c>
      <c r="K102" s="35" t="s">
        <v>19</v>
      </c>
      <c r="L102" s="35" t="s">
        <v>1604</v>
      </c>
      <c r="M102" s="36">
        <v>82003</v>
      </c>
      <c r="N102" s="52">
        <v>65225</v>
      </c>
      <c r="O102" s="38">
        <v>0.79539772935136521</v>
      </c>
      <c r="P102" s="35">
        <v>0</v>
      </c>
      <c r="Q102" s="35" t="s">
        <v>1589</v>
      </c>
      <c r="R102" s="53">
        <v>9</v>
      </c>
      <c r="S102" s="53">
        <v>0.56000000000000005</v>
      </c>
    </row>
    <row r="103" spans="1:19" x14ac:dyDescent="0.3">
      <c r="A103" s="35" t="s">
        <v>1586</v>
      </c>
      <c r="B103" s="35" t="s">
        <v>14</v>
      </c>
      <c r="C103" s="35" t="s">
        <v>17</v>
      </c>
      <c r="D103" s="37">
        <v>152.17173115634091</v>
      </c>
      <c r="E103" s="35" t="s">
        <v>2656</v>
      </c>
      <c r="F103" s="37">
        <v>152.72779747260128</v>
      </c>
      <c r="G103" s="35" t="s">
        <v>2656</v>
      </c>
      <c r="H103" s="37">
        <v>160.19218183851487</v>
      </c>
      <c r="I103" s="37" t="s">
        <v>2655</v>
      </c>
      <c r="J103" s="35">
        <v>1976</v>
      </c>
      <c r="K103" s="35" t="s">
        <v>1950</v>
      </c>
      <c r="L103" s="35" t="s">
        <v>1950</v>
      </c>
      <c r="M103" s="36">
        <v>17884</v>
      </c>
      <c r="N103" s="52">
        <v>10888</v>
      </c>
      <c r="O103" s="38">
        <v>0.60881234623126812</v>
      </c>
      <c r="P103" s="35">
        <v>0</v>
      </c>
      <c r="Q103" s="35" t="s">
        <v>1589</v>
      </c>
      <c r="R103" s="53">
        <v>4</v>
      </c>
      <c r="S103" s="53">
        <v>0</v>
      </c>
    </row>
    <row r="104" spans="1:19" x14ac:dyDescent="0.3">
      <c r="A104" s="35" t="s">
        <v>1586</v>
      </c>
      <c r="B104" s="35" t="s">
        <v>14</v>
      </c>
      <c r="C104" s="35" t="s">
        <v>17</v>
      </c>
      <c r="D104" s="37">
        <v>159.57736848907845</v>
      </c>
      <c r="E104" s="35" t="s">
        <v>2656</v>
      </c>
      <c r="F104" s="37">
        <v>156.28364999353755</v>
      </c>
      <c r="G104" s="35" t="s">
        <v>2655</v>
      </c>
      <c r="H104" s="37">
        <v>160.03699108181465</v>
      </c>
      <c r="I104" s="37" t="s">
        <v>2655</v>
      </c>
      <c r="J104" s="35">
        <v>1974</v>
      </c>
      <c r="K104" s="35" t="s">
        <v>25</v>
      </c>
      <c r="L104" s="35" t="s">
        <v>1601</v>
      </c>
      <c r="M104" s="36">
        <v>116055</v>
      </c>
      <c r="N104" s="52">
        <v>110000</v>
      </c>
      <c r="O104" s="38">
        <v>0.94782646159148676</v>
      </c>
      <c r="P104" s="35">
        <v>268</v>
      </c>
      <c r="Q104" s="35" t="s">
        <v>1589</v>
      </c>
      <c r="R104" s="53">
        <v>6</v>
      </c>
      <c r="S104" s="53">
        <v>0</v>
      </c>
    </row>
    <row r="105" spans="1:19" x14ac:dyDescent="0.3">
      <c r="A105" s="35" t="s">
        <v>1586</v>
      </c>
      <c r="B105" s="35" t="s">
        <v>14</v>
      </c>
      <c r="C105" s="35" t="s">
        <v>17</v>
      </c>
      <c r="D105" s="37">
        <v>150.64925955570536</v>
      </c>
      <c r="E105" s="35" t="s">
        <v>2656</v>
      </c>
      <c r="F105" s="37">
        <v>153.16785758418285</v>
      </c>
      <c r="G105" s="35" t="s">
        <v>2656</v>
      </c>
      <c r="H105" s="37">
        <v>158.24373536102451</v>
      </c>
      <c r="I105" s="37" t="s">
        <v>2656</v>
      </c>
      <c r="J105" s="35">
        <v>1975</v>
      </c>
      <c r="K105" s="35" t="s">
        <v>21</v>
      </c>
      <c r="L105" s="35" t="s">
        <v>1605</v>
      </c>
      <c r="M105" s="36">
        <v>71214</v>
      </c>
      <c r="N105" s="52">
        <v>70000</v>
      </c>
      <c r="O105" s="38">
        <v>0.98295279018170589</v>
      </c>
      <c r="P105" s="35">
        <v>0</v>
      </c>
      <c r="Q105" s="35" t="s">
        <v>1589</v>
      </c>
      <c r="R105" s="53">
        <v>1</v>
      </c>
      <c r="S105" s="53">
        <v>0</v>
      </c>
    </row>
    <row r="106" spans="1:19" x14ac:dyDescent="0.3">
      <c r="A106" s="35" t="s">
        <v>1586</v>
      </c>
      <c r="B106" s="35" t="s">
        <v>14</v>
      </c>
      <c r="C106" s="35" t="s">
        <v>17</v>
      </c>
      <c r="D106" s="37">
        <v>145.508830760595</v>
      </c>
      <c r="E106" s="35" t="s">
        <v>2656</v>
      </c>
      <c r="F106" s="37">
        <v>156.0730008419871</v>
      </c>
      <c r="G106" s="35" t="s">
        <v>2655</v>
      </c>
      <c r="H106" s="37">
        <v>157.872877911872</v>
      </c>
      <c r="I106" s="37" t="s">
        <v>2656</v>
      </c>
      <c r="J106" s="35">
        <v>1999</v>
      </c>
      <c r="K106" s="35" t="s">
        <v>25</v>
      </c>
      <c r="L106" s="35" t="s">
        <v>1818</v>
      </c>
      <c r="M106" s="36">
        <v>17815</v>
      </c>
      <c r="N106" s="52">
        <v>16000</v>
      </c>
      <c r="O106" s="38">
        <v>0.8981195621667134</v>
      </c>
      <c r="P106" s="35">
        <v>0</v>
      </c>
      <c r="Q106" s="35" t="s">
        <v>28</v>
      </c>
      <c r="R106" s="53">
        <v>0</v>
      </c>
      <c r="S106" s="53">
        <v>0.75</v>
      </c>
    </row>
    <row r="107" spans="1:19" x14ac:dyDescent="0.3">
      <c r="A107" s="35" t="s">
        <v>1586</v>
      </c>
      <c r="B107" s="35" t="s">
        <v>14</v>
      </c>
      <c r="C107" s="35" t="s">
        <v>17</v>
      </c>
      <c r="D107" s="37">
        <v>172.59396839876118</v>
      </c>
      <c r="E107" s="35" t="s">
        <v>2655</v>
      </c>
      <c r="F107" s="37">
        <v>162.13799991472396</v>
      </c>
      <c r="G107" s="35" t="s">
        <v>2655</v>
      </c>
      <c r="H107" s="37">
        <v>157.76814474189135</v>
      </c>
      <c r="I107" s="37" t="s">
        <v>2656</v>
      </c>
      <c r="J107" s="35">
        <v>1989</v>
      </c>
      <c r="K107" s="35" t="s">
        <v>1950</v>
      </c>
      <c r="L107" s="35" t="s">
        <v>1950</v>
      </c>
      <c r="M107" s="36">
        <v>38697.85</v>
      </c>
      <c r="N107" s="52">
        <v>31000</v>
      </c>
      <c r="O107" s="38">
        <v>0.80107809606993674</v>
      </c>
      <c r="P107" s="35">
        <v>0</v>
      </c>
      <c r="Q107" s="35" t="s">
        <v>1589</v>
      </c>
      <c r="R107" s="53">
        <v>0</v>
      </c>
      <c r="S107" s="53">
        <v>0</v>
      </c>
    </row>
    <row r="108" spans="1:19" x14ac:dyDescent="0.3">
      <c r="A108" s="35" t="s">
        <v>1586</v>
      </c>
      <c r="B108" s="35" t="s">
        <v>14</v>
      </c>
      <c r="C108" s="35" t="s">
        <v>17</v>
      </c>
      <c r="D108" s="37">
        <v>145.26186513124708</v>
      </c>
      <c r="E108" s="35" t="s">
        <v>2656</v>
      </c>
      <c r="F108" s="37">
        <v>153.8397765625694</v>
      </c>
      <c r="G108" s="35" t="s">
        <v>2656</v>
      </c>
      <c r="H108" s="37">
        <v>157.28885731616836</v>
      </c>
      <c r="I108" s="37" t="s">
        <v>2656</v>
      </c>
      <c r="J108" s="35">
        <v>2019</v>
      </c>
      <c r="K108" s="35" t="s">
        <v>21</v>
      </c>
      <c r="L108" s="35" t="s">
        <v>1599</v>
      </c>
      <c r="M108" s="36">
        <v>24085.49</v>
      </c>
      <c r="N108" s="52">
        <v>20000</v>
      </c>
      <c r="O108" s="38">
        <v>0.83037546672291074</v>
      </c>
      <c r="P108" s="35">
        <v>0</v>
      </c>
      <c r="Q108" s="35" t="s">
        <v>1589</v>
      </c>
      <c r="R108" s="53">
        <v>4</v>
      </c>
      <c r="S108" s="53">
        <v>0.53</v>
      </c>
    </row>
    <row r="109" spans="1:19" x14ac:dyDescent="0.3">
      <c r="A109" s="35" t="s">
        <v>1586</v>
      </c>
      <c r="B109" s="35" t="s">
        <v>14</v>
      </c>
      <c r="C109" s="35" t="s">
        <v>17</v>
      </c>
      <c r="D109" s="37">
        <v>0</v>
      </c>
      <c r="E109" s="39" t="s">
        <v>1950</v>
      </c>
      <c r="F109" s="37">
        <v>0</v>
      </c>
      <c r="G109" s="35" t="s">
        <v>1950</v>
      </c>
      <c r="H109" s="37">
        <v>157.26440481002425</v>
      </c>
      <c r="I109" s="37" t="s">
        <v>1950</v>
      </c>
      <c r="J109" s="35">
        <v>2022</v>
      </c>
      <c r="K109" s="35" t="s">
        <v>21</v>
      </c>
      <c r="L109" s="35" t="s">
        <v>1602</v>
      </c>
      <c r="M109" s="36">
        <v>19792</v>
      </c>
      <c r="N109" s="52">
        <v>15075</v>
      </c>
      <c r="O109" s="38">
        <v>0.76167138237671783</v>
      </c>
      <c r="P109" s="35">
        <v>0</v>
      </c>
      <c r="Q109" s="35" t="s">
        <v>1821</v>
      </c>
      <c r="R109" s="53">
        <v>0</v>
      </c>
      <c r="S109" s="53">
        <v>0</v>
      </c>
    </row>
    <row r="110" spans="1:19" x14ac:dyDescent="0.3">
      <c r="A110" s="35" t="s">
        <v>1586</v>
      </c>
      <c r="B110" s="35" t="s">
        <v>14</v>
      </c>
      <c r="C110" s="35" t="s">
        <v>17</v>
      </c>
      <c r="D110" s="37">
        <v>181.54649106478035</v>
      </c>
      <c r="E110" s="39" t="s">
        <v>1950</v>
      </c>
      <c r="F110" s="37">
        <v>193.86753071481758</v>
      </c>
      <c r="G110" s="35" t="s">
        <v>1950</v>
      </c>
      <c r="H110" s="37">
        <v>157.05835815338793</v>
      </c>
      <c r="I110" s="37" t="s">
        <v>1950</v>
      </c>
      <c r="J110" s="35">
        <v>2011</v>
      </c>
      <c r="K110" s="35" t="s">
        <v>25</v>
      </c>
      <c r="L110" s="35" t="s">
        <v>1603</v>
      </c>
      <c r="M110" s="36">
        <v>33458</v>
      </c>
      <c r="N110" s="52">
        <v>28003</v>
      </c>
      <c r="O110" s="38">
        <v>0.83695977045848524</v>
      </c>
      <c r="P110" s="35">
        <v>0</v>
      </c>
      <c r="Q110" s="35" t="s">
        <v>1821</v>
      </c>
      <c r="R110" s="53">
        <v>0</v>
      </c>
      <c r="S110" s="53">
        <v>0</v>
      </c>
    </row>
    <row r="111" spans="1:19" x14ac:dyDescent="0.3">
      <c r="A111" s="35" t="s">
        <v>1586</v>
      </c>
      <c r="B111" s="35" t="s">
        <v>14</v>
      </c>
      <c r="C111" s="35" t="s">
        <v>17</v>
      </c>
      <c r="D111" s="37">
        <v>166.16282613981761</v>
      </c>
      <c r="E111" s="35" t="s">
        <v>2655</v>
      </c>
      <c r="F111" s="37">
        <v>156.7462407294833</v>
      </c>
      <c r="G111" s="35" t="s">
        <v>2655</v>
      </c>
      <c r="H111" s="37">
        <v>155.7806303951368</v>
      </c>
      <c r="I111" s="37" t="s">
        <v>2656</v>
      </c>
      <c r="J111" s="35">
        <v>1969</v>
      </c>
      <c r="K111" s="35" t="s">
        <v>1950</v>
      </c>
      <c r="L111" s="35" t="s">
        <v>1950</v>
      </c>
      <c r="M111" s="36">
        <v>16450</v>
      </c>
      <c r="N111" s="52">
        <v>16350</v>
      </c>
      <c r="O111" s="38">
        <v>0.99392097264437695</v>
      </c>
      <c r="P111" s="35">
        <v>0</v>
      </c>
      <c r="Q111" s="35" t="s">
        <v>1589</v>
      </c>
      <c r="R111" s="53">
        <v>53</v>
      </c>
      <c r="S111" s="53">
        <v>0</v>
      </c>
    </row>
    <row r="112" spans="1:19" x14ac:dyDescent="0.3">
      <c r="A112" s="35" t="s">
        <v>1586</v>
      </c>
      <c r="B112" s="35" t="s">
        <v>14</v>
      </c>
      <c r="C112" s="35" t="s">
        <v>17</v>
      </c>
      <c r="D112" s="37">
        <v>180.52254743534303</v>
      </c>
      <c r="E112" s="35" t="s">
        <v>2655</v>
      </c>
      <c r="F112" s="37">
        <v>175.60680443969017</v>
      </c>
      <c r="G112" s="35" t="s">
        <v>2655</v>
      </c>
      <c r="H112" s="37">
        <v>155.27187412279704</v>
      </c>
      <c r="I112" s="37" t="s">
        <v>2656</v>
      </c>
      <c r="J112" s="35">
        <v>1992</v>
      </c>
      <c r="K112" s="35" t="s">
        <v>21</v>
      </c>
      <c r="L112" s="35" t="s">
        <v>1601</v>
      </c>
      <c r="M112" s="36">
        <v>131811</v>
      </c>
      <c r="N112" s="52">
        <v>113717</v>
      </c>
      <c r="O112" s="38">
        <v>0.86272769343984945</v>
      </c>
      <c r="P112" s="35">
        <v>0</v>
      </c>
      <c r="Q112" s="35" t="s">
        <v>1589</v>
      </c>
      <c r="R112" s="53">
        <v>6</v>
      </c>
      <c r="S112" s="53">
        <v>0.75</v>
      </c>
    </row>
    <row r="113" spans="1:19" x14ac:dyDescent="0.3">
      <c r="A113" s="35" t="s">
        <v>1586</v>
      </c>
      <c r="B113" s="35" t="s">
        <v>14</v>
      </c>
      <c r="C113" s="35" t="s">
        <v>17</v>
      </c>
      <c r="D113" s="37">
        <v>147.42951612631012</v>
      </c>
      <c r="E113" s="35" t="s">
        <v>2656</v>
      </c>
      <c r="F113" s="37">
        <v>146.62771126225718</v>
      </c>
      <c r="G113" s="35" t="s">
        <v>2656</v>
      </c>
      <c r="H113" s="37">
        <v>154.32653170410626</v>
      </c>
      <c r="I113" s="37" t="s">
        <v>2656</v>
      </c>
      <c r="J113" s="35">
        <v>2002</v>
      </c>
      <c r="K113" s="35" t="s">
        <v>25</v>
      </c>
      <c r="L113" s="35" t="s">
        <v>1597</v>
      </c>
      <c r="M113" s="36">
        <v>40061</v>
      </c>
      <c r="N113" s="52">
        <v>34377</v>
      </c>
      <c r="O113" s="38">
        <v>0.85811637253188888</v>
      </c>
      <c r="P113" s="35">
        <v>0</v>
      </c>
      <c r="Q113" s="35" t="s">
        <v>1589</v>
      </c>
      <c r="R113" s="53">
        <v>9</v>
      </c>
      <c r="S113" s="53">
        <v>0.80900000000000005</v>
      </c>
    </row>
    <row r="114" spans="1:19" x14ac:dyDescent="0.3">
      <c r="A114" s="35" t="s">
        <v>1586</v>
      </c>
      <c r="B114" s="35" t="s">
        <v>14</v>
      </c>
      <c r="C114" s="35" t="s">
        <v>17</v>
      </c>
      <c r="D114" s="37">
        <v>146.5704325428546</v>
      </c>
      <c r="E114" s="35" t="s">
        <v>2656</v>
      </c>
      <c r="F114" s="37">
        <v>144.71866950883737</v>
      </c>
      <c r="G114" s="35" t="s">
        <v>2656</v>
      </c>
      <c r="H114" s="37">
        <v>154.21107558397728</v>
      </c>
      <c r="I114" s="37" t="s">
        <v>2656</v>
      </c>
      <c r="J114" s="35">
        <v>1996</v>
      </c>
      <c r="K114" s="35" t="s">
        <v>25</v>
      </c>
      <c r="L114" s="35" t="s">
        <v>1818</v>
      </c>
      <c r="M114" s="36">
        <v>22518</v>
      </c>
      <c r="N114" s="52">
        <v>18014</v>
      </c>
      <c r="O114" s="38">
        <v>0.79998223643307576</v>
      </c>
      <c r="P114" s="35">
        <v>0</v>
      </c>
      <c r="Q114" s="35" t="s">
        <v>1589</v>
      </c>
      <c r="R114" s="53">
        <v>12</v>
      </c>
      <c r="S114" s="53">
        <v>0.73299999999999998</v>
      </c>
    </row>
    <row r="115" spans="1:19" x14ac:dyDescent="0.3">
      <c r="A115" s="35" t="s">
        <v>1586</v>
      </c>
      <c r="B115" s="35" t="s">
        <v>14</v>
      </c>
      <c r="C115" s="35" t="s">
        <v>17</v>
      </c>
      <c r="D115" s="37">
        <v>156.39920574749991</v>
      </c>
      <c r="E115" s="35" t="s">
        <v>2656</v>
      </c>
      <c r="F115" s="37">
        <v>147.63828297050435</v>
      </c>
      <c r="G115" s="35" t="s">
        <v>2656</v>
      </c>
      <c r="H115" s="37">
        <v>153.83196505288998</v>
      </c>
      <c r="I115" s="37" t="s">
        <v>2656</v>
      </c>
      <c r="J115" s="35">
        <v>1998</v>
      </c>
      <c r="K115" s="35" t="s">
        <v>21</v>
      </c>
      <c r="L115" s="35" t="s">
        <v>1597</v>
      </c>
      <c r="M115" s="36">
        <v>27699</v>
      </c>
      <c r="N115" s="52">
        <v>27699</v>
      </c>
      <c r="O115" s="38">
        <v>1</v>
      </c>
      <c r="P115" s="35">
        <v>0</v>
      </c>
      <c r="Q115" s="35" t="s">
        <v>1589</v>
      </c>
      <c r="R115" s="53">
        <v>8</v>
      </c>
      <c r="S115" s="53">
        <v>0.68</v>
      </c>
    </row>
    <row r="116" spans="1:19" x14ac:dyDescent="0.3">
      <c r="A116" s="35" t="s">
        <v>1586</v>
      </c>
      <c r="B116" s="35" t="s">
        <v>14</v>
      </c>
      <c r="C116" s="35" t="s">
        <v>17</v>
      </c>
      <c r="D116" s="37">
        <v>177.24832055451373</v>
      </c>
      <c r="E116" s="35" t="s">
        <v>2655</v>
      </c>
      <c r="F116" s="37">
        <v>158.18591402188619</v>
      </c>
      <c r="G116" s="35" t="s">
        <v>2655</v>
      </c>
      <c r="H116" s="37">
        <v>153.58848244593727</v>
      </c>
      <c r="I116" s="37" t="s">
        <v>2656</v>
      </c>
      <c r="J116" s="35">
        <v>2001</v>
      </c>
      <c r="K116" s="35" t="s">
        <v>19</v>
      </c>
      <c r="L116" s="35" t="s">
        <v>1599</v>
      </c>
      <c r="M116" s="36">
        <v>42127</v>
      </c>
      <c r="N116" s="52">
        <v>34000</v>
      </c>
      <c r="O116" s="38">
        <v>0.80708334322406061</v>
      </c>
      <c r="P116" s="35">
        <v>0</v>
      </c>
      <c r="Q116" s="35" t="s">
        <v>1589</v>
      </c>
      <c r="R116" s="53">
        <v>2</v>
      </c>
      <c r="S116" s="53">
        <v>0</v>
      </c>
    </row>
    <row r="117" spans="1:19" x14ac:dyDescent="0.3">
      <c r="A117" s="35" t="s">
        <v>1586</v>
      </c>
      <c r="B117" s="35" t="s">
        <v>14</v>
      </c>
      <c r="C117" s="35" t="s">
        <v>17</v>
      </c>
      <c r="D117" s="37">
        <v>167.7988310767048</v>
      </c>
      <c r="E117" s="35" t="s">
        <v>2655</v>
      </c>
      <c r="F117" s="37">
        <v>164.22257348178761</v>
      </c>
      <c r="G117" s="35" t="s">
        <v>2655</v>
      </c>
      <c r="H117" s="37">
        <v>152.1883231039694</v>
      </c>
      <c r="I117" s="37" t="s">
        <v>2656</v>
      </c>
      <c r="J117" s="35">
        <v>1997</v>
      </c>
      <c r="K117" s="35" t="s">
        <v>21</v>
      </c>
      <c r="L117" s="35" t="s">
        <v>1597</v>
      </c>
      <c r="M117" s="36">
        <v>64846</v>
      </c>
      <c r="N117" s="52">
        <v>51932</v>
      </c>
      <c r="O117" s="38">
        <v>0.80085124757116866</v>
      </c>
      <c r="P117" s="35">
        <v>0</v>
      </c>
      <c r="Q117" s="35" t="s">
        <v>1589</v>
      </c>
      <c r="R117" s="53">
        <v>7</v>
      </c>
      <c r="S117" s="53">
        <v>0.65</v>
      </c>
    </row>
    <row r="118" spans="1:19" x14ac:dyDescent="0.3">
      <c r="A118" s="35" t="s">
        <v>1586</v>
      </c>
      <c r="B118" s="35" t="s">
        <v>14</v>
      </c>
      <c r="C118" s="35" t="s">
        <v>17</v>
      </c>
      <c r="D118" s="37">
        <v>149.89159778637057</v>
      </c>
      <c r="E118" s="35" t="s">
        <v>2656</v>
      </c>
      <c r="F118" s="37">
        <v>151.34869275249213</v>
      </c>
      <c r="G118" s="35" t="s">
        <v>2656</v>
      </c>
      <c r="H118" s="37">
        <v>151.99463762460533</v>
      </c>
      <c r="I118" s="37" t="s">
        <v>2656</v>
      </c>
      <c r="J118" s="35">
        <v>2017</v>
      </c>
      <c r="K118" s="35" t="s">
        <v>19</v>
      </c>
      <c r="L118" s="35" t="s">
        <v>1600</v>
      </c>
      <c r="M118" s="36">
        <v>28189</v>
      </c>
      <c r="N118" s="52">
        <v>26779</v>
      </c>
      <c r="O118" s="38">
        <v>0.94998048884316577</v>
      </c>
      <c r="P118" s="35">
        <v>0</v>
      </c>
      <c r="Q118" s="35" t="s">
        <v>1589</v>
      </c>
      <c r="R118" s="53">
        <v>7</v>
      </c>
      <c r="S118" s="53">
        <v>0.6</v>
      </c>
    </row>
    <row r="119" spans="1:19" x14ac:dyDescent="0.3">
      <c r="A119" s="35" t="s">
        <v>1586</v>
      </c>
      <c r="B119" s="35" t="s">
        <v>14</v>
      </c>
      <c r="C119" s="35" t="s">
        <v>17</v>
      </c>
      <c r="D119" s="37">
        <v>121.20045847402497</v>
      </c>
      <c r="E119" s="35" t="s">
        <v>2657</v>
      </c>
      <c r="F119" s="37">
        <v>142.88143489978623</v>
      </c>
      <c r="G119" s="35" t="s">
        <v>2656</v>
      </c>
      <c r="H119" s="37">
        <v>151.89512096899105</v>
      </c>
      <c r="I119" s="37" t="s">
        <v>2656</v>
      </c>
      <c r="J119" s="35">
        <v>2017</v>
      </c>
      <c r="K119" s="35" t="s">
        <v>21</v>
      </c>
      <c r="L119" s="35" t="s">
        <v>1818</v>
      </c>
      <c r="M119" s="36">
        <v>64562</v>
      </c>
      <c r="N119" s="52">
        <v>52918</v>
      </c>
      <c r="O119" s="38">
        <v>0.81964623152938265</v>
      </c>
      <c r="P119" s="35">
        <v>0</v>
      </c>
      <c r="Q119" s="35" t="s">
        <v>1589</v>
      </c>
      <c r="R119" s="53">
        <v>7</v>
      </c>
      <c r="S119" s="53">
        <v>0.56799999999999995</v>
      </c>
    </row>
    <row r="120" spans="1:19" x14ac:dyDescent="0.3">
      <c r="A120" s="35" t="s">
        <v>1586</v>
      </c>
      <c r="B120" s="35" t="s">
        <v>14</v>
      </c>
      <c r="C120" s="35" t="s">
        <v>17</v>
      </c>
      <c r="D120" s="37">
        <v>47.419100348469037</v>
      </c>
      <c r="E120" s="35" t="s">
        <v>2657</v>
      </c>
      <c r="F120" s="37">
        <v>125.02969946756761</v>
      </c>
      <c r="G120" s="35" t="s">
        <v>2656</v>
      </c>
      <c r="H120" s="37">
        <v>151.01197530645817</v>
      </c>
      <c r="I120" s="37" t="s">
        <v>2656</v>
      </c>
      <c r="J120" s="35">
        <v>2020</v>
      </c>
      <c r="K120" s="35" t="s">
        <v>1950</v>
      </c>
      <c r="L120" s="35" t="s">
        <v>1950</v>
      </c>
      <c r="M120" s="36">
        <v>56533</v>
      </c>
      <c r="N120" s="52">
        <v>52417</v>
      </c>
      <c r="O120" s="38">
        <v>0.92719296693966358</v>
      </c>
      <c r="P120" s="35">
        <v>0</v>
      </c>
      <c r="Q120" s="35" t="s">
        <v>1589</v>
      </c>
      <c r="R120" s="53">
        <v>3</v>
      </c>
      <c r="S120" s="53">
        <v>0.63</v>
      </c>
    </row>
    <row r="121" spans="1:19" x14ac:dyDescent="0.3">
      <c r="A121" s="35" t="s">
        <v>1586</v>
      </c>
      <c r="B121" s="35" t="s">
        <v>14</v>
      </c>
      <c r="C121" s="35" t="s">
        <v>17</v>
      </c>
      <c r="D121" s="37">
        <v>147.99398596725695</v>
      </c>
      <c r="E121" s="35" t="s">
        <v>2656</v>
      </c>
      <c r="F121" s="37">
        <v>142.09134356977876</v>
      </c>
      <c r="G121" s="35" t="s">
        <v>2656</v>
      </c>
      <c r="H121" s="37">
        <v>149.87213643428871</v>
      </c>
      <c r="I121" s="37" t="s">
        <v>2656</v>
      </c>
      <c r="J121" s="35">
        <v>2014</v>
      </c>
      <c r="K121" s="35" t="s">
        <v>19</v>
      </c>
      <c r="L121" s="35" t="s">
        <v>1604</v>
      </c>
      <c r="M121" s="36">
        <v>68839</v>
      </c>
      <c r="N121" s="52">
        <v>55585</v>
      </c>
      <c r="O121" s="38">
        <v>0.80746379232702392</v>
      </c>
      <c r="P121" s="35">
        <v>0</v>
      </c>
      <c r="Q121" s="35" t="s">
        <v>1589</v>
      </c>
      <c r="R121" s="53">
        <v>9</v>
      </c>
      <c r="S121" s="53">
        <v>0.62</v>
      </c>
    </row>
    <row r="122" spans="1:19" x14ac:dyDescent="0.3">
      <c r="A122" s="35" t="s">
        <v>1586</v>
      </c>
      <c r="B122" s="35" t="s">
        <v>14</v>
      </c>
      <c r="C122" s="35" t="s">
        <v>17</v>
      </c>
      <c r="D122" s="37">
        <v>149.19877810997011</v>
      </c>
      <c r="E122" s="35" t="s">
        <v>2656</v>
      </c>
      <c r="F122" s="37">
        <v>148.63647471727543</v>
      </c>
      <c r="G122" s="35" t="s">
        <v>2656</v>
      </c>
      <c r="H122" s="37">
        <v>149.52770050695437</v>
      </c>
      <c r="I122" s="37" t="s">
        <v>2656</v>
      </c>
      <c r="J122" s="35">
        <v>2013</v>
      </c>
      <c r="K122" s="35" t="s">
        <v>19</v>
      </c>
      <c r="L122" s="35" t="s">
        <v>1603</v>
      </c>
      <c r="M122" s="36">
        <v>115395</v>
      </c>
      <c r="N122" s="52">
        <v>102171</v>
      </c>
      <c r="O122" s="38">
        <v>0.88540231379175871</v>
      </c>
      <c r="P122" s="35">
        <v>0</v>
      </c>
      <c r="Q122" s="35" t="s">
        <v>1589</v>
      </c>
      <c r="R122" s="53">
        <v>10</v>
      </c>
      <c r="S122" s="53">
        <v>0.54200000000000004</v>
      </c>
    </row>
    <row r="123" spans="1:19" x14ac:dyDescent="0.3">
      <c r="A123" s="35" t="s">
        <v>1586</v>
      </c>
      <c r="B123" s="35" t="s">
        <v>14</v>
      </c>
      <c r="C123" s="35" t="s">
        <v>17</v>
      </c>
      <c r="D123" s="37">
        <v>154.41999999999999</v>
      </c>
      <c r="E123" s="35" t="s">
        <v>2656</v>
      </c>
      <c r="F123" s="37">
        <v>138.56948051948052</v>
      </c>
      <c r="G123" s="35" t="s">
        <v>2656</v>
      </c>
      <c r="H123" s="37">
        <v>147.36194805194805</v>
      </c>
      <c r="I123" s="37" t="s">
        <v>2656</v>
      </c>
      <c r="J123" s="35">
        <v>1997</v>
      </c>
      <c r="K123" s="35" t="s">
        <v>25</v>
      </c>
      <c r="L123" s="35" t="s">
        <v>1597</v>
      </c>
      <c r="M123" s="36">
        <v>15400</v>
      </c>
      <c r="N123" s="52">
        <v>13927</v>
      </c>
      <c r="O123" s="38">
        <v>0.90435064935064935</v>
      </c>
      <c r="P123" s="35">
        <v>0</v>
      </c>
      <c r="Q123" s="35" t="s">
        <v>1589</v>
      </c>
      <c r="R123" s="53">
        <v>25</v>
      </c>
      <c r="S123" s="53">
        <v>0</v>
      </c>
    </row>
    <row r="124" spans="1:19" x14ac:dyDescent="0.3">
      <c r="A124" s="35" t="s">
        <v>1586</v>
      </c>
      <c r="B124" s="35" t="s">
        <v>14</v>
      </c>
      <c r="C124" s="35" t="s">
        <v>17</v>
      </c>
      <c r="D124" s="37">
        <v>145.29172674219018</v>
      </c>
      <c r="E124" s="39" t="s">
        <v>1950</v>
      </c>
      <c r="F124" s="37">
        <v>133.3507037418469</v>
      </c>
      <c r="G124" s="35" t="s">
        <v>1950</v>
      </c>
      <c r="H124" s="37">
        <v>146.62239958805355</v>
      </c>
      <c r="I124" s="37" t="s">
        <v>1950</v>
      </c>
      <c r="J124" s="35">
        <v>2011</v>
      </c>
      <c r="K124" s="35" t="s">
        <v>19</v>
      </c>
      <c r="L124" s="35" t="s">
        <v>1601</v>
      </c>
      <c r="M124" s="36">
        <v>145650</v>
      </c>
      <c r="N124" s="52">
        <v>123715</v>
      </c>
      <c r="O124" s="38">
        <v>0.84939924476484718</v>
      </c>
      <c r="P124" s="35">
        <v>0</v>
      </c>
      <c r="Q124" s="35" t="s">
        <v>1821</v>
      </c>
      <c r="R124" s="53">
        <v>0</v>
      </c>
      <c r="S124" s="53">
        <v>0</v>
      </c>
    </row>
    <row r="125" spans="1:19" x14ac:dyDescent="0.3">
      <c r="A125" s="35" t="s">
        <v>1586</v>
      </c>
      <c r="B125" s="35" t="s">
        <v>14</v>
      </c>
      <c r="C125" s="35" t="s">
        <v>17</v>
      </c>
      <c r="D125" s="37">
        <v>193.55495511200209</v>
      </c>
      <c r="E125" s="35" t="s">
        <v>2655</v>
      </c>
      <c r="F125" s="37">
        <v>171.67214329294868</v>
      </c>
      <c r="G125" s="35" t="s">
        <v>2655</v>
      </c>
      <c r="H125" s="37">
        <v>146.38900026148349</v>
      </c>
      <c r="I125" s="37" t="s">
        <v>2656</v>
      </c>
      <c r="J125" s="35">
        <v>2009</v>
      </c>
      <c r="K125" s="35" t="s">
        <v>19</v>
      </c>
      <c r="L125" s="35" t="s">
        <v>1601</v>
      </c>
      <c r="M125" s="36">
        <v>22946</v>
      </c>
      <c r="N125" s="52">
        <v>20132</v>
      </c>
      <c r="O125" s="38">
        <v>0.87736424649176326</v>
      </c>
      <c r="P125" s="35">
        <v>0</v>
      </c>
      <c r="Q125" s="35" t="s">
        <v>1589</v>
      </c>
      <c r="R125" s="53">
        <v>14</v>
      </c>
      <c r="S125" s="53">
        <v>0.63300000000000001</v>
      </c>
    </row>
    <row r="126" spans="1:19" x14ac:dyDescent="0.3">
      <c r="A126" s="35" t="s">
        <v>1586</v>
      </c>
      <c r="B126" s="35" t="s">
        <v>14</v>
      </c>
      <c r="C126" s="35" t="s">
        <v>17</v>
      </c>
      <c r="D126" s="37">
        <v>143.00788613753539</v>
      </c>
      <c r="E126" s="35" t="s">
        <v>2656</v>
      </c>
      <c r="F126" s="37">
        <v>134.47109723331639</v>
      </c>
      <c r="G126" s="35" t="s">
        <v>2656</v>
      </c>
      <c r="H126" s="37">
        <v>144.9611095780989</v>
      </c>
      <c r="I126" s="37" t="s">
        <v>2656</v>
      </c>
      <c r="J126" s="35">
        <v>2012</v>
      </c>
      <c r="K126" s="35" t="s">
        <v>19</v>
      </c>
      <c r="L126" s="35" t="s">
        <v>1599</v>
      </c>
      <c r="M126" s="36">
        <v>27542</v>
      </c>
      <c r="N126" s="52">
        <v>16190</v>
      </c>
      <c r="O126" s="38">
        <v>0.58782949676857166</v>
      </c>
      <c r="P126" s="35">
        <v>0</v>
      </c>
      <c r="Q126" s="35" t="s">
        <v>1589</v>
      </c>
      <c r="R126" s="53">
        <v>11</v>
      </c>
      <c r="S126" s="53">
        <v>0.63600000000000001</v>
      </c>
    </row>
    <row r="127" spans="1:19" x14ac:dyDescent="0.3">
      <c r="A127" s="35" t="s">
        <v>1586</v>
      </c>
      <c r="B127" s="35" t="s">
        <v>14</v>
      </c>
      <c r="C127" s="35" t="s">
        <v>17</v>
      </c>
      <c r="D127" s="37">
        <v>133.85903914590747</v>
      </c>
      <c r="E127" s="35" t="s">
        <v>2656</v>
      </c>
      <c r="F127" s="37">
        <v>142.6020640569395</v>
      </c>
      <c r="G127" s="35" t="s">
        <v>2656</v>
      </c>
      <c r="H127" s="37">
        <v>143.76451957295373</v>
      </c>
      <c r="I127" s="37" t="s">
        <v>2656</v>
      </c>
      <c r="J127" s="35">
        <v>2016</v>
      </c>
      <c r="K127" s="35" t="s">
        <v>1950</v>
      </c>
      <c r="L127" s="35" t="s">
        <v>1950</v>
      </c>
      <c r="M127" s="36">
        <v>28100</v>
      </c>
      <c r="N127" s="52">
        <v>19300</v>
      </c>
      <c r="O127" s="38">
        <v>0.68683274021352314</v>
      </c>
      <c r="P127" s="35">
        <v>0</v>
      </c>
      <c r="Q127" s="35" t="s">
        <v>1589</v>
      </c>
      <c r="R127" s="53">
        <v>18</v>
      </c>
      <c r="S127" s="53">
        <v>0</v>
      </c>
    </row>
    <row r="128" spans="1:19" x14ac:dyDescent="0.3">
      <c r="A128" s="35" t="s">
        <v>1586</v>
      </c>
      <c r="B128" s="35" t="s">
        <v>14</v>
      </c>
      <c r="C128" s="35" t="s">
        <v>17</v>
      </c>
      <c r="D128" s="37">
        <v>165.1869183040331</v>
      </c>
      <c r="E128" s="39" t="s">
        <v>1950</v>
      </c>
      <c r="F128" s="37">
        <v>141.2172772935441</v>
      </c>
      <c r="G128" s="35" t="s">
        <v>1950</v>
      </c>
      <c r="H128" s="37">
        <v>143.73732272122913</v>
      </c>
      <c r="I128" s="37" t="s">
        <v>1950</v>
      </c>
      <c r="J128" s="35">
        <v>2009</v>
      </c>
      <c r="K128" s="35" t="s">
        <v>19</v>
      </c>
      <c r="L128" s="35" t="s">
        <v>1601</v>
      </c>
      <c r="M128" s="36">
        <v>27076</v>
      </c>
      <c r="N128" s="52">
        <v>22004</v>
      </c>
      <c r="O128" s="38">
        <v>0.81267543211700399</v>
      </c>
      <c r="P128" s="35">
        <v>0</v>
      </c>
      <c r="Q128" s="35" t="s">
        <v>1821</v>
      </c>
      <c r="R128" s="53">
        <v>0</v>
      </c>
      <c r="S128" s="53">
        <v>0</v>
      </c>
    </row>
    <row r="129" spans="1:19" x14ac:dyDescent="0.3">
      <c r="A129" s="35" t="s">
        <v>1586</v>
      </c>
      <c r="B129" s="35" t="s">
        <v>14</v>
      </c>
      <c r="C129" s="35" t="s">
        <v>17</v>
      </c>
      <c r="D129" s="37">
        <v>54.692647176826171</v>
      </c>
      <c r="E129" s="35" t="s">
        <v>2657</v>
      </c>
      <c r="F129" s="37">
        <v>114.99812769144356</v>
      </c>
      <c r="G129" s="35" t="s">
        <v>2657</v>
      </c>
      <c r="H129" s="37">
        <v>142.59310054296949</v>
      </c>
      <c r="I129" s="37" t="s">
        <v>2656</v>
      </c>
      <c r="J129" s="35">
        <v>2020</v>
      </c>
      <c r="K129" s="35" t="s">
        <v>19</v>
      </c>
      <c r="L129" s="35" t="s">
        <v>1602</v>
      </c>
      <c r="M129" s="36">
        <v>37387</v>
      </c>
      <c r="N129" s="52">
        <v>37387</v>
      </c>
      <c r="O129" s="38">
        <v>1</v>
      </c>
      <c r="P129" s="35">
        <v>0</v>
      </c>
      <c r="Q129" s="35" t="s">
        <v>1589</v>
      </c>
      <c r="R129" s="53">
        <v>4</v>
      </c>
      <c r="S129" s="53">
        <v>0.60399999999999998</v>
      </c>
    </row>
    <row r="130" spans="1:19" x14ac:dyDescent="0.3">
      <c r="A130" s="35" t="s">
        <v>1586</v>
      </c>
      <c r="B130" s="35" t="s">
        <v>14</v>
      </c>
      <c r="C130" s="35" t="s">
        <v>17</v>
      </c>
      <c r="D130" s="37">
        <v>142.07589759660274</v>
      </c>
      <c r="E130" s="35" t="s">
        <v>2656</v>
      </c>
      <c r="F130" s="37">
        <v>137.33452501247106</v>
      </c>
      <c r="G130" s="35" t="s">
        <v>2656</v>
      </c>
      <c r="H130" s="37">
        <v>142.2540802752587</v>
      </c>
      <c r="I130" s="37" t="s">
        <v>2656</v>
      </c>
      <c r="J130" s="35">
        <v>2010</v>
      </c>
      <c r="K130" s="35" t="s">
        <v>19</v>
      </c>
      <c r="L130" s="35" t="s">
        <v>1601</v>
      </c>
      <c r="M130" s="36">
        <v>184167</v>
      </c>
      <c r="N130" s="52">
        <v>171504</v>
      </c>
      <c r="O130" s="38">
        <v>0.93124175340859117</v>
      </c>
      <c r="P130" s="35">
        <v>0</v>
      </c>
      <c r="Q130" s="35" t="s">
        <v>1589</v>
      </c>
      <c r="R130" s="53">
        <v>13</v>
      </c>
      <c r="S130" s="53">
        <v>0.61</v>
      </c>
    </row>
    <row r="131" spans="1:19" x14ac:dyDescent="0.3">
      <c r="A131" s="35" t="s">
        <v>1586</v>
      </c>
      <c r="B131" s="35" t="s">
        <v>14</v>
      </c>
      <c r="C131" s="35" t="s">
        <v>17</v>
      </c>
      <c r="D131" s="37">
        <v>138.0130965439192</v>
      </c>
      <c r="E131" s="35" t="s">
        <v>2656</v>
      </c>
      <c r="F131" s="37">
        <v>141.97589623052144</v>
      </c>
      <c r="G131" s="35" t="s">
        <v>2656</v>
      </c>
      <c r="H131" s="37">
        <v>141.6148589710107</v>
      </c>
      <c r="I131" s="37" t="s">
        <v>2656</v>
      </c>
      <c r="J131" s="35">
        <v>1959</v>
      </c>
      <c r="K131" s="35" t="s">
        <v>19</v>
      </c>
      <c r="L131" s="35" t="s">
        <v>1875</v>
      </c>
      <c r="M131" s="36">
        <v>22974</v>
      </c>
      <c r="N131" s="52">
        <v>10038</v>
      </c>
      <c r="O131" s="38">
        <v>0.43692870201096889</v>
      </c>
      <c r="P131" s="35">
        <v>0</v>
      </c>
      <c r="Q131" s="35" t="s">
        <v>1589</v>
      </c>
      <c r="R131" s="53">
        <v>3</v>
      </c>
      <c r="S131" s="53">
        <v>0</v>
      </c>
    </row>
    <row r="132" spans="1:19" x14ac:dyDescent="0.3">
      <c r="A132" s="35" t="s">
        <v>1586</v>
      </c>
      <c r="B132" s="35" t="s">
        <v>14</v>
      </c>
      <c r="C132" s="35" t="s">
        <v>17</v>
      </c>
      <c r="D132" s="37">
        <v>132.86577774973182</v>
      </c>
      <c r="E132" s="35" t="s">
        <v>2656</v>
      </c>
      <c r="F132" s="37">
        <v>131.10091499968451</v>
      </c>
      <c r="G132" s="35" t="s">
        <v>2656</v>
      </c>
      <c r="H132" s="37">
        <v>140.90329715403544</v>
      </c>
      <c r="I132" s="37" t="s">
        <v>2656</v>
      </c>
      <c r="J132" s="35">
        <v>2008</v>
      </c>
      <c r="K132" s="35" t="s">
        <v>1950</v>
      </c>
      <c r="L132" s="35" t="s">
        <v>1950</v>
      </c>
      <c r="M132" s="36">
        <v>15847</v>
      </c>
      <c r="N132" s="52">
        <v>14047</v>
      </c>
      <c r="O132" s="38">
        <v>0.88641383227109227</v>
      </c>
      <c r="P132" s="35">
        <v>0</v>
      </c>
      <c r="Q132" s="35" t="s">
        <v>28</v>
      </c>
      <c r="R132" s="53">
        <v>0</v>
      </c>
      <c r="S132" s="53">
        <v>0</v>
      </c>
    </row>
    <row r="133" spans="1:19" x14ac:dyDescent="0.3">
      <c r="A133" s="35" t="s">
        <v>1586</v>
      </c>
      <c r="B133" s="35" t="s">
        <v>14</v>
      </c>
      <c r="C133" s="35" t="s">
        <v>17</v>
      </c>
      <c r="D133" s="37">
        <v>139.98052512536211</v>
      </c>
      <c r="E133" s="35" t="s">
        <v>2656</v>
      </c>
      <c r="F133" s="37">
        <v>137.90103042377694</v>
      </c>
      <c r="G133" s="35" t="s">
        <v>2656</v>
      </c>
      <c r="H133" s="37">
        <v>140.55920952078461</v>
      </c>
      <c r="I133" s="37" t="s">
        <v>2656</v>
      </c>
      <c r="J133" s="35">
        <v>1976</v>
      </c>
      <c r="K133" s="35" t="s">
        <v>25</v>
      </c>
      <c r="L133" s="35" t="s">
        <v>1783</v>
      </c>
      <c r="M133" s="36">
        <v>103899</v>
      </c>
      <c r="N133" s="52">
        <v>102370</v>
      </c>
      <c r="O133" s="38">
        <v>0.98528378521448712</v>
      </c>
      <c r="P133" s="35">
        <v>0</v>
      </c>
      <c r="Q133" s="35" t="s">
        <v>1589</v>
      </c>
      <c r="R133" s="53">
        <v>5</v>
      </c>
      <c r="S133" s="53">
        <v>0.63</v>
      </c>
    </row>
    <row r="134" spans="1:19" x14ac:dyDescent="0.3">
      <c r="A134" s="35" t="s">
        <v>1586</v>
      </c>
      <c r="B134" s="35" t="s">
        <v>14</v>
      </c>
      <c r="C134" s="35" t="s">
        <v>17</v>
      </c>
      <c r="D134" s="37">
        <v>134.68654738321936</v>
      </c>
      <c r="E134" s="35" t="s">
        <v>2656</v>
      </c>
      <c r="F134" s="37">
        <v>131.99126333951051</v>
      </c>
      <c r="G134" s="35" t="s">
        <v>2656</v>
      </c>
      <c r="H134" s="37">
        <v>137.51068822288963</v>
      </c>
      <c r="I134" s="37" t="s">
        <v>2656</v>
      </c>
      <c r="J134" s="35">
        <v>2009</v>
      </c>
      <c r="K134" s="35" t="s">
        <v>19</v>
      </c>
      <c r="L134" s="35" t="s">
        <v>1597</v>
      </c>
      <c r="M134" s="36">
        <v>31298</v>
      </c>
      <c r="N134" s="52">
        <v>25632</v>
      </c>
      <c r="O134" s="38">
        <v>0.81896606811936867</v>
      </c>
      <c r="P134" s="35">
        <v>0</v>
      </c>
      <c r="Q134" s="35" t="s">
        <v>1589</v>
      </c>
      <c r="R134" s="53">
        <v>14</v>
      </c>
      <c r="S134" s="53">
        <v>0</v>
      </c>
    </row>
    <row r="135" spans="1:19" x14ac:dyDescent="0.3">
      <c r="A135" s="35" t="s">
        <v>1586</v>
      </c>
      <c r="B135" s="35" t="s">
        <v>14</v>
      </c>
      <c r="C135" s="35" t="s">
        <v>17</v>
      </c>
      <c r="D135" s="37">
        <v>127.09465124683773</v>
      </c>
      <c r="E135" s="35" t="s">
        <v>2656</v>
      </c>
      <c r="F135" s="37">
        <v>128.00234911456451</v>
      </c>
      <c r="G135" s="35" t="s">
        <v>2656</v>
      </c>
      <c r="H135" s="37">
        <v>137.17142512950247</v>
      </c>
      <c r="I135" s="37" t="s">
        <v>2656</v>
      </c>
      <c r="J135" s="35">
        <v>1984</v>
      </c>
      <c r="K135" s="35" t="s">
        <v>1950</v>
      </c>
      <c r="L135" s="35" t="s">
        <v>1950</v>
      </c>
      <c r="M135" s="36">
        <v>66408</v>
      </c>
      <c r="N135" s="52">
        <v>55000</v>
      </c>
      <c r="O135" s="38">
        <v>0.8282134682568365</v>
      </c>
      <c r="P135" s="35">
        <v>0</v>
      </c>
      <c r="Q135" s="35" t="s">
        <v>1589</v>
      </c>
      <c r="R135" s="53">
        <v>6</v>
      </c>
      <c r="S135" s="53">
        <v>0.65</v>
      </c>
    </row>
    <row r="136" spans="1:19" x14ac:dyDescent="0.3">
      <c r="A136" s="35" t="s">
        <v>1586</v>
      </c>
      <c r="B136" s="35" t="s">
        <v>14</v>
      </c>
      <c r="C136" s="35" t="s">
        <v>17</v>
      </c>
      <c r="D136" s="37">
        <v>138.49605053413842</v>
      </c>
      <c r="E136" s="35" t="s">
        <v>2656</v>
      </c>
      <c r="F136" s="37">
        <v>130.26498169995355</v>
      </c>
      <c r="G136" s="35" t="s">
        <v>2656</v>
      </c>
      <c r="H136" s="37">
        <v>135.73540083604274</v>
      </c>
      <c r="I136" s="37" t="s">
        <v>2656</v>
      </c>
      <c r="J136" s="35">
        <v>1998</v>
      </c>
      <c r="K136" s="35" t="s">
        <v>19</v>
      </c>
      <c r="L136" s="35" t="s">
        <v>1601</v>
      </c>
      <c r="M136" s="36">
        <v>53825</v>
      </c>
      <c r="N136" s="52">
        <v>50622</v>
      </c>
      <c r="O136" s="38">
        <v>0.9404923362749652</v>
      </c>
      <c r="P136" s="35">
        <v>0</v>
      </c>
      <c r="Q136" s="35" t="s">
        <v>1589</v>
      </c>
      <c r="R136" s="53">
        <v>7</v>
      </c>
      <c r="S136" s="53">
        <v>0.6</v>
      </c>
    </row>
    <row r="137" spans="1:19" x14ac:dyDescent="0.3">
      <c r="A137" s="35" t="s">
        <v>1586</v>
      </c>
      <c r="B137" s="35" t="s">
        <v>14</v>
      </c>
      <c r="C137" s="35" t="s">
        <v>17</v>
      </c>
      <c r="D137" s="37">
        <v>143.34403918578744</v>
      </c>
      <c r="E137" s="35" t="s">
        <v>2656</v>
      </c>
      <c r="F137" s="37">
        <v>136.12335377111592</v>
      </c>
      <c r="G137" s="35" t="s">
        <v>2656</v>
      </c>
      <c r="H137" s="37">
        <v>134.55464932905389</v>
      </c>
      <c r="I137" s="37" t="s">
        <v>2656</v>
      </c>
      <c r="J137" s="35">
        <v>1995</v>
      </c>
      <c r="K137" s="35" t="s">
        <v>19</v>
      </c>
      <c r="L137" s="35" t="s">
        <v>1599</v>
      </c>
      <c r="M137" s="36">
        <v>17824.830000000002</v>
      </c>
      <c r="N137" s="52">
        <v>10572</v>
      </c>
      <c r="O137" s="38">
        <v>0.59310523578625984</v>
      </c>
      <c r="P137" s="35">
        <v>0</v>
      </c>
      <c r="Q137" s="35" t="s">
        <v>1589</v>
      </c>
      <c r="R137" s="53">
        <v>1</v>
      </c>
      <c r="S137" s="53">
        <v>0.61</v>
      </c>
    </row>
    <row r="138" spans="1:19" x14ac:dyDescent="0.3">
      <c r="A138" s="35" t="s">
        <v>1586</v>
      </c>
      <c r="B138" s="35" t="s">
        <v>14</v>
      </c>
      <c r="C138" s="35" t="s">
        <v>17</v>
      </c>
      <c r="D138" s="37">
        <v>135.79821460137885</v>
      </c>
      <c r="E138" s="35" t="s">
        <v>2656</v>
      </c>
      <c r="F138" s="37">
        <v>133.60474191267454</v>
      </c>
      <c r="G138" s="35" t="s">
        <v>2656</v>
      </c>
      <c r="H138" s="37">
        <v>133.99266900679308</v>
      </c>
      <c r="I138" s="37" t="s">
        <v>2656</v>
      </c>
      <c r="J138" s="35">
        <v>1979</v>
      </c>
      <c r="K138" s="35" t="s">
        <v>19</v>
      </c>
      <c r="L138" s="35" t="s">
        <v>1601</v>
      </c>
      <c r="M138" s="36">
        <v>15839.6</v>
      </c>
      <c r="N138" s="52">
        <v>17842</v>
      </c>
      <c r="O138" s="38">
        <v>1.1264173337710548</v>
      </c>
      <c r="P138" s="35">
        <v>0</v>
      </c>
      <c r="Q138" s="35" t="s">
        <v>1589</v>
      </c>
      <c r="R138" s="53">
        <v>11</v>
      </c>
      <c r="S138" s="53">
        <v>0.66</v>
      </c>
    </row>
    <row r="139" spans="1:19" x14ac:dyDescent="0.3">
      <c r="A139" s="35" t="s">
        <v>1586</v>
      </c>
      <c r="B139" s="35" t="s">
        <v>14</v>
      </c>
      <c r="C139" s="35" t="s">
        <v>17</v>
      </c>
      <c r="D139" s="37">
        <v>195.8739158678855</v>
      </c>
      <c r="E139" s="39" t="s">
        <v>1950</v>
      </c>
      <c r="F139" s="37">
        <v>132.27498608166997</v>
      </c>
      <c r="G139" s="35" t="s">
        <v>1950</v>
      </c>
      <c r="H139" s="37">
        <v>132.46677874609173</v>
      </c>
      <c r="I139" s="37" t="s">
        <v>1950</v>
      </c>
      <c r="J139" s="35">
        <v>2012</v>
      </c>
      <c r="K139" s="35" t="s">
        <v>21</v>
      </c>
      <c r="L139" s="35" t="s">
        <v>1603</v>
      </c>
      <c r="M139" s="36">
        <v>72781.72</v>
      </c>
      <c r="N139" s="52">
        <v>0</v>
      </c>
      <c r="O139" s="38">
        <v>0</v>
      </c>
      <c r="P139" s="35">
        <v>251</v>
      </c>
      <c r="Q139" s="35" t="s">
        <v>1821</v>
      </c>
      <c r="R139" s="53">
        <v>0</v>
      </c>
      <c r="S139" s="53">
        <v>0</v>
      </c>
    </row>
    <row r="140" spans="1:19" x14ac:dyDescent="0.3">
      <c r="A140" s="35" t="s">
        <v>1586</v>
      </c>
      <c r="B140" s="35" t="s">
        <v>14</v>
      </c>
      <c r="C140" s="35" t="s">
        <v>17</v>
      </c>
      <c r="D140" s="37">
        <v>145.85393700040322</v>
      </c>
      <c r="E140" s="39" t="s">
        <v>1950</v>
      </c>
      <c r="F140" s="37">
        <v>121.97443630067126</v>
      </c>
      <c r="G140" s="35" t="s">
        <v>1950</v>
      </c>
      <c r="H140" s="37">
        <v>132.09647406247777</v>
      </c>
      <c r="I140" s="37" t="s">
        <v>1950</v>
      </c>
      <c r="J140" s="35">
        <v>2009</v>
      </c>
      <c r="K140" s="35" t="s">
        <v>1950</v>
      </c>
      <c r="L140" s="35" t="s">
        <v>1950</v>
      </c>
      <c r="M140" s="36">
        <v>42159</v>
      </c>
      <c r="N140" s="52">
        <v>37589</v>
      </c>
      <c r="O140" s="38">
        <v>0.89160084442230603</v>
      </c>
      <c r="P140" s="35">
        <v>0</v>
      </c>
      <c r="Q140" s="35" t="s">
        <v>1821</v>
      </c>
      <c r="R140" s="53">
        <v>0</v>
      </c>
      <c r="S140" s="53">
        <v>0</v>
      </c>
    </row>
    <row r="141" spans="1:19" x14ac:dyDescent="0.3">
      <c r="A141" s="35" t="s">
        <v>1586</v>
      </c>
      <c r="B141" s="35" t="s">
        <v>14</v>
      </c>
      <c r="C141" s="35" t="s">
        <v>17</v>
      </c>
      <c r="D141" s="37">
        <v>118.97436641316285</v>
      </c>
      <c r="E141" s="39" t="s">
        <v>1950</v>
      </c>
      <c r="F141" s="37">
        <v>120.09601094141782</v>
      </c>
      <c r="G141" s="35" t="s">
        <v>1950</v>
      </c>
      <c r="H141" s="37">
        <v>131.65392792755455</v>
      </c>
      <c r="I141" s="37" t="s">
        <v>1950</v>
      </c>
      <c r="J141" s="35">
        <v>2004</v>
      </c>
      <c r="K141" s="35" t="s">
        <v>21</v>
      </c>
      <c r="L141" s="35" t="s">
        <v>1783</v>
      </c>
      <c r="M141" s="36">
        <v>48257</v>
      </c>
      <c r="N141" s="52">
        <v>35268</v>
      </c>
      <c r="O141" s="38">
        <v>0.73083697701887806</v>
      </c>
      <c r="P141" s="35">
        <v>0</v>
      </c>
      <c r="Q141" s="35" t="s">
        <v>1821</v>
      </c>
      <c r="R141" s="53">
        <v>0</v>
      </c>
      <c r="S141" s="53">
        <v>24506</v>
      </c>
    </row>
    <row r="142" spans="1:19" x14ac:dyDescent="0.3">
      <c r="A142" s="35" t="s">
        <v>1586</v>
      </c>
      <c r="B142" s="35" t="s">
        <v>14</v>
      </c>
      <c r="C142" s="35" t="s">
        <v>17</v>
      </c>
      <c r="D142" s="37">
        <v>130.40231204805448</v>
      </c>
      <c r="E142" s="35" t="s">
        <v>2656</v>
      </c>
      <c r="F142" s="37">
        <v>131.01195470023339</v>
      </c>
      <c r="G142" s="35" t="s">
        <v>2656</v>
      </c>
      <c r="H142" s="37">
        <v>131.38419941079695</v>
      </c>
      <c r="I142" s="37" t="s">
        <v>2656</v>
      </c>
      <c r="J142" s="35">
        <v>2002</v>
      </c>
      <c r="K142" s="35" t="s">
        <v>19</v>
      </c>
      <c r="L142" s="35" t="s">
        <v>2572</v>
      </c>
      <c r="M142" s="36">
        <v>26137</v>
      </c>
      <c r="N142" s="52">
        <v>24225</v>
      </c>
      <c r="O142" s="38">
        <v>0.92684699850786245</v>
      </c>
      <c r="P142" s="35">
        <v>0</v>
      </c>
      <c r="Q142" s="35" t="s">
        <v>1589</v>
      </c>
      <c r="R142" s="53">
        <v>3</v>
      </c>
      <c r="S142" s="53">
        <v>0.75</v>
      </c>
    </row>
    <row r="143" spans="1:19" x14ac:dyDescent="0.3">
      <c r="A143" s="35" t="s">
        <v>1586</v>
      </c>
      <c r="B143" s="35" t="s">
        <v>14</v>
      </c>
      <c r="C143" s="35" t="s">
        <v>17</v>
      </c>
      <c r="D143" s="37">
        <v>179.47997569580556</v>
      </c>
      <c r="E143" s="35" t="s">
        <v>2655</v>
      </c>
      <c r="F143" s="37">
        <v>165.40901136809094</v>
      </c>
      <c r="G143" s="35" t="s">
        <v>2655</v>
      </c>
      <c r="H143" s="37">
        <v>131.21245864366915</v>
      </c>
      <c r="I143" s="37" t="s">
        <v>2656</v>
      </c>
      <c r="J143" s="35">
        <v>2013</v>
      </c>
      <c r="K143" s="35" t="s">
        <v>19</v>
      </c>
      <c r="L143" s="35" t="s">
        <v>1818</v>
      </c>
      <c r="M143" s="36">
        <v>25510</v>
      </c>
      <c r="N143" s="52">
        <v>2148</v>
      </c>
      <c r="O143" s="38">
        <v>8.4202273618188939E-2</v>
      </c>
      <c r="P143" s="35">
        <v>0</v>
      </c>
      <c r="Q143" s="35" t="s">
        <v>1589</v>
      </c>
      <c r="R143" s="53">
        <v>10</v>
      </c>
      <c r="S143" s="53">
        <v>0.60299999999999998</v>
      </c>
    </row>
    <row r="144" spans="1:19" x14ac:dyDescent="0.3">
      <c r="A144" s="35" t="s">
        <v>1586</v>
      </c>
      <c r="B144" s="35" t="s">
        <v>14</v>
      </c>
      <c r="C144" s="35" t="s">
        <v>17</v>
      </c>
      <c r="D144" s="37">
        <v>124.06687460351026</v>
      </c>
      <c r="E144" s="35" t="s">
        <v>2656</v>
      </c>
      <c r="F144" s="37">
        <v>124.54461831253965</v>
      </c>
      <c r="G144" s="35" t="s">
        <v>2656</v>
      </c>
      <c r="H144" s="37">
        <v>130.90780291816452</v>
      </c>
      <c r="I144" s="37" t="s">
        <v>2656</v>
      </c>
      <c r="J144" s="35">
        <v>1999</v>
      </c>
      <c r="K144" s="35" t="s">
        <v>25</v>
      </c>
      <c r="L144" s="35" t="s">
        <v>1818</v>
      </c>
      <c r="M144" s="36">
        <v>42561</v>
      </c>
      <c r="N144" s="52">
        <v>34616</v>
      </c>
      <c r="O144" s="38">
        <v>0.81332675454054182</v>
      </c>
      <c r="P144" s="35">
        <v>0</v>
      </c>
      <c r="Q144" s="35" t="s">
        <v>1589</v>
      </c>
      <c r="R144" s="53">
        <v>4</v>
      </c>
      <c r="S144" s="53">
        <v>0.36899999999999999</v>
      </c>
    </row>
    <row r="145" spans="1:19" x14ac:dyDescent="0.3">
      <c r="A145" s="35" t="s">
        <v>1586</v>
      </c>
      <c r="B145" s="35" t="s">
        <v>14</v>
      </c>
      <c r="C145" s="35" t="s">
        <v>17</v>
      </c>
      <c r="D145" s="37">
        <v>131.25676116966008</v>
      </c>
      <c r="E145" s="35" t="s">
        <v>2656</v>
      </c>
      <c r="F145" s="37">
        <v>139.39557666617188</v>
      </c>
      <c r="G145" s="35" t="s">
        <v>2656</v>
      </c>
      <c r="H145" s="37">
        <v>130.15033397654742</v>
      </c>
      <c r="I145" s="37" t="s">
        <v>2656</v>
      </c>
      <c r="J145" s="35">
        <v>2002</v>
      </c>
      <c r="K145" s="35" t="s">
        <v>21</v>
      </c>
      <c r="L145" s="35" t="s">
        <v>1601</v>
      </c>
      <c r="M145" s="36">
        <v>67370</v>
      </c>
      <c r="N145" s="52">
        <v>51680</v>
      </c>
      <c r="O145" s="38">
        <v>0.76710702092919703</v>
      </c>
      <c r="P145" s="35">
        <v>0</v>
      </c>
      <c r="Q145" s="35" t="s">
        <v>1589</v>
      </c>
      <c r="R145" s="53">
        <v>5</v>
      </c>
      <c r="S145" s="53">
        <v>0.62</v>
      </c>
    </row>
    <row r="146" spans="1:19" x14ac:dyDescent="0.3">
      <c r="A146" s="35" t="s">
        <v>1586</v>
      </c>
      <c r="B146" s="35" t="s">
        <v>14</v>
      </c>
      <c r="C146" s="35" t="s">
        <v>17</v>
      </c>
      <c r="D146" s="37">
        <v>196.20115247776366</v>
      </c>
      <c r="E146" s="35" t="s">
        <v>2655</v>
      </c>
      <c r="F146" s="37">
        <v>153.49997204574333</v>
      </c>
      <c r="G146" s="35" t="s">
        <v>2656</v>
      </c>
      <c r="H146" s="37">
        <v>129.82691613722997</v>
      </c>
      <c r="I146" s="37" t="s">
        <v>2656</v>
      </c>
      <c r="J146" s="35">
        <v>2000</v>
      </c>
      <c r="K146" s="35" t="s">
        <v>25</v>
      </c>
      <c r="L146" s="35" t="s">
        <v>1599</v>
      </c>
      <c r="M146" s="36">
        <v>15740</v>
      </c>
      <c r="N146" s="52">
        <v>12800</v>
      </c>
      <c r="O146" s="38">
        <v>0.81321473951715373</v>
      </c>
      <c r="P146" s="35">
        <v>0</v>
      </c>
      <c r="Q146" s="35" t="s">
        <v>1590</v>
      </c>
      <c r="R146" s="53">
        <v>0</v>
      </c>
      <c r="S146" s="53">
        <v>0</v>
      </c>
    </row>
    <row r="147" spans="1:19" x14ac:dyDescent="0.3">
      <c r="A147" s="35" t="s">
        <v>1586</v>
      </c>
      <c r="B147" s="35" t="s">
        <v>14</v>
      </c>
      <c r="C147" s="35" t="s">
        <v>17</v>
      </c>
      <c r="D147" s="37">
        <v>128.76074268154619</v>
      </c>
      <c r="E147" s="35" t="s">
        <v>2656</v>
      </c>
      <c r="F147" s="37">
        <v>131.65897978327672</v>
      </c>
      <c r="G147" s="35" t="s">
        <v>2656</v>
      </c>
      <c r="H147" s="37">
        <v>129.33787643538736</v>
      </c>
      <c r="I147" s="37" t="s">
        <v>2656</v>
      </c>
      <c r="J147" s="35">
        <v>1997</v>
      </c>
      <c r="K147" s="35" t="s">
        <v>25</v>
      </c>
      <c r="L147" s="35" t="s">
        <v>1597</v>
      </c>
      <c r="M147" s="36">
        <v>30915</v>
      </c>
      <c r="N147" s="52">
        <v>25701</v>
      </c>
      <c r="O147" s="38">
        <v>0.8313440077632217</v>
      </c>
      <c r="P147" s="35">
        <v>0</v>
      </c>
      <c r="Q147" s="35" t="s">
        <v>1589</v>
      </c>
      <c r="R147" s="53">
        <v>25</v>
      </c>
      <c r="S147" s="53">
        <v>0</v>
      </c>
    </row>
    <row r="148" spans="1:19" x14ac:dyDescent="0.3">
      <c r="A148" s="35" t="s">
        <v>1586</v>
      </c>
      <c r="B148" s="35" t="s">
        <v>14</v>
      </c>
      <c r="C148" s="35" t="s">
        <v>17</v>
      </c>
      <c r="D148" s="37">
        <v>127.6473050272055</v>
      </c>
      <c r="E148" s="35" t="s">
        <v>2656</v>
      </c>
      <c r="F148" s="37">
        <v>125.37829605171372</v>
      </c>
      <c r="G148" s="35" t="s">
        <v>2656</v>
      </c>
      <c r="H148" s="37">
        <v>128.82546621401664</v>
      </c>
      <c r="I148" s="37" t="s">
        <v>2656</v>
      </c>
      <c r="J148" s="35">
        <v>2000</v>
      </c>
      <c r="K148" s="35" t="s">
        <v>19</v>
      </c>
      <c r="L148" s="35" t="s">
        <v>1601</v>
      </c>
      <c r="M148" s="36">
        <v>26020</v>
      </c>
      <c r="N148" s="52">
        <v>20206</v>
      </c>
      <c r="O148" s="38">
        <v>0.77655649500384316</v>
      </c>
      <c r="P148" s="35">
        <v>0</v>
      </c>
      <c r="Q148" s="35" t="s">
        <v>1589</v>
      </c>
      <c r="R148" s="53">
        <v>3</v>
      </c>
      <c r="S148" s="53">
        <v>0</v>
      </c>
    </row>
    <row r="149" spans="1:19" x14ac:dyDescent="0.3">
      <c r="A149" s="35" t="s">
        <v>1586</v>
      </c>
      <c r="B149" s="35" t="s">
        <v>14</v>
      </c>
      <c r="C149" s="35" t="s">
        <v>17</v>
      </c>
      <c r="D149" s="37">
        <v>113.97036579719092</v>
      </c>
      <c r="E149" s="39" t="s">
        <v>1950</v>
      </c>
      <c r="F149" s="37">
        <v>117.68888276409498</v>
      </c>
      <c r="G149" s="35" t="s">
        <v>1950</v>
      </c>
      <c r="H149" s="37">
        <v>127.3786585231407</v>
      </c>
      <c r="I149" s="37" t="s">
        <v>1950</v>
      </c>
      <c r="J149" s="35">
        <v>2017</v>
      </c>
      <c r="K149" s="35" t="s">
        <v>19</v>
      </c>
      <c r="L149" s="35" t="s">
        <v>1818</v>
      </c>
      <c r="M149" s="36">
        <v>226765</v>
      </c>
      <c r="N149" s="52">
        <v>195173</v>
      </c>
      <c r="O149" s="38">
        <v>0.86068396798447733</v>
      </c>
      <c r="P149" s="35">
        <v>0</v>
      </c>
      <c r="Q149" s="35" t="s">
        <v>1821</v>
      </c>
      <c r="R149" s="53">
        <v>0</v>
      </c>
      <c r="S149" s="53">
        <v>0.32</v>
      </c>
    </row>
    <row r="150" spans="1:19" x14ac:dyDescent="0.3">
      <c r="A150" s="35" t="s">
        <v>1586</v>
      </c>
      <c r="B150" s="35" t="s">
        <v>14</v>
      </c>
      <c r="C150" s="35" t="s">
        <v>17</v>
      </c>
      <c r="D150" s="37">
        <v>182.7730512699589</v>
      </c>
      <c r="E150" s="35" t="s">
        <v>2655</v>
      </c>
      <c r="F150" s="37">
        <v>167.04484268678837</v>
      </c>
      <c r="G150" s="35" t="s">
        <v>2655</v>
      </c>
      <c r="H150" s="37">
        <v>126.85591861483528</v>
      </c>
      <c r="I150" s="37" t="s">
        <v>2656</v>
      </c>
      <c r="J150" s="35">
        <v>1982</v>
      </c>
      <c r="K150" s="35" t="s">
        <v>19</v>
      </c>
      <c r="L150" s="35" t="s">
        <v>1599</v>
      </c>
      <c r="M150" s="36">
        <v>74215</v>
      </c>
      <c r="N150" s="52">
        <v>61495</v>
      </c>
      <c r="O150" s="38">
        <v>0.82860607693862431</v>
      </c>
      <c r="P150" s="35">
        <v>0</v>
      </c>
      <c r="Q150" s="35" t="s">
        <v>1589</v>
      </c>
      <c r="R150" s="53">
        <v>7</v>
      </c>
      <c r="S150" s="53">
        <v>0.63</v>
      </c>
    </row>
    <row r="151" spans="1:19" x14ac:dyDescent="0.3">
      <c r="A151" s="35" t="s">
        <v>1586</v>
      </c>
      <c r="B151" s="35" t="s">
        <v>14</v>
      </c>
      <c r="C151" s="35" t="s">
        <v>17</v>
      </c>
      <c r="D151" s="37">
        <v>129.43065987124464</v>
      </c>
      <c r="E151" s="35" t="s">
        <v>2656</v>
      </c>
      <c r="F151" s="37">
        <v>123.21812410586553</v>
      </c>
      <c r="G151" s="35" t="s">
        <v>2656</v>
      </c>
      <c r="H151" s="37">
        <v>126.74568580114449</v>
      </c>
      <c r="I151" s="37" t="s">
        <v>2656</v>
      </c>
      <c r="J151" s="35">
        <v>1992</v>
      </c>
      <c r="K151" s="35" t="s">
        <v>19</v>
      </c>
      <c r="L151" s="35" t="s">
        <v>1599</v>
      </c>
      <c r="M151" s="36">
        <v>22368</v>
      </c>
      <c r="N151" s="52">
        <v>11813</v>
      </c>
      <c r="O151" s="38">
        <v>0.52812052932761089</v>
      </c>
      <c r="P151" s="35">
        <v>0</v>
      </c>
      <c r="Q151" s="35" t="s">
        <v>1589</v>
      </c>
      <c r="R151" s="53">
        <v>4</v>
      </c>
      <c r="S151" s="53">
        <v>0.63</v>
      </c>
    </row>
    <row r="152" spans="1:19" x14ac:dyDescent="0.3">
      <c r="A152" s="35" t="s">
        <v>1586</v>
      </c>
      <c r="B152" s="35" t="s">
        <v>14</v>
      </c>
      <c r="C152" s="35" t="s">
        <v>17</v>
      </c>
      <c r="D152" s="37">
        <v>127.70125116911076</v>
      </c>
      <c r="E152" s="35" t="s">
        <v>2656</v>
      </c>
      <c r="F152" s="37">
        <v>125.23245204439972</v>
      </c>
      <c r="G152" s="35" t="s">
        <v>2656</v>
      </c>
      <c r="H152" s="37">
        <v>126.31761960223763</v>
      </c>
      <c r="I152" s="37" t="s">
        <v>2656</v>
      </c>
      <c r="J152" s="35">
        <v>2000</v>
      </c>
      <c r="K152" s="35" t="s">
        <v>19</v>
      </c>
      <c r="L152" s="35" t="s">
        <v>1597</v>
      </c>
      <c r="M152" s="36">
        <v>56667</v>
      </c>
      <c r="N152" s="52">
        <v>54238</v>
      </c>
      <c r="O152" s="38">
        <v>0.95713554626149255</v>
      </c>
      <c r="P152" s="35">
        <v>0</v>
      </c>
      <c r="Q152" s="35" t="s">
        <v>1589</v>
      </c>
      <c r="R152" s="53">
        <v>11</v>
      </c>
      <c r="S152" s="53">
        <v>0.59199999999999997</v>
      </c>
    </row>
    <row r="153" spans="1:19" x14ac:dyDescent="0.3">
      <c r="A153" s="35" t="s">
        <v>1586</v>
      </c>
      <c r="B153" s="35" t="s">
        <v>14</v>
      </c>
      <c r="C153" s="35" t="s">
        <v>17</v>
      </c>
      <c r="D153" s="37">
        <v>125.19226639305144</v>
      </c>
      <c r="E153" s="35" t="s">
        <v>2656</v>
      </c>
      <c r="F153" s="37">
        <v>122.21223871337214</v>
      </c>
      <c r="G153" s="35" t="s">
        <v>2656</v>
      </c>
      <c r="H153" s="37">
        <v>126.26280185167509</v>
      </c>
      <c r="I153" s="37" t="s">
        <v>2656</v>
      </c>
      <c r="J153" s="35">
        <v>2002</v>
      </c>
      <c r="K153" s="35" t="s">
        <v>19</v>
      </c>
      <c r="L153" s="35" t="s">
        <v>1599</v>
      </c>
      <c r="M153" s="36">
        <v>41908</v>
      </c>
      <c r="N153" s="52">
        <v>38443</v>
      </c>
      <c r="O153" s="38">
        <v>0.91731888899494129</v>
      </c>
      <c r="P153" s="35">
        <v>0</v>
      </c>
      <c r="Q153" s="35" t="s">
        <v>1589</v>
      </c>
      <c r="R153" s="53">
        <v>8</v>
      </c>
      <c r="S153" s="53">
        <v>0.59</v>
      </c>
    </row>
    <row r="154" spans="1:19" x14ac:dyDescent="0.3">
      <c r="A154" s="35" t="s">
        <v>1586</v>
      </c>
      <c r="B154" s="35" t="s">
        <v>14</v>
      </c>
      <c r="C154" s="35" t="s">
        <v>17</v>
      </c>
      <c r="D154" s="37">
        <v>128.23615164147995</v>
      </c>
      <c r="E154" s="35" t="s">
        <v>2656</v>
      </c>
      <c r="F154" s="37">
        <v>121.51477704161394</v>
      </c>
      <c r="G154" s="35" t="s">
        <v>2656</v>
      </c>
      <c r="H154" s="37">
        <v>125.51179930023078</v>
      </c>
      <c r="I154" s="37" t="s">
        <v>2656</v>
      </c>
      <c r="J154" s="35">
        <v>1992</v>
      </c>
      <c r="K154" s="35" t="s">
        <v>21</v>
      </c>
      <c r="L154" s="35" t="s">
        <v>1601</v>
      </c>
      <c r="M154" s="36">
        <v>26866</v>
      </c>
      <c r="N154" s="52">
        <v>25505</v>
      </c>
      <c r="O154" s="38">
        <v>0.94934117471897561</v>
      </c>
      <c r="P154" s="35">
        <v>0</v>
      </c>
      <c r="Q154" s="35" t="s">
        <v>1589</v>
      </c>
      <c r="R154" s="53">
        <v>3</v>
      </c>
      <c r="S154" s="53">
        <v>0.67900000000000005</v>
      </c>
    </row>
    <row r="155" spans="1:19" x14ac:dyDescent="0.3">
      <c r="A155" s="35" t="s">
        <v>1586</v>
      </c>
      <c r="B155" s="35" t="s">
        <v>14</v>
      </c>
      <c r="C155" s="35" t="s">
        <v>17</v>
      </c>
      <c r="D155" s="37">
        <v>120.4363137327875</v>
      </c>
      <c r="E155" s="35" t="s">
        <v>2657</v>
      </c>
      <c r="F155" s="37">
        <v>115.72683289914403</v>
      </c>
      <c r="G155" s="35" t="s">
        <v>2657</v>
      </c>
      <c r="H155" s="37">
        <v>125.44982818508869</v>
      </c>
      <c r="I155" s="37" t="s">
        <v>2656</v>
      </c>
      <c r="J155" s="35">
        <v>1985</v>
      </c>
      <c r="K155" s="35" t="s">
        <v>47</v>
      </c>
      <c r="L155" s="35" t="s">
        <v>1597</v>
      </c>
      <c r="M155" s="36">
        <v>16122</v>
      </c>
      <c r="N155" s="52">
        <v>11438</v>
      </c>
      <c r="O155" s="38">
        <v>0.70946532688252073</v>
      </c>
      <c r="P155" s="35">
        <v>0</v>
      </c>
      <c r="Q155" s="35" t="s">
        <v>1589</v>
      </c>
      <c r="R155" s="53">
        <v>12</v>
      </c>
      <c r="S155" s="53">
        <v>0</v>
      </c>
    </row>
    <row r="156" spans="1:19" x14ac:dyDescent="0.3">
      <c r="A156" s="35" t="s">
        <v>1586</v>
      </c>
      <c r="B156" s="35" t="s">
        <v>14</v>
      </c>
      <c r="C156" s="35" t="s">
        <v>17</v>
      </c>
      <c r="D156" s="37">
        <v>128.4581387772831</v>
      </c>
      <c r="E156" s="35" t="s">
        <v>2656</v>
      </c>
      <c r="F156" s="37">
        <v>123.77452492127267</v>
      </c>
      <c r="G156" s="35" t="s">
        <v>2656</v>
      </c>
      <c r="H156" s="37">
        <v>122.72218481919862</v>
      </c>
      <c r="I156" s="37" t="s">
        <v>2656</v>
      </c>
      <c r="J156" s="35">
        <v>1997</v>
      </c>
      <c r="K156" s="35" t="s">
        <v>25</v>
      </c>
      <c r="L156" s="35" t="s">
        <v>1601</v>
      </c>
      <c r="M156" s="36">
        <v>36836</v>
      </c>
      <c r="N156" s="52">
        <v>30882</v>
      </c>
      <c r="O156" s="38">
        <v>0.83836464328374416</v>
      </c>
      <c r="P156" s="35">
        <v>0</v>
      </c>
      <c r="Q156" s="35" t="s">
        <v>1589</v>
      </c>
      <c r="R156" s="53">
        <v>5</v>
      </c>
      <c r="S156" s="53">
        <v>0.65</v>
      </c>
    </row>
    <row r="157" spans="1:19" x14ac:dyDescent="0.3">
      <c r="A157" s="35" t="s">
        <v>1586</v>
      </c>
      <c r="B157" s="35" t="s">
        <v>14</v>
      </c>
      <c r="C157" s="35" t="s">
        <v>17</v>
      </c>
      <c r="D157" s="37">
        <v>115.66143975485384</v>
      </c>
      <c r="E157" s="35" t="s">
        <v>2657</v>
      </c>
      <c r="F157" s="37">
        <v>118.68425462641545</v>
      </c>
      <c r="G157" s="35" t="s">
        <v>2657</v>
      </c>
      <c r="H157" s="37">
        <v>122.35230183620214</v>
      </c>
      <c r="I157" s="37" t="s">
        <v>2656</v>
      </c>
      <c r="J157" s="35">
        <v>2000</v>
      </c>
      <c r="K157" s="35" t="s">
        <v>19</v>
      </c>
      <c r="L157" s="35" t="s">
        <v>1783</v>
      </c>
      <c r="M157" s="36">
        <v>41771</v>
      </c>
      <c r="N157" s="52">
        <v>27343</v>
      </c>
      <c r="O157" s="38">
        <v>0.65459289937995258</v>
      </c>
      <c r="P157" s="35">
        <v>0</v>
      </c>
      <c r="Q157" s="35" t="s">
        <v>1589</v>
      </c>
      <c r="R157" s="53">
        <v>6</v>
      </c>
      <c r="S157" s="53">
        <v>0.69099999999999995</v>
      </c>
    </row>
    <row r="158" spans="1:19" x14ac:dyDescent="0.3">
      <c r="A158" s="35" t="s">
        <v>1586</v>
      </c>
      <c r="B158" s="35" t="s">
        <v>14</v>
      </c>
      <c r="C158" s="35" t="s">
        <v>17</v>
      </c>
      <c r="D158" s="37">
        <v>151.76884799321994</v>
      </c>
      <c r="E158" s="35" t="s">
        <v>2656</v>
      </c>
      <c r="F158" s="37">
        <v>116.41664749682185</v>
      </c>
      <c r="G158" s="35" t="s">
        <v>2657</v>
      </c>
      <c r="H158" s="37">
        <v>122.18032568557419</v>
      </c>
      <c r="I158" s="37" t="s">
        <v>2656</v>
      </c>
      <c r="J158" s="35">
        <v>2001</v>
      </c>
      <c r="K158" s="35" t="s">
        <v>1950</v>
      </c>
      <c r="L158" s="35" t="s">
        <v>1950</v>
      </c>
      <c r="M158" s="36">
        <v>12291</v>
      </c>
      <c r="N158" s="52">
        <v>11003</v>
      </c>
      <c r="O158" s="38">
        <v>0.89520787568139293</v>
      </c>
      <c r="P158" s="35">
        <v>0</v>
      </c>
      <c r="Q158" s="35" t="s">
        <v>1589</v>
      </c>
      <c r="R158" s="53">
        <v>2.5</v>
      </c>
      <c r="S158" s="53">
        <v>0.67600000000000005</v>
      </c>
    </row>
    <row r="159" spans="1:19" x14ac:dyDescent="0.3">
      <c r="A159" s="35" t="s">
        <v>1586</v>
      </c>
      <c r="B159" s="35" t="s">
        <v>14</v>
      </c>
      <c r="C159" s="35" t="s">
        <v>17</v>
      </c>
      <c r="D159" s="37">
        <v>116.96446924462136</v>
      </c>
      <c r="E159" s="35" t="s">
        <v>2657</v>
      </c>
      <c r="F159" s="37">
        <v>116.66892237702588</v>
      </c>
      <c r="G159" s="35" t="s">
        <v>2657</v>
      </c>
      <c r="H159" s="37">
        <v>120.58553454648849</v>
      </c>
      <c r="I159" s="37" t="s">
        <v>2657</v>
      </c>
      <c r="J159" s="35">
        <v>1997</v>
      </c>
      <c r="K159" s="35" t="s">
        <v>21</v>
      </c>
      <c r="L159" s="35" t="s">
        <v>1601</v>
      </c>
      <c r="M159" s="36">
        <v>21102</v>
      </c>
      <c r="N159" s="52">
        <v>19862</v>
      </c>
      <c r="O159" s="38">
        <v>0.94123779736517865</v>
      </c>
      <c r="P159" s="35">
        <v>0</v>
      </c>
      <c r="Q159" s="35" t="s">
        <v>1589</v>
      </c>
      <c r="R159" s="53">
        <v>16</v>
      </c>
      <c r="S159" s="53">
        <v>0.63800000000000001</v>
      </c>
    </row>
    <row r="160" spans="1:19" x14ac:dyDescent="0.3">
      <c r="A160" s="35" t="s">
        <v>1586</v>
      </c>
      <c r="B160" s="35" t="s">
        <v>14</v>
      </c>
      <c r="C160" s="35" t="s">
        <v>17</v>
      </c>
      <c r="D160" s="37">
        <v>126.45226410321276</v>
      </c>
      <c r="E160" s="35" t="s">
        <v>2656</v>
      </c>
      <c r="F160" s="37">
        <v>124.13450543890715</v>
      </c>
      <c r="G160" s="35" t="s">
        <v>2656</v>
      </c>
      <c r="H160" s="37">
        <v>120.29020996711358</v>
      </c>
      <c r="I160" s="37" t="s">
        <v>2657</v>
      </c>
      <c r="J160" s="35">
        <v>1999</v>
      </c>
      <c r="K160" s="35" t="s">
        <v>19</v>
      </c>
      <c r="L160" s="35" t="s">
        <v>1818</v>
      </c>
      <c r="M160" s="36">
        <v>19765</v>
      </c>
      <c r="N160" s="52">
        <v>16269</v>
      </c>
      <c r="O160" s="38">
        <v>0.82312167973690864</v>
      </c>
      <c r="P160" s="35">
        <v>0</v>
      </c>
      <c r="Q160" s="35" t="s">
        <v>1589</v>
      </c>
      <c r="R160" s="53">
        <v>9</v>
      </c>
      <c r="S160" s="53">
        <v>0</v>
      </c>
    </row>
    <row r="161" spans="1:19" x14ac:dyDescent="0.3">
      <c r="A161" s="35" t="s">
        <v>1586</v>
      </c>
      <c r="B161" s="35" t="s">
        <v>14</v>
      </c>
      <c r="C161" s="35" t="s">
        <v>17</v>
      </c>
      <c r="D161" s="37">
        <v>119.65272492046658</v>
      </c>
      <c r="E161" s="35" t="s">
        <v>2657</v>
      </c>
      <c r="F161" s="37">
        <v>117.53799278897138</v>
      </c>
      <c r="G161" s="35" t="s">
        <v>2657</v>
      </c>
      <c r="H161" s="37">
        <v>120.0632309650053</v>
      </c>
      <c r="I161" s="37" t="s">
        <v>2657</v>
      </c>
      <c r="J161" s="35">
        <v>1995</v>
      </c>
      <c r="K161" s="35" t="s">
        <v>19</v>
      </c>
      <c r="L161" s="35" t="s">
        <v>1783</v>
      </c>
      <c r="M161" s="36">
        <v>23575</v>
      </c>
      <c r="N161" s="52">
        <v>19806</v>
      </c>
      <c r="O161" s="38">
        <v>0.84012725344644745</v>
      </c>
      <c r="P161" s="35">
        <v>0</v>
      </c>
      <c r="Q161" s="35" t="s">
        <v>1589</v>
      </c>
      <c r="R161" s="53">
        <v>9</v>
      </c>
      <c r="S161" s="53">
        <v>0.61</v>
      </c>
    </row>
    <row r="162" spans="1:19" x14ac:dyDescent="0.3">
      <c r="A162" s="35" t="s">
        <v>1586</v>
      </c>
      <c r="B162" s="35" t="s">
        <v>14</v>
      </c>
      <c r="C162" s="35" t="s">
        <v>17</v>
      </c>
      <c r="D162" s="37">
        <v>116.42712133527399</v>
      </c>
      <c r="E162" s="35" t="s">
        <v>2657</v>
      </c>
      <c r="F162" s="37">
        <v>110.47348921611251</v>
      </c>
      <c r="G162" s="35" t="s">
        <v>2657</v>
      </c>
      <c r="H162" s="37">
        <v>118.61712946335747</v>
      </c>
      <c r="I162" s="37" t="s">
        <v>2657</v>
      </c>
      <c r="J162" s="35">
        <v>1997</v>
      </c>
      <c r="K162" s="35" t="s">
        <v>1950</v>
      </c>
      <c r="L162" s="35" t="s">
        <v>1950</v>
      </c>
      <c r="M162" s="36">
        <v>52903</v>
      </c>
      <c r="N162" s="52">
        <v>352002</v>
      </c>
      <c r="O162" s="38">
        <v>6.6537247415080429</v>
      </c>
      <c r="P162" s="35">
        <v>0</v>
      </c>
      <c r="Q162" s="35" t="s">
        <v>1590</v>
      </c>
      <c r="R162" s="53">
        <v>0</v>
      </c>
      <c r="S162" s="53">
        <v>0</v>
      </c>
    </row>
    <row r="163" spans="1:19" x14ac:dyDescent="0.3">
      <c r="A163" s="35" t="s">
        <v>1586</v>
      </c>
      <c r="B163" s="35" t="s">
        <v>14</v>
      </c>
      <c r="C163" s="35" t="s">
        <v>17</v>
      </c>
      <c r="D163" s="37">
        <v>580.14989216391086</v>
      </c>
      <c r="E163" s="35" t="s">
        <v>2654</v>
      </c>
      <c r="F163" s="37">
        <v>171.11295830337886</v>
      </c>
      <c r="G163" s="35" t="s">
        <v>2655</v>
      </c>
      <c r="H163" s="37">
        <v>118.37571890726096</v>
      </c>
      <c r="I163" s="37" t="s">
        <v>2657</v>
      </c>
      <c r="J163" s="35">
        <v>1996</v>
      </c>
      <c r="K163" s="35" t="s">
        <v>1950</v>
      </c>
      <c r="L163" s="35" t="s">
        <v>1950</v>
      </c>
      <c r="M163" s="36">
        <v>16692</v>
      </c>
      <c r="N163" s="52">
        <v>15504</v>
      </c>
      <c r="O163" s="38">
        <v>0.92882818116462973</v>
      </c>
      <c r="P163" s="35">
        <v>0</v>
      </c>
      <c r="Q163" s="35" t="s">
        <v>1589</v>
      </c>
      <c r="R163" s="53">
        <v>11</v>
      </c>
      <c r="S163" s="53">
        <v>0</v>
      </c>
    </row>
    <row r="164" spans="1:19" x14ac:dyDescent="0.3">
      <c r="A164" s="35" t="s">
        <v>1586</v>
      </c>
      <c r="B164" s="35" t="s">
        <v>14</v>
      </c>
      <c r="C164" s="35" t="s">
        <v>17</v>
      </c>
      <c r="D164" s="37">
        <v>110.67829096679063</v>
      </c>
      <c r="E164" s="35" t="s">
        <v>2657</v>
      </c>
      <c r="F164" s="37">
        <v>121.51745095525067</v>
      </c>
      <c r="G164" s="35" t="s">
        <v>2656</v>
      </c>
      <c r="H164" s="37">
        <v>117.00378189511476</v>
      </c>
      <c r="I164" s="37" t="s">
        <v>2657</v>
      </c>
      <c r="J164" s="35">
        <v>1992</v>
      </c>
      <c r="K164" s="35" t="s">
        <v>19</v>
      </c>
      <c r="L164" s="35" t="s">
        <v>1601</v>
      </c>
      <c r="M164" s="36">
        <v>62392</v>
      </c>
      <c r="N164" s="52">
        <v>58287</v>
      </c>
      <c r="O164" s="38">
        <v>0.93420630850108988</v>
      </c>
      <c r="P164" s="35">
        <v>0</v>
      </c>
      <c r="Q164" s="35" t="s">
        <v>1589</v>
      </c>
      <c r="R164" s="53">
        <v>9</v>
      </c>
      <c r="S164" s="53">
        <v>0.65</v>
      </c>
    </row>
    <row r="165" spans="1:19" x14ac:dyDescent="0.3">
      <c r="A165" s="35" t="s">
        <v>1586</v>
      </c>
      <c r="B165" s="35" t="s">
        <v>14</v>
      </c>
      <c r="C165" s="35" t="s">
        <v>17</v>
      </c>
      <c r="D165" s="37">
        <v>122.5276998579362</v>
      </c>
      <c r="E165" s="35" t="s">
        <v>2657</v>
      </c>
      <c r="F165" s="37">
        <v>120.73207628395542</v>
      </c>
      <c r="G165" s="35" t="s">
        <v>2657</v>
      </c>
      <c r="H165" s="37">
        <v>116.42705325240001</v>
      </c>
      <c r="I165" s="37" t="s">
        <v>2657</v>
      </c>
      <c r="J165" s="35">
        <v>1998</v>
      </c>
      <c r="K165" s="35" t="s">
        <v>47</v>
      </c>
      <c r="L165" s="35" t="s">
        <v>1818</v>
      </c>
      <c r="M165" s="36">
        <v>23229</v>
      </c>
      <c r="N165" s="52">
        <v>14631</v>
      </c>
      <c r="O165" s="38">
        <v>0.62985922768952607</v>
      </c>
      <c r="P165" s="35">
        <v>0</v>
      </c>
      <c r="Q165" s="35" t="s">
        <v>1590</v>
      </c>
      <c r="R165" s="53">
        <v>0</v>
      </c>
      <c r="S165" s="53">
        <v>0.88200000000000001</v>
      </c>
    </row>
    <row r="166" spans="1:19" x14ac:dyDescent="0.3">
      <c r="A166" s="35" t="s">
        <v>1586</v>
      </c>
      <c r="B166" s="35" t="s">
        <v>14</v>
      </c>
      <c r="C166" s="35" t="s">
        <v>17</v>
      </c>
      <c r="D166" s="37">
        <v>123.52416375273501</v>
      </c>
      <c r="E166" s="39" t="s">
        <v>1950</v>
      </c>
      <c r="F166" s="37">
        <v>118.12589943357258</v>
      </c>
      <c r="G166" s="35" t="s">
        <v>1950</v>
      </c>
      <c r="H166" s="37">
        <v>116.2012171032452</v>
      </c>
      <c r="I166" s="37" t="s">
        <v>1950</v>
      </c>
      <c r="J166" s="35">
        <v>1990</v>
      </c>
      <c r="K166" s="35" t="s">
        <v>21</v>
      </c>
      <c r="L166" s="35" t="s">
        <v>1818</v>
      </c>
      <c r="M166" s="36">
        <v>13207</v>
      </c>
      <c r="N166" s="52">
        <v>10564</v>
      </c>
      <c r="O166" s="38">
        <v>0.79987885212387366</v>
      </c>
      <c r="P166" s="35">
        <v>0</v>
      </c>
      <c r="Q166" s="35" t="s">
        <v>1821</v>
      </c>
      <c r="R166" s="53">
        <v>0</v>
      </c>
      <c r="S166" s="53">
        <v>0.59</v>
      </c>
    </row>
    <row r="167" spans="1:19" x14ac:dyDescent="0.3">
      <c r="A167" s="35" t="s">
        <v>1586</v>
      </c>
      <c r="B167" s="35" t="s">
        <v>14</v>
      </c>
      <c r="C167" s="35" t="s">
        <v>17</v>
      </c>
      <c r="D167" s="37">
        <v>144.8529171766626</v>
      </c>
      <c r="E167" s="35" t="s">
        <v>2656</v>
      </c>
      <c r="F167" s="37">
        <v>143.97137222902217</v>
      </c>
      <c r="G167" s="35" t="s">
        <v>2656</v>
      </c>
      <c r="H167" s="37">
        <v>116.15036379708962</v>
      </c>
      <c r="I167" s="37" t="s">
        <v>2657</v>
      </c>
      <c r="J167" s="35">
        <v>2005</v>
      </c>
      <c r="K167" s="35" t="s">
        <v>19</v>
      </c>
      <c r="L167" s="35" t="s">
        <v>1599</v>
      </c>
      <c r="M167" s="36">
        <v>58824</v>
      </c>
      <c r="N167" s="52">
        <v>43516</v>
      </c>
      <c r="O167" s="38">
        <v>0.73976608187134507</v>
      </c>
      <c r="P167" s="35">
        <v>0</v>
      </c>
      <c r="Q167" s="35" t="s">
        <v>1589</v>
      </c>
      <c r="R167" s="53">
        <v>0.6</v>
      </c>
      <c r="S167" s="53">
        <v>0.83</v>
      </c>
    </row>
    <row r="168" spans="1:19" x14ac:dyDescent="0.3">
      <c r="A168" s="35" t="s">
        <v>1586</v>
      </c>
      <c r="B168" s="35" t="s">
        <v>14</v>
      </c>
      <c r="C168" s="35" t="s">
        <v>17</v>
      </c>
      <c r="D168" s="37">
        <v>130.14368469851016</v>
      </c>
      <c r="E168" s="35" t="s">
        <v>2656</v>
      </c>
      <c r="F168" s="37">
        <v>118.37872785983758</v>
      </c>
      <c r="G168" s="35" t="s">
        <v>2657</v>
      </c>
      <c r="H168" s="37">
        <v>116.08007737067588</v>
      </c>
      <c r="I168" s="37" t="s">
        <v>2657</v>
      </c>
      <c r="J168" s="35">
        <v>1999</v>
      </c>
      <c r="K168" s="35" t="s">
        <v>19</v>
      </c>
      <c r="L168" s="35" t="s">
        <v>1599</v>
      </c>
      <c r="M168" s="36">
        <v>31278</v>
      </c>
      <c r="N168" s="52">
        <v>25585</v>
      </c>
      <c r="O168" s="38">
        <v>0.81798708357311845</v>
      </c>
      <c r="P168" s="35">
        <v>0</v>
      </c>
      <c r="Q168" s="35" t="s">
        <v>1589</v>
      </c>
      <c r="R168" s="53">
        <v>2</v>
      </c>
      <c r="S168" s="53">
        <v>0</v>
      </c>
    </row>
    <row r="169" spans="1:19" x14ac:dyDescent="0.3">
      <c r="A169" s="35" t="s">
        <v>1586</v>
      </c>
      <c r="B169" s="35" t="s">
        <v>14</v>
      </c>
      <c r="C169" s="35" t="s">
        <v>17</v>
      </c>
      <c r="D169" s="37">
        <v>107.79466760299623</v>
      </c>
      <c r="E169" s="39" t="s">
        <v>1950</v>
      </c>
      <c r="F169" s="37">
        <v>106.60274598158551</v>
      </c>
      <c r="G169" s="35" t="s">
        <v>1950</v>
      </c>
      <c r="H169" s="37">
        <v>115.90108302122347</v>
      </c>
      <c r="I169" s="37" t="s">
        <v>1950</v>
      </c>
      <c r="J169" s="35">
        <v>2010</v>
      </c>
      <c r="K169" s="35" t="s">
        <v>19</v>
      </c>
      <c r="L169" s="35" t="s">
        <v>1603</v>
      </c>
      <c r="M169" s="36">
        <v>51264</v>
      </c>
      <c r="N169" s="52">
        <v>41113</v>
      </c>
      <c r="O169" s="38">
        <v>0.80198579900124844</v>
      </c>
      <c r="P169" s="35">
        <v>0</v>
      </c>
      <c r="Q169" s="35" t="s">
        <v>1821</v>
      </c>
      <c r="R169" s="53">
        <v>0</v>
      </c>
      <c r="S169" s="53">
        <v>0</v>
      </c>
    </row>
    <row r="170" spans="1:19" x14ac:dyDescent="0.3">
      <c r="A170" s="35" t="s">
        <v>1586</v>
      </c>
      <c r="B170" s="35" t="s">
        <v>14</v>
      </c>
      <c r="C170" s="35" t="s">
        <v>17</v>
      </c>
      <c r="D170" s="37">
        <v>116.54781671745755</v>
      </c>
      <c r="E170" s="35" t="s">
        <v>2657</v>
      </c>
      <c r="F170" s="37">
        <v>108.4524060368597</v>
      </c>
      <c r="G170" s="35" t="s">
        <v>2657</v>
      </c>
      <c r="H170" s="37">
        <v>114.64304817878391</v>
      </c>
      <c r="I170" s="37" t="s">
        <v>2657</v>
      </c>
      <c r="J170" s="35">
        <v>1985</v>
      </c>
      <c r="K170" s="35" t="s">
        <v>19</v>
      </c>
      <c r="L170" s="35" t="s">
        <v>1818</v>
      </c>
      <c r="M170" s="36">
        <v>55128</v>
      </c>
      <c r="N170" s="52">
        <v>40706</v>
      </c>
      <c r="O170" s="38">
        <v>0.73839065447685381</v>
      </c>
      <c r="P170" s="35">
        <v>0</v>
      </c>
      <c r="Q170" s="35" t="s">
        <v>1589</v>
      </c>
      <c r="R170" s="53">
        <v>5</v>
      </c>
      <c r="S170" s="53">
        <v>0.54200000000000004</v>
      </c>
    </row>
    <row r="171" spans="1:19" x14ac:dyDescent="0.3">
      <c r="A171" s="35" t="s">
        <v>1586</v>
      </c>
      <c r="B171" s="35" t="s">
        <v>14</v>
      </c>
      <c r="C171" s="35" t="s">
        <v>17</v>
      </c>
      <c r="D171" s="37">
        <v>108.6566461626018</v>
      </c>
      <c r="E171" s="35" t="s">
        <v>2657</v>
      </c>
      <c r="F171" s="37">
        <v>106.56819603865075</v>
      </c>
      <c r="G171" s="35" t="s">
        <v>2657</v>
      </c>
      <c r="H171" s="37">
        <v>113.41262701599842</v>
      </c>
      <c r="I171" s="37" t="s">
        <v>2657</v>
      </c>
      <c r="J171" s="35">
        <v>1996</v>
      </c>
      <c r="K171" s="35" t="s">
        <v>19</v>
      </c>
      <c r="L171" s="35" t="s">
        <v>1601</v>
      </c>
      <c r="M171" s="36">
        <v>24388.66</v>
      </c>
      <c r="N171" s="52">
        <v>19990</v>
      </c>
      <c r="O171" s="38">
        <v>0.81964322763120234</v>
      </c>
      <c r="P171" s="35">
        <v>0</v>
      </c>
      <c r="Q171" s="35" t="s">
        <v>1589</v>
      </c>
      <c r="R171" s="53">
        <v>10</v>
      </c>
      <c r="S171" s="53">
        <v>0.57499999999999996</v>
      </c>
    </row>
    <row r="172" spans="1:19" x14ac:dyDescent="0.3">
      <c r="A172" s="35" t="s">
        <v>1586</v>
      </c>
      <c r="B172" s="35" t="s">
        <v>14</v>
      </c>
      <c r="C172" s="35" t="s">
        <v>17</v>
      </c>
      <c r="D172" s="37">
        <v>35.544588155207627</v>
      </c>
      <c r="E172" s="35" t="s">
        <v>2657</v>
      </c>
      <c r="F172" s="37">
        <v>86.811900298476189</v>
      </c>
      <c r="G172" s="35" t="s">
        <v>2657</v>
      </c>
      <c r="H172" s="37">
        <v>111.4915269414044</v>
      </c>
      <c r="I172" s="37" t="s">
        <v>2657</v>
      </c>
      <c r="J172" s="35">
        <v>2020</v>
      </c>
      <c r="K172" s="35" t="s">
        <v>1950</v>
      </c>
      <c r="L172" s="35" t="s">
        <v>1950</v>
      </c>
      <c r="M172" s="36">
        <v>19097</v>
      </c>
      <c r="N172" s="52">
        <v>15880</v>
      </c>
      <c r="O172" s="38">
        <v>0.8315442216054878</v>
      </c>
      <c r="P172" s="35">
        <v>0</v>
      </c>
      <c r="Q172" s="35" t="s">
        <v>1589</v>
      </c>
      <c r="R172" s="53">
        <v>3</v>
      </c>
      <c r="S172" s="53">
        <v>0.495</v>
      </c>
    </row>
    <row r="173" spans="1:19" x14ac:dyDescent="0.3">
      <c r="A173" s="35" t="s">
        <v>1586</v>
      </c>
      <c r="B173" s="35" t="s">
        <v>14</v>
      </c>
      <c r="C173" s="35" t="s">
        <v>17</v>
      </c>
      <c r="D173" s="37">
        <v>137.42628101464678</v>
      </c>
      <c r="E173" s="35" t="s">
        <v>2656</v>
      </c>
      <c r="F173" s="37">
        <v>112.52722820311416</v>
      </c>
      <c r="G173" s="35" t="s">
        <v>2657</v>
      </c>
      <c r="H173" s="37">
        <v>111.15912766252367</v>
      </c>
      <c r="I173" s="37" t="s">
        <v>2657</v>
      </c>
      <c r="J173" s="35">
        <v>1996</v>
      </c>
      <c r="K173" s="35" t="s">
        <v>19</v>
      </c>
      <c r="L173" s="35" t="s">
        <v>1818</v>
      </c>
      <c r="M173" s="36">
        <v>86572</v>
      </c>
      <c r="N173" s="52">
        <v>83381</v>
      </c>
      <c r="O173" s="38">
        <v>0.96314050732338397</v>
      </c>
      <c r="P173" s="35">
        <v>0</v>
      </c>
      <c r="Q173" s="35" t="s">
        <v>1589</v>
      </c>
      <c r="R173" s="53">
        <v>10</v>
      </c>
      <c r="S173" s="53">
        <v>0.61199999999999999</v>
      </c>
    </row>
    <row r="174" spans="1:19" x14ac:dyDescent="0.3">
      <c r="A174" s="35" t="s">
        <v>1586</v>
      </c>
      <c r="B174" s="35" t="s">
        <v>14</v>
      </c>
      <c r="C174" s="35" t="s">
        <v>17</v>
      </c>
      <c r="D174" s="37">
        <v>121.99931892005905</v>
      </c>
      <c r="E174" s="39" t="s">
        <v>1950</v>
      </c>
      <c r="F174" s="37">
        <v>111.94946150601139</v>
      </c>
      <c r="G174" s="35" t="s">
        <v>1950</v>
      </c>
      <c r="H174" s="37">
        <v>110.70700084370387</v>
      </c>
      <c r="I174" s="37" t="s">
        <v>1950</v>
      </c>
      <c r="J174" s="35">
        <v>2002</v>
      </c>
      <c r="K174" s="35" t="s">
        <v>25</v>
      </c>
      <c r="L174" s="35" t="s">
        <v>1783</v>
      </c>
      <c r="M174" s="36">
        <v>47410</v>
      </c>
      <c r="N174" s="52">
        <v>32745</v>
      </c>
      <c r="O174" s="38">
        <v>0.690677072347606</v>
      </c>
      <c r="P174" s="35">
        <v>0</v>
      </c>
      <c r="Q174" s="35" t="s">
        <v>1821</v>
      </c>
      <c r="R174" s="53">
        <v>0</v>
      </c>
      <c r="S174" s="53">
        <v>0</v>
      </c>
    </row>
    <row r="175" spans="1:19" x14ac:dyDescent="0.3">
      <c r="A175" s="35" t="s">
        <v>1586</v>
      </c>
      <c r="B175" s="35" t="s">
        <v>14</v>
      </c>
      <c r="C175" s="35" t="s">
        <v>17</v>
      </c>
      <c r="D175" s="37">
        <v>129.10284118877678</v>
      </c>
      <c r="E175" s="39" t="s">
        <v>1950</v>
      </c>
      <c r="F175" s="37">
        <v>115.50069222249569</v>
      </c>
      <c r="G175" s="35" t="s">
        <v>1950</v>
      </c>
      <c r="H175" s="37">
        <v>109.54987478464189</v>
      </c>
      <c r="I175" s="37" t="s">
        <v>1950</v>
      </c>
      <c r="J175" s="35">
        <v>2009</v>
      </c>
      <c r="K175" s="35" t="s">
        <v>25</v>
      </c>
      <c r="L175" s="35" t="s">
        <v>1818</v>
      </c>
      <c r="M175" s="36">
        <v>32504</v>
      </c>
      <c r="N175" s="52">
        <v>32504</v>
      </c>
      <c r="O175" s="38">
        <v>1</v>
      </c>
      <c r="P175" s="35">
        <v>0</v>
      </c>
      <c r="Q175" s="35" t="s">
        <v>1821</v>
      </c>
      <c r="R175" s="53">
        <v>0</v>
      </c>
      <c r="S175" s="53">
        <v>0</v>
      </c>
    </row>
    <row r="176" spans="1:19" x14ac:dyDescent="0.3">
      <c r="A176" s="35" t="s">
        <v>1586</v>
      </c>
      <c r="B176" s="35" t="s">
        <v>14</v>
      </c>
      <c r="C176" s="35" t="s">
        <v>17</v>
      </c>
      <c r="D176" s="37">
        <v>101.5154850996297</v>
      </c>
      <c r="E176" s="35" t="s">
        <v>2657</v>
      </c>
      <c r="F176" s="37">
        <v>92.300747310879913</v>
      </c>
      <c r="G176" s="35" t="s">
        <v>2657</v>
      </c>
      <c r="H176" s="37">
        <v>107.22704249691412</v>
      </c>
      <c r="I176" s="37" t="s">
        <v>2657</v>
      </c>
      <c r="J176" s="35">
        <v>2000</v>
      </c>
      <c r="K176" s="35" t="s">
        <v>21</v>
      </c>
      <c r="L176" s="35" t="s">
        <v>1818</v>
      </c>
      <c r="M176" s="36">
        <v>28355</v>
      </c>
      <c r="N176" s="52">
        <v>27042</v>
      </c>
      <c r="O176" s="38">
        <v>0.95369423382119556</v>
      </c>
      <c r="P176" s="35">
        <v>0</v>
      </c>
      <c r="Q176" s="35" t="s">
        <v>1589</v>
      </c>
      <c r="R176" s="53">
        <v>8</v>
      </c>
      <c r="S176" s="53">
        <v>0.61799999999999999</v>
      </c>
    </row>
    <row r="177" spans="1:19" x14ac:dyDescent="0.3">
      <c r="A177" s="35" t="s">
        <v>1586</v>
      </c>
      <c r="B177" s="35" t="s">
        <v>14</v>
      </c>
      <c r="C177" s="35" t="s">
        <v>17</v>
      </c>
      <c r="D177" s="37">
        <v>124.31016270248143</v>
      </c>
      <c r="E177" s="35" t="s">
        <v>2656</v>
      </c>
      <c r="F177" s="37">
        <v>116.39034219127986</v>
      </c>
      <c r="G177" s="35" t="s">
        <v>2657</v>
      </c>
      <c r="H177" s="37">
        <v>107.0895206014025</v>
      </c>
      <c r="I177" s="37" t="s">
        <v>2657</v>
      </c>
      <c r="J177" s="35">
        <v>1986</v>
      </c>
      <c r="K177" s="35" t="s">
        <v>47</v>
      </c>
      <c r="L177" s="35" t="s">
        <v>1601</v>
      </c>
      <c r="M177" s="36">
        <v>33735.81</v>
      </c>
      <c r="N177" s="52">
        <v>27000</v>
      </c>
      <c r="O177" s="38">
        <v>0.80033649703386411</v>
      </c>
      <c r="P177" s="35">
        <v>0</v>
      </c>
      <c r="Q177" s="35" t="s">
        <v>1589</v>
      </c>
      <c r="R177" s="53">
        <v>3</v>
      </c>
      <c r="S177" s="53">
        <v>0.69</v>
      </c>
    </row>
    <row r="178" spans="1:19" x14ac:dyDescent="0.3">
      <c r="A178" s="35" t="s">
        <v>1586</v>
      </c>
      <c r="B178" s="35" t="s">
        <v>14</v>
      </c>
      <c r="C178" s="35" t="s">
        <v>17</v>
      </c>
      <c r="D178" s="37">
        <v>138.6674125301262</v>
      </c>
      <c r="E178" s="35" t="s">
        <v>2656</v>
      </c>
      <c r="F178" s="37">
        <v>120.89996557005306</v>
      </c>
      <c r="G178" s="35" t="s">
        <v>2657</v>
      </c>
      <c r="H178" s="37">
        <v>106.50164052760925</v>
      </c>
      <c r="I178" s="37" t="s">
        <v>2657</v>
      </c>
      <c r="J178" s="35">
        <v>1970</v>
      </c>
      <c r="K178" s="35" t="s">
        <v>19</v>
      </c>
      <c r="L178" s="35" t="s">
        <v>1599</v>
      </c>
      <c r="M178" s="36">
        <v>43687</v>
      </c>
      <c r="N178" s="52">
        <v>24638</v>
      </c>
      <c r="O178" s="38">
        <v>0.56396639732643583</v>
      </c>
      <c r="P178" s="35">
        <v>0</v>
      </c>
      <c r="Q178" s="35" t="s">
        <v>1589</v>
      </c>
      <c r="R178" s="53">
        <v>2</v>
      </c>
      <c r="S178" s="53">
        <v>0.57999999999999996</v>
      </c>
    </row>
    <row r="179" spans="1:19" x14ac:dyDescent="0.3">
      <c r="A179" s="35" t="s">
        <v>1586</v>
      </c>
      <c r="B179" s="35" t="s">
        <v>14</v>
      </c>
      <c r="C179" s="35" t="s">
        <v>17</v>
      </c>
      <c r="D179" s="37">
        <v>105.73278620279511</v>
      </c>
      <c r="E179" s="35" t="s">
        <v>2657</v>
      </c>
      <c r="F179" s="37">
        <v>103.3980808801665</v>
      </c>
      <c r="G179" s="35" t="s">
        <v>2657</v>
      </c>
      <c r="H179" s="37">
        <v>106.32703716919417</v>
      </c>
      <c r="I179" s="37" t="s">
        <v>2657</v>
      </c>
      <c r="J179" s="35">
        <v>1985</v>
      </c>
      <c r="K179" s="35" t="s">
        <v>1950</v>
      </c>
      <c r="L179" s="35" t="s">
        <v>1950</v>
      </c>
      <c r="M179" s="36">
        <v>16815</v>
      </c>
      <c r="N179" s="52">
        <v>0</v>
      </c>
      <c r="O179" s="38">
        <v>0</v>
      </c>
      <c r="P179" s="35">
        <v>0</v>
      </c>
      <c r="Q179" s="35" t="s">
        <v>1589</v>
      </c>
      <c r="R179" s="53">
        <v>8</v>
      </c>
      <c r="S179" s="53">
        <v>0</v>
      </c>
    </row>
    <row r="180" spans="1:19" x14ac:dyDescent="0.3">
      <c r="A180" s="35" t="s">
        <v>1586</v>
      </c>
      <c r="B180" s="35" t="s">
        <v>14</v>
      </c>
      <c r="C180" s="35" t="s">
        <v>17</v>
      </c>
      <c r="D180" s="37">
        <v>98.394222547941865</v>
      </c>
      <c r="E180" s="35" t="s">
        <v>2657</v>
      </c>
      <c r="F180" s="37">
        <v>97.094468873417213</v>
      </c>
      <c r="G180" s="35" t="s">
        <v>2657</v>
      </c>
      <c r="H180" s="37">
        <v>106.31471642034118</v>
      </c>
      <c r="I180" s="37" t="s">
        <v>2657</v>
      </c>
      <c r="J180" s="35">
        <v>1986</v>
      </c>
      <c r="K180" s="35" t="s">
        <v>19</v>
      </c>
      <c r="L180" s="35" t="s">
        <v>1783</v>
      </c>
      <c r="M180" s="36">
        <v>49122</v>
      </c>
      <c r="N180" s="52">
        <v>30300</v>
      </c>
      <c r="O180" s="38">
        <v>0.61683156223280811</v>
      </c>
      <c r="P180" s="35">
        <v>0</v>
      </c>
      <c r="Q180" s="35" t="s">
        <v>1589</v>
      </c>
      <c r="R180" s="53">
        <v>4</v>
      </c>
      <c r="S180" s="53">
        <v>0.57999999999999996</v>
      </c>
    </row>
    <row r="181" spans="1:19" x14ac:dyDescent="0.3">
      <c r="A181" s="35" t="s">
        <v>1586</v>
      </c>
      <c r="B181" s="35" t="s">
        <v>14</v>
      </c>
      <c r="C181" s="35" t="s">
        <v>17</v>
      </c>
      <c r="D181" s="37">
        <v>103.67295599225019</v>
      </c>
      <c r="E181" s="35" t="s">
        <v>2657</v>
      </c>
      <c r="F181" s="37">
        <v>103.72616246886244</v>
      </c>
      <c r="G181" s="35" t="s">
        <v>2657</v>
      </c>
      <c r="H181" s="37">
        <v>104.24680597841129</v>
      </c>
      <c r="I181" s="37" t="s">
        <v>2657</v>
      </c>
      <c r="J181" s="35">
        <v>2017</v>
      </c>
      <c r="K181" s="35" t="s">
        <v>25</v>
      </c>
      <c r="L181" s="35" t="s">
        <v>1783</v>
      </c>
      <c r="M181" s="36">
        <v>21678</v>
      </c>
      <c r="N181" s="52">
        <v>13750</v>
      </c>
      <c r="O181" s="38">
        <v>0.63428360549866225</v>
      </c>
      <c r="P181" s="35">
        <v>0</v>
      </c>
      <c r="Q181" s="35" t="s">
        <v>28</v>
      </c>
      <c r="R181" s="53">
        <v>0</v>
      </c>
      <c r="S181" s="53">
        <v>0</v>
      </c>
    </row>
    <row r="182" spans="1:19" x14ac:dyDescent="0.3">
      <c r="A182" s="35" t="s">
        <v>1586</v>
      </c>
      <c r="B182" s="35" t="s">
        <v>14</v>
      </c>
      <c r="C182" s="35" t="s">
        <v>17</v>
      </c>
      <c r="D182" s="37">
        <v>144.72188130944738</v>
      </c>
      <c r="E182" s="35" t="s">
        <v>2656</v>
      </c>
      <c r="F182" s="37">
        <v>108.54570519927643</v>
      </c>
      <c r="G182" s="35" t="s">
        <v>2657</v>
      </c>
      <c r="H182" s="37">
        <v>103.66396568827682</v>
      </c>
      <c r="I182" s="37" t="s">
        <v>2657</v>
      </c>
      <c r="J182" s="35">
        <v>1926</v>
      </c>
      <c r="K182" s="35" t="s">
        <v>19</v>
      </c>
      <c r="L182" s="35" t="s">
        <v>1818</v>
      </c>
      <c r="M182" s="36">
        <v>11277</v>
      </c>
      <c r="N182" s="52">
        <v>6555</v>
      </c>
      <c r="O182" s="38">
        <v>0.58127161479116785</v>
      </c>
      <c r="P182" s="35">
        <v>0</v>
      </c>
      <c r="Q182" s="35" t="s">
        <v>1589</v>
      </c>
      <c r="R182" s="53">
        <v>4</v>
      </c>
      <c r="S182" s="53">
        <v>0.625</v>
      </c>
    </row>
    <row r="183" spans="1:19" x14ac:dyDescent="0.3">
      <c r="A183" s="35" t="s">
        <v>1586</v>
      </c>
      <c r="B183" s="35" t="s">
        <v>14</v>
      </c>
      <c r="C183" s="35" t="s">
        <v>17</v>
      </c>
      <c r="D183" s="37">
        <v>0</v>
      </c>
      <c r="E183" s="39" t="s">
        <v>1950</v>
      </c>
      <c r="F183" s="37">
        <v>75.910811450201095</v>
      </c>
      <c r="G183" s="35" t="s">
        <v>2657</v>
      </c>
      <c r="H183" s="37">
        <v>103.27898036432458</v>
      </c>
      <c r="I183" s="37" t="s">
        <v>2657</v>
      </c>
      <c r="J183" s="35">
        <v>2021</v>
      </c>
      <c r="K183" s="35" t="s">
        <v>1950</v>
      </c>
      <c r="L183" s="35" t="s">
        <v>1950</v>
      </c>
      <c r="M183" s="36">
        <v>16908</v>
      </c>
      <c r="N183" s="52">
        <v>13</v>
      </c>
      <c r="O183" s="38">
        <v>7.6886680861130822E-4</v>
      </c>
      <c r="P183" s="35">
        <v>0</v>
      </c>
      <c r="Q183" s="35" t="s">
        <v>1589</v>
      </c>
      <c r="R183" s="53">
        <v>2</v>
      </c>
      <c r="S183" s="53">
        <v>0.60099999999999998</v>
      </c>
    </row>
    <row r="184" spans="1:19" x14ac:dyDescent="0.3">
      <c r="A184" s="35" t="s">
        <v>1586</v>
      </c>
      <c r="B184" s="35" t="s">
        <v>14</v>
      </c>
      <c r="C184" s="35" t="s">
        <v>17</v>
      </c>
      <c r="D184" s="37">
        <v>98.54848413336012</v>
      </c>
      <c r="E184" s="35" t="s">
        <v>2657</v>
      </c>
      <c r="F184" s="37">
        <v>102.19678248644306</v>
      </c>
      <c r="G184" s="35" t="s">
        <v>2657</v>
      </c>
      <c r="H184" s="37">
        <v>101.56330186784494</v>
      </c>
      <c r="I184" s="37" t="s">
        <v>2657</v>
      </c>
      <c r="J184" s="35">
        <v>2009</v>
      </c>
      <c r="K184" s="35" t="s">
        <v>1950</v>
      </c>
      <c r="L184" s="35" t="s">
        <v>1950</v>
      </c>
      <c r="M184" s="36">
        <v>19916</v>
      </c>
      <c r="N184" s="52">
        <v>17415</v>
      </c>
      <c r="O184" s="38">
        <v>0.8744225748142197</v>
      </c>
      <c r="P184" s="35">
        <v>0</v>
      </c>
      <c r="Q184" s="35" t="s">
        <v>28</v>
      </c>
      <c r="R184" s="53">
        <v>0</v>
      </c>
      <c r="S184" s="53">
        <v>0</v>
      </c>
    </row>
    <row r="185" spans="1:19" x14ac:dyDescent="0.3">
      <c r="A185" s="35" t="s">
        <v>1586</v>
      </c>
      <c r="B185" s="35" t="s">
        <v>14</v>
      </c>
      <c r="C185" s="35" t="s">
        <v>17</v>
      </c>
      <c r="D185" s="37">
        <v>114.18552182823557</v>
      </c>
      <c r="E185" s="35" t="s">
        <v>2657</v>
      </c>
      <c r="F185" s="37">
        <v>111.01193689339161</v>
      </c>
      <c r="G185" s="35" t="s">
        <v>2657</v>
      </c>
      <c r="H185" s="37">
        <v>101.51868837245271</v>
      </c>
      <c r="I185" s="37" t="s">
        <v>2657</v>
      </c>
      <c r="J185" s="35">
        <v>2019</v>
      </c>
      <c r="K185" s="35" t="s">
        <v>19</v>
      </c>
      <c r="L185" s="35" t="s">
        <v>1783</v>
      </c>
      <c r="M185" s="36">
        <v>103444</v>
      </c>
      <c r="N185" s="52">
        <v>72091</v>
      </c>
      <c r="O185" s="38">
        <v>0.69690847221685159</v>
      </c>
      <c r="P185" s="35">
        <v>0</v>
      </c>
      <c r="Q185" s="35" t="s">
        <v>1589</v>
      </c>
      <c r="R185" s="53">
        <v>4</v>
      </c>
      <c r="S185" s="53">
        <v>0.6</v>
      </c>
    </row>
    <row r="186" spans="1:19" x14ac:dyDescent="0.3">
      <c r="A186" s="35" t="s">
        <v>1586</v>
      </c>
      <c r="B186" s="35" t="s">
        <v>14</v>
      </c>
      <c r="C186" s="35" t="s">
        <v>17</v>
      </c>
      <c r="D186" s="37">
        <v>99.330549711586713</v>
      </c>
      <c r="E186" s="35" t="s">
        <v>2657</v>
      </c>
      <c r="F186" s="37">
        <v>87.795914797236023</v>
      </c>
      <c r="G186" s="35" t="s">
        <v>2657</v>
      </c>
      <c r="H186" s="37">
        <v>100.93325292441408</v>
      </c>
      <c r="I186" s="37" t="s">
        <v>2657</v>
      </c>
      <c r="J186" s="35">
        <v>1983</v>
      </c>
      <c r="K186" s="35" t="s">
        <v>19</v>
      </c>
      <c r="L186" s="35" t="s">
        <v>1783</v>
      </c>
      <c r="M186" s="36">
        <v>21722.3</v>
      </c>
      <c r="N186" s="52">
        <v>157771</v>
      </c>
      <c r="O186" s="38">
        <v>7.2630890835684987</v>
      </c>
      <c r="P186" s="35">
        <v>0</v>
      </c>
      <c r="Q186" s="35" t="s">
        <v>1589</v>
      </c>
      <c r="R186" s="53">
        <v>5</v>
      </c>
      <c r="S186" s="53">
        <v>0.57999999999999996</v>
      </c>
    </row>
    <row r="187" spans="1:19" x14ac:dyDescent="0.3">
      <c r="A187" s="35" t="s">
        <v>1586</v>
      </c>
      <c r="B187" s="35" t="s">
        <v>14</v>
      </c>
      <c r="C187" s="35" t="s">
        <v>17</v>
      </c>
      <c r="D187" s="37">
        <v>89.914813614262556</v>
      </c>
      <c r="E187" s="35" t="s">
        <v>2657</v>
      </c>
      <c r="F187" s="37">
        <v>95.065624913174346</v>
      </c>
      <c r="G187" s="35" t="s">
        <v>2657</v>
      </c>
      <c r="H187" s="37">
        <v>100.19962491317435</v>
      </c>
      <c r="I187" s="37" t="s">
        <v>2657</v>
      </c>
      <c r="J187" s="35">
        <v>2019</v>
      </c>
      <c r="K187" s="35" t="s">
        <v>19</v>
      </c>
      <c r="L187" s="35" t="s">
        <v>1598</v>
      </c>
      <c r="M187" s="36">
        <v>21595</v>
      </c>
      <c r="N187" s="52">
        <v>12000</v>
      </c>
      <c r="O187" s="38">
        <v>0.55568418615420234</v>
      </c>
      <c r="P187" s="35">
        <v>0</v>
      </c>
      <c r="Q187" s="35" t="s">
        <v>1589</v>
      </c>
      <c r="R187" s="53">
        <v>4</v>
      </c>
      <c r="S187" s="53">
        <v>0</v>
      </c>
    </row>
    <row r="188" spans="1:19" x14ac:dyDescent="0.3">
      <c r="A188" s="35" t="s">
        <v>1586</v>
      </c>
      <c r="B188" s="35" t="s">
        <v>14</v>
      </c>
      <c r="C188" s="35" t="s">
        <v>17</v>
      </c>
      <c r="D188" s="37">
        <v>146.77760637614088</v>
      </c>
      <c r="E188" s="39" t="s">
        <v>1950</v>
      </c>
      <c r="F188" s="37">
        <v>132.45355444144491</v>
      </c>
      <c r="G188" s="35" t="s">
        <v>1950</v>
      </c>
      <c r="H188" s="37">
        <v>99.375819514076355</v>
      </c>
      <c r="I188" s="37" t="s">
        <v>1950</v>
      </c>
      <c r="J188" s="35">
        <v>2008</v>
      </c>
      <c r="K188" s="35" t="s">
        <v>47</v>
      </c>
      <c r="L188" s="35" t="s">
        <v>1818</v>
      </c>
      <c r="M188" s="36">
        <v>19447.5</v>
      </c>
      <c r="N188" s="52">
        <v>16640</v>
      </c>
      <c r="O188" s="38">
        <v>0.85563697133307626</v>
      </c>
      <c r="P188" s="35">
        <v>0</v>
      </c>
      <c r="Q188" s="35" t="s">
        <v>1821</v>
      </c>
      <c r="R188" s="53">
        <v>0</v>
      </c>
      <c r="S188" s="53">
        <v>0</v>
      </c>
    </row>
    <row r="189" spans="1:19" x14ac:dyDescent="0.3">
      <c r="A189" s="35" t="s">
        <v>1586</v>
      </c>
      <c r="B189" s="35" t="s">
        <v>14</v>
      </c>
      <c r="C189" s="35" t="s">
        <v>17</v>
      </c>
      <c r="D189" s="37">
        <v>176.66478744686171</v>
      </c>
      <c r="E189" s="39" t="s">
        <v>1950</v>
      </c>
      <c r="F189" s="37">
        <v>161.88771005251314</v>
      </c>
      <c r="G189" s="35" t="s">
        <v>1950</v>
      </c>
      <c r="H189" s="37">
        <v>95.925937109277328</v>
      </c>
      <c r="I189" s="37" t="s">
        <v>1950</v>
      </c>
      <c r="J189" s="35">
        <v>2003</v>
      </c>
      <c r="K189" s="35" t="s">
        <v>21</v>
      </c>
      <c r="L189" s="35" t="s">
        <v>1601</v>
      </c>
      <c r="M189" s="36">
        <v>15996</v>
      </c>
      <c r="N189" s="52">
        <v>14000</v>
      </c>
      <c r="O189" s="38">
        <v>0.8752188047011753</v>
      </c>
      <c r="P189" s="35">
        <v>0</v>
      </c>
      <c r="Q189" s="35" t="s">
        <v>1821</v>
      </c>
      <c r="R189" s="53">
        <v>0</v>
      </c>
      <c r="S189" s="53">
        <v>0</v>
      </c>
    </row>
    <row r="190" spans="1:19" x14ac:dyDescent="0.3">
      <c r="A190" s="35" t="s">
        <v>1586</v>
      </c>
      <c r="B190" s="35" t="s">
        <v>14</v>
      </c>
      <c r="C190" s="35" t="s">
        <v>17</v>
      </c>
      <c r="D190" s="37">
        <v>92.421358604651161</v>
      </c>
      <c r="E190" s="35" t="s">
        <v>2657</v>
      </c>
      <c r="F190" s="37">
        <v>93.930988604651162</v>
      </c>
      <c r="G190" s="35" t="s">
        <v>2657</v>
      </c>
      <c r="H190" s="37">
        <v>95.55705534883721</v>
      </c>
      <c r="I190" s="37" t="s">
        <v>2657</v>
      </c>
      <c r="J190" s="35">
        <v>1976</v>
      </c>
      <c r="K190" s="35" t="s">
        <v>19</v>
      </c>
      <c r="L190" s="35" t="s">
        <v>1783</v>
      </c>
      <c r="M190" s="36">
        <v>43000</v>
      </c>
      <c r="N190" s="52">
        <v>41000</v>
      </c>
      <c r="O190" s="38">
        <v>0.95348837209302328</v>
      </c>
      <c r="P190" s="35">
        <v>0</v>
      </c>
      <c r="Q190" s="35" t="s">
        <v>1787</v>
      </c>
      <c r="R190" s="53">
        <v>0</v>
      </c>
      <c r="S190" s="53">
        <v>0</v>
      </c>
    </row>
    <row r="191" spans="1:19" x14ac:dyDescent="0.3">
      <c r="A191" s="35" t="s">
        <v>1586</v>
      </c>
      <c r="B191" s="35" t="s">
        <v>14</v>
      </c>
      <c r="C191" s="35" t="s">
        <v>17</v>
      </c>
      <c r="D191" s="37">
        <v>78.092002723952206</v>
      </c>
      <c r="E191" s="35" t="s">
        <v>2657</v>
      </c>
      <c r="F191" s="37">
        <v>92.731066055841026</v>
      </c>
      <c r="G191" s="35" t="s">
        <v>2657</v>
      </c>
      <c r="H191" s="37">
        <v>94.16780164675292</v>
      </c>
      <c r="I191" s="37" t="s">
        <v>2657</v>
      </c>
      <c r="J191" s="35">
        <v>2010</v>
      </c>
      <c r="K191" s="35" t="s">
        <v>1950</v>
      </c>
      <c r="L191" s="35" t="s">
        <v>1950</v>
      </c>
      <c r="M191" s="36">
        <v>16153</v>
      </c>
      <c r="N191" s="52">
        <v>2843</v>
      </c>
      <c r="O191" s="38">
        <v>0.17600445737633877</v>
      </c>
      <c r="P191" s="35">
        <v>0</v>
      </c>
      <c r="Q191" s="35" t="s">
        <v>28</v>
      </c>
      <c r="R191" s="53">
        <v>0</v>
      </c>
      <c r="S191" s="53">
        <v>0</v>
      </c>
    </row>
    <row r="192" spans="1:19" x14ac:dyDescent="0.3">
      <c r="A192" s="35" t="s">
        <v>1586</v>
      </c>
      <c r="B192" s="35" t="s">
        <v>14</v>
      </c>
      <c r="C192" s="35" t="s">
        <v>17</v>
      </c>
      <c r="D192" s="37">
        <v>94.672339465637378</v>
      </c>
      <c r="E192" s="35" t="s">
        <v>2657</v>
      </c>
      <c r="F192" s="37">
        <v>102.2135069427039</v>
      </c>
      <c r="G192" s="35" t="s">
        <v>2657</v>
      </c>
      <c r="H192" s="37">
        <v>93.985036843952074</v>
      </c>
      <c r="I192" s="37" t="s">
        <v>2657</v>
      </c>
      <c r="J192" s="35">
        <v>2009</v>
      </c>
      <c r="K192" s="35" t="s">
        <v>25</v>
      </c>
      <c r="L192" s="35" t="s">
        <v>1603</v>
      </c>
      <c r="M192" s="36">
        <v>19949</v>
      </c>
      <c r="N192" s="52">
        <v>14913</v>
      </c>
      <c r="O192" s="38">
        <v>0.74755626848463586</v>
      </c>
      <c r="P192" s="35">
        <v>0</v>
      </c>
      <c r="Q192" s="35" t="s">
        <v>1589</v>
      </c>
      <c r="R192" s="53">
        <v>12</v>
      </c>
      <c r="S192" s="53">
        <v>0.7</v>
      </c>
    </row>
    <row r="193" spans="1:19" x14ac:dyDescent="0.3">
      <c r="A193" s="35" t="s">
        <v>1586</v>
      </c>
      <c r="B193" s="35" t="s">
        <v>14</v>
      </c>
      <c r="C193" s="35" t="s">
        <v>17</v>
      </c>
      <c r="D193" s="37">
        <v>73.05321377894515</v>
      </c>
      <c r="E193" s="35" t="s">
        <v>2657</v>
      </c>
      <c r="F193" s="37">
        <v>79.729010053437193</v>
      </c>
      <c r="G193" s="35" t="s">
        <v>2657</v>
      </c>
      <c r="H193" s="37">
        <v>89.350916281737767</v>
      </c>
      <c r="I193" s="37" t="s">
        <v>2657</v>
      </c>
      <c r="J193" s="35">
        <v>2018</v>
      </c>
      <c r="K193" s="35" t="s">
        <v>1950</v>
      </c>
      <c r="L193" s="35" t="s">
        <v>1950</v>
      </c>
      <c r="M193" s="36">
        <v>33123</v>
      </c>
      <c r="N193" s="52">
        <v>29000</v>
      </c>
      <c r="O193" s="38">
        <v>0.87552455997343237</v>
      </c>
      <c r="P193" s="35">
        <v>0</v>
      </c>
      <c r="Q193" s="35" t="s">
        <v>28</v>
      </c>
      <c r="R193" s="53">
        <v>0</v>
      </c>
      <c r="S193" s="53">
        <v>0</v>
      </c>
    </row>
    <row r="194" spans="1:19" x14ac:dyDescent="0.3">
      <c r="A194" s="35" t="s">
        <v>1586</v>
      </c>
      <c r="B194" s="35" t="s">
        <v>14</v>
      </c>
      <c r="C194" s="35" t="s">
        <v>17</v>
      </c>
      <c r="D194" s="37">
        <v>94.354800858573782</v>
      </c>
      <c r="E194" s="35" t="s">
        <v>2657</v>
      </c>
      <c r="F194" s="37">
        <v>91.259751013594084</v>
      </c>
      <c r="G194" s="35" t="s">
        <v>2657</v>
      </c>
      <c r="H194" s="37">
        <v>89.064597185785829</v>
      </c>
      <c r="I194" s="37" t="s">
        <v>2657</v>
      </c>
      <c r="J194" s="35">
        <v>1982</v>
      </c>
      <c r="K194" s="35" t="s">
        <v>47</v>
      </c>
      <c r="L194" s="35" t="s">
        <v>1601</v>
      </c>
      <c r="M194" s="36">
        <v>20965</v>
      </c>
      <c r="N194" s="52">
        <v>15000</v>
      </c>
      <c r="O194" s="38">
        <v>0.71547817791557355</v>
      </c>
      <c r="P194" s="35">
        <v>0</v>
      </c>
      <c r="Q194" s="35" t="s">
        <v>1589</v>
      </c>
      <c r="R194" s="53">
        <v>8</v>
      </c>
      <c r="S194" s="53">
        <v>0.72099999999999997</v>
      </c>
    </row>
    <row r="195" spans="1:19" x14ac:dyDescent="0.3">
      <c r="A195" s="35" t="s">
        <v>1586</v>
      </c>
      <c r="B195" s="35" t="s">
        <v>14</v>
      </c>
      <c r="C195" s="35" t="s">
        <v>17</v>
      </c>
      <c r="D195" s="37">
        <v>103.33721346786078</v>
      </c>
      <c r="E195" s="39" t="s">
        <v>1950</v>
      </c>
      <c r="F195" s="37">
        <v>104.92554132184559</v>
      </c>
      <c r="G195" s="35" t="s">
        <v>1950</v>
      </c>
      <c r="H195" s="37">
        <v>88.550527717945812</v>
      </c>
      <c r="I195" s="37" t="s">
        <v>1950</v>
      </c>
      <c r="J195" s="35">
        <v>2000</v>
      </c>
      <c r="K195" s="35" t="s">
        <v>21</v>
      </c>
      <c r="L195" s="35" t="s">
        <v>1599</v>
      </c>
      <c r="M195" s="36">
        <v>17642</v>
      </c>
      <c r="N195" s="52">
        <v>12224</v>
      </c>
      <c r="O195" s="38">
        <v>0.69289196236254391</v>
      </c>
      <c r="P195" s="35">
        <v>0</v>
      </c>
      <c r="Q195" s="35" t="s">
        <v>1821</v>
      </c>
      <c r="R195" s="53">
        <v>0</v>
      </c>
      <c r="S195" s="53">
        <v>0.18</v>
      </c>
    </row>
    <row r="196" spans="1:19" x14ac:dyDescent="0.3">
      <c r="A196" s="35" t="s">
        <v>1586</v>
      </c>
      <c r="B196" s="35" t="s">
        <v>14</v>
      </c>
      <c r="C196" s="35" t="s">
        <v>17</v>
      </c>
      <c r="D196" s="37">
        <v>84.607528259231358</v>
      </c>
      <c r="E196" s="35" t="s">
        <v>2657</v>
      </c>
      <c r="F196" s="37">
        <v>81.801605124340611</v>
      </c>
      <c r="G196" s="35" t="s">
        <v>2657</v>
      </c>
      <c r="H196" s="37">
        <v>88.439069450859321</v>
      </c>
      <c r="I196" s="37" t="s">
        <v>2657</v>
      </c>
      <c r="J196" s="35">
        <v>2009</v>
      </c>
      <c r="K196" s="35" t="s">
        <v>21</v>
      </c>
      <c r="L196" s="35" t="s">
        <v>1818</v>
      </c>
      <c r="M196" s="36">
        <v>41137</v>
      </c>
      <c r="N196" s="52">
        <v>40137</v>
      </c>
      <c r="O196" s="38">
        <v>0.97569098378588615</v>
      </c>
      <c r="P196" s="35">
        <v>0</v>
      </c>
      <c r="Q196" s="35" t="s">
        <v>1589</v>
      </c>
      <c r="R196" s="53">
        <v>14</v>
      </c>
      <c r="S196" s="53">
        <v>0</v>
      </c>
    </row>
    <row r="197" spans="1:19" x14ac:dyDescent="0.3">
      <c r="A197" s="35" t="s">
        <v>1586</v>
      </c>
      <c r="B197" s="35" t="s">
        <v>14</v>
      </c>
      <c r="C197" s="35" t="s">
        <v>17</v>
      </c>
      <c r="D197" s="37">
        <v>89.714211815954258</v>
      </c>
      <c r="E197" s="39" t="s">
        <v>1950</v>
      </c>
      <c r="F197" s="37">
        <v>85.572774298938199</v>
      </c>
      <c r="G197" s="35" t="s">
        <v>1950</v>
      </c>
      <c r="H197" s="37">
        <v>85.743642798802071</v>
      </c>
      <c r="I197" s="37" t="s">
        <v>1950</v>
      </c>
      <c r="J197" s="35">
        <v>2014</v>
      </c>
      <c r="K197" s="35" t="s">
        <v>25</v>
      </c>
      <c r="L197" s="35" t="s">
        <v>1600</v>
      </c>
      <c r="M197" s="36">
        <v>18365</v>
      </c>
      <c r="N197" s="52">
        <v>15073</v>
      </c>
      <c r="O197" s="38">
        <v>0.82074598420909339</v>
      </c>
      <c r="P197" s="35">
        <v>0</v>
      </c>
      <c r="Q197" s="35" t="s">
        <v>1821</v>
      </c>
      <c r="R197" s="53">
        <v>0</v>
      </c>
      <c r="S197" s="53">
        <v>0</v>
      </c>
    </row>
    <row r="198" spans="1:19" x14ac:dyDescent="0.3">
      <c r="A198" s="35" t="s">
        <v>1586</v>
      </c>
      <c r="B198" s="35" t="s">
        <v>14</v>
      </c>
      <c r="C198" s="35" t="s">
        <v>17</v>
      </c>
      <c r="D198" s="37">
        <v>82.200676484123335</v>
      </c>
      <c r="E198" s="35" t="s">
        <v>2657</v>
      </c>
      <c r="F198" s="37">
        <v>80.42523305502597</v>
      </c>
      <c r="G198" s="35" t="s">
        <v>2657</v>
      </c>
      <c r="H198" s="37">
        <v>85.328502399579264</v>
      </c>
      <c r="I198" s="37" t="s">
        <v>2657</v>
      </c>
      <c r="J198" s="35">
        <v>2015</v>
      </c>
      <c r="K198" s="35" t="s">
        <v>19</v>
      </c>
      <c r="L198" s="35" t="s">
        <v>1600</v>
      </c>
      <c r="M198" s="36">
        <v>15211</v>
      </c>
      <c r="N198" s="52">
        <v>12160</v>
      </c>
      <c r="O198" s="38">
        <v>0.79942147130366181</v>
      </c>
      <c r="P198" s="35">
        <v>0</v>
      </c>
      <c r="Q198" s="35" t="s">
        <v>1589</v>
      </c>
      <c r="R198" s="53">
        <v>6</v>
      </c>
      <c r="S198" s="53">
        <v>0</v>
      </c>
    </row>
    <row r="199" spans="1:19" x14ac:dyDescent="0.3">
      <c r="A199" s="35" t="s">
        <v>1586</v>
      </c>
      <c r="B199" s="35" t="s">
        <v>14</v>
      </c>
      <c r="C199" s="35" t="s">
        <v>17</v>
      </c>
      <c r="D199" s="37">
        <v>102.88712897762726</v>
      </c>
      <c r="E199" s="35" t="s">
        <v>2657</v>
      </c>
      <c r="F199" s="37">
        <v>85.225602994919342</v>
      </c>
      <c r="G199" s="35" t="s">
        <v>2657</v>
      </c>
      <c r="H199" s="37">
        <v>83.679580622158838</v>
      </c>
      <c r="I199" s="37" t="s">
        <v>2657</v>
      </c>
      <c r="J199" s="35">
        <v>1998</v>
      </c>
      <c r="K199" s="35" t="s">
        <v>1950</v>
      </c>
      <c r="L199" s="35" t="s">
        <v>1950</v>
      </c>
      <c r="M199" s="36">
        <v>22438</v>
      </c>
      <c r="N199" s="52">
        <v>22337</v>
      </c>
      <c r="O199" s="38">
        <v>0.9954987075496925</v>
      </c>
      <c r="P199" s="35">
        <v>0</v>
      </c>
      <c r="Q199" s="35" t="s">
        <v>1589</v>
      </c>
      <c r="R199" s="53">
        <v>12</v>
      </c>
      <c r="S199" s="53">
        <v>0</v>
      </c>
    </row>
    <row r="200" spans="1:19" x14ac:dyDescent="0.3">
      <c r="A200" s="35" t="s">
        <v>1586</v>
      </c>
      <c r="B200" s="35" t="s">
        <v>14</v>
      </c>
      <c r="C200" s="35" t="s">
        <v>17</v>
      </c>
      <c r="D200" s="37">
        <v>83.448384402541507</v>
      </c>
      <c r="E200" s="35" t="s">
        <v>2657</v>
      </c>
      <c r="F200" s="37">
        <v>80.148342898134871</v>
      </c>
      <c r="G200" s="35" t="s">
        <v>2657</v>
      </c>
      <c r="H200" s="37">
        <v>83.673820967411359</v>
      </c>
      <c r="I200" s="37" t="s">
        <v>2657</v>
      </c>
      <c r="J200" s="35">
        <v>2004</v>
      </c>
      <c r="K200" s="35" t="s">
        <v>1950</v>
      </c>
      <c r="L200" s="35" t="s">
        <v>1950</v>
      </c>
      <c r="M200" s="36">
        <v>19516</v>
      </c>
      <c r="N200" s="52">
        <v>1090</v>
      </c>
      <c r="O200" s="38">
        <v>5.585160893625743E-2</v>
      </c>
      <c r="P200" s="35">
        <v>0</v>
      </c>
      <c r="Q200" s="35" t="s">
        <v>28</v>
      </c>
      <c r="R200" s="53">
        <v>0</v>
      </c>
      <c r="S200" s="53">
        <v>0</v>
      </c>
    </row>
    <row r="201" spans="1:19" x14ac:dyDescent="0.3">
      <c r="A201" s="35" t="s">
        <v>1586</v>
      </c>
      <c r="B201" s="35" t="s">
        <v>14</v>
      </c>
      <c r="C201" s="35" t="s">
        <v>17</v>
      </c>
      <c r="D201" s="37">
        <v>91.94971443374375</v>
      </c>
      <c r="E201" s="35" t="s">
        <v>2657</v>
      </c>
      <c r="F201" s="37">
        <v>87.891266305010362</v>
      </c>
      <c r="G201" s="35" t="s">
        <v>2657</v>
      </c>
      <c r="H201" s="37">
        <v>82.853594111910269</v>
      </c>
      <c r="I201" s="37" t="s">
        <v>2657</v>
      </c>
      <c r="J201" s="35">
        <v>2005</v>
      </c>
      <c r="K201" s="35" t="s">
        <v>1950</v>
      </c>
      <c r="L201" s="35" t="s">
        <v>1950</v>
      </c>
      <c r="M201" s="36">
        <v>32812</v>
      </c>
      <c r="N201" s="52">
        <v>34622</v>
      </c>
      <c r="O201" s="38">
        <v>1.0551627453370718</v>
      </c>
      <c r="P201" s="35">
        <v>0</v>
      </c>
      <c r="Q201" s="35" t="s">
        <v>28</v>
      </c>
      <c r="R201" s="53">
        <v>0</v>
      </c>
      <c r="S201" s="53">
        <v>0</v>
      </c>
    </row>
    <row r="202" spans="1:19" x14ac:dyDescent="0.3">
      <c r="A202" s="35" t="s">
        <v>1586</v>
      </c>
      <c r="B202" s="35" t="s">
        <v>14</v>
      </c>
      <c r="C202" s="35" t="s">
        <v>17</v>
      </c>
      <c r="D202" s="37">
        <v>81.873754058650732</v>
      </c>
      <c r="E202" s="35" t="s">
        <v>2657</v>
      </c>
      <c r="F202" s="37">
        <v>81.058350770499402</v>
      </c>
      <c r="G202" s="35" t="s">
        <v>2657</v>
      </c>
      <c r="H202" s="37">
        <v>81.116729887130845</v>
      </c>
      <c r="I202" s="37" t="s">
        <v>2657</v>
      </c>
      <c r="J202" s="35">
        <v>2019</v>
      </c>
      <c r="K202" s="35" t="s">
        <v>21</v>
      </c>
      <c r="L202" s="35" t="s">
        <v>1818</v>
      </c>
      <c r="M202" s="36">
        <v>19403</v>
      </c>
      <c r="N202" s="52">
        <v>4910</v>
      </c>
      <c r="O202" s="38">
        <v>0.25305365149719117</v>
      </c>
      <c r="P202" s="35">
        <v>0</v>
      </c>
      <c r="Q202" s="35" t="s">
        <v>28</v>
      </c>
      <c r="R202" s="53">
        <v>0</v>
      </c>
      <c r="S202" s="53">
        <v>0</v>
      </c>
    </row>
    <row r="203" spans="1:19" x14ac:dyDescent="0.3">
      <c r="A203" s="35" t="s">
        <v>1586</v>
      </c>
      <c r="B203" s="35" t="s">
        <v>14</v>
      </c>
      <c r="C203" s="35" t="s">
        <v>17</v>
      </c>
      <c r="D203" s="37">
        <v>83.392564442382863</v>
      </c>
      <c r="E203" s="35" t="s">
        <v>2657</v>
      </c>
      <c r="F203" s="37">
        <v>78.123525279968206</v>
      </c>
      <c r="G203" s="35" t="s">
        <v>2657</v>
      </c>
      <c r="H203" s="37">
        <v>80.243548472599556</v>
      </c>
      <c r="I203" s="37" t="s">
        <v>2657</v>
      </c>
      <c r="J203" s="35">
        <v>1960</v>
      </c>
      <c r="K203" s="35" t="s">
        <v>1950</v>
      </c>
      <c r="L203" s="35" t="s">
        <v>1950</v>
      </c>
      <c r="M203" s="36">
        <v>15091</v>
      </c>
      <c r="N203" s="52">
        <v>9500</v>
      </c>
      <c r="O203" s="38">
        <v>0.62951428003445764</v>
      </c>
      <c r="P203" s="35">
        <v>0</v>
      </c>
      <c r="Q203" s="35" t="s">
        <v>28</v>
      </c>
      <c r="R203" s="53">
        <v>0</v>
      </c>
      <c r="S203" s="53">
        <v>0</v>
      </c>
    </row>
    <row r="204" spans="1:19" x14ac:dyDescent="0.3">
      <c r="A204" s="35" t="s">
        <v>1586</v>
      </c>
      <c r="B204" s="35" t="s">
        <v>14</v>
      </c>
      <c r="C204" s="35" t="s">
        <v>17</v>
      </c>
      <c r="D204" s="37">
        <v>87.042146675476005</v>
      </c>
      <c r="E204" s="35" t="s">
        <v>2657</v>
      </c>
      <c r="F204" s="37">
        <v>80.244224878371085</v>
      </c>
      <c r="G204" s="35" t="s">
        <v>2657</v>
      </c>
      <c r="H204" s="37">
        <v>77.289569944140794</v>
      </c>
      <c r="I204" s="37" t="s">
        <v>2657</v>
      </c>
      <c r="J204" s="35">
        <v>2005</v>
      </c>
      <c r="K204" s="35" t="s">
        <v>19</v>
      </c>
      <c r="L204" s="35" t="s">
        <v>1601</v>
      </c>
      <c r="M204" s="36">
        <v>133192</v>
      </c>
      <c r="N204" s="52">
        <v>57969</v>
      </c>
      <c r="O204" s="38">
        <v>0.43522884257312749</v>
      </c>
      <c r="P204" s="35">
        <v>0</v>
      </c>
      <c r="Q204" s="35" t="s">
        <v>1589</v>
      </c>
      <c r="R204" s="53">
        <v>5</v>
      </c>
      <c r="S204" s="53">
        <v>1.6049</v>
      </c>
    </row>
    <row r="205" spans="1:19" x14ac:dyDescent="0.3">
      <c r="A205" s="35" t="s">
        <v>1586</v>
      </c>
      <c r="B205" s="35" t="s">
        <v>14</v>
      </c>
      <c r="C205" s="35" t="s">
        <v>17</v>
      </c>
      <c r="D205" s="37">
        <v>83.410487267668771</v>
      </c>
      <c r="E205" s="35" t="s">
        <v>2657</v>
      </c>
      <c r="F205" s="37">
        <v>41.210324973917075</v>
      </c>
      <c r="G205" s="35" t="s">
        <v>2657</v>
      </c>
      <c r="H205" s="37">
        <v>75.913839406468568</v>
      </c>
      <c r="I205" s="37" t="s">
        <v>2657</v>
      </c>
      <c r="J205" s="35">
        <v>1982</v>
      </c>
      <c r="K205" s="35" t="s">
        <v>1950</v>
      </c>
      <c r="L205" s="35" t="s">
        <v>1950</v>
      </c>
      <c r="M205" s="36">
        <v>25879</v>
      </c>
      <c r="N205" s="52">
        <v>20000</v>
      </c>
      <c r="O205" s="38">
        <v>0.77282738900266623</v>
      </c>
      <c r="P205" s="35">
        <v>0</v>
      </c>
      <c r="Q205" s="35" t="s">
        <v>1589</v>
      </c>
      <c r="R205" s="53">
        <v>12</v>
      </c>
      <c r="S205" s="53">
        <v>0.72</v>
      </c>
    </row>
    <row r="206" spans="1:19" x14ac:dyDescent="0.3">
      <c r="A206" s="35" t="s">
        <v>1586</v>
      </c>
      <c r="B206" s="35" t="s">
        <v>14</v>
      </c>
      <c r="C206" s="35" t="s">
        <v>17</v>
      </c>
      <c r="D206" s="37">
        <v>77.487132220487567</v>
      </c>
      <c r="E206" s="35" t="s">
        <v>2657</v>
      </c>
      <c r="F206" s="37">
        <v>77.565716944878105</v>
      </c>
      <c r="G206" s="35" t="s">
        <v>2657</v>
      </c>
      <c r="H206" s="37">
        <v>75.130189744205595</v>
      </c>
      <c r="I206" s="37" t="s">
        <v>2657</v>
      </c>
      <c r="J206" s="35">
        <v>1991</v>
      </c>
      <c r="K206" s="35" t="s">
        <v>19</v>
      </c>
      <c r="L206" s="35" t="s">
        <v>1601</v>
      </c>
      <c r="M206" s="36">
        <v>16654</v>
      </c>
      <c r="N206" s="52">
        <v>6662</v>
      </c>
      <c r="O206" s="38">
        <v>0.40002401825387296</v>
      </c>
      <c r="P206" s="35">
        <v>0</v>
      </c>
      <c r="Q206" s="35" t="s">
        <v>28</v>
      </c>
      <c r="R206" s="53">
        <v>0</v>
      </c>
      <c r="S206" s="53">
        <v>0</v>
      </c>
    </row>
    <row r="207" spans="1:19" x14ac:dyDescent="0.3">
      <c r="A207" s="35" t="s">
        <v>1586</v>
      </c>
      <c r="B207" s="35" t="s">
        <v>14</v>
      </c>
      <c r="C207" s="35" t="s">
        <v>17</v>
      </c>
      <c r="D207" s="37">
        <v>85.460403120936277</v>
      </c>
      <c r="E207" s="39" t="s">
        <v>1950</v>
      </c>
      <c r="F207" s="37">
        <v>78.859115734720419</v>
      </c>
      <c r="G207" s="35" t="s">
        <v>1950</v>
      </c>
      <c r="H207" s="37">
        <v>73.628516514954484</v>
      </c>
      <c r="I207" s="37" t="s">
        <v>1950</v>
      </c>
      <c r="J207" s="35">
        <v>2003</v>
      </c>
      <c r="K207" s="35" t="s">
        <v>25</v>
      </c>
      <c r="L207" s="35" t="s">
        <v>1818</v>
      </c>
      <c r="M207" s="36">
        <v>19225</v>
      </c>
      <c r="N207" s="52">
        <v>19225</v>
      </c>
      <c r="O207" s="38">
        <v>1</v>
      </c>
      <c r="P207" s="35">
        <v>0</v>
      </c>
      <c r="Q207" s="35" t="s">
        <v>1821</v>
      </c>
      <c r="R207" s="53">
        <v>0</v>
      </c>
      <c r="S207" s="53">
        <v>0</v>
      </c>
    </row>
    <row r="208" spans="1:19" x14ac:dyDescent="0.3">
      <c r="A208" s="35" t="s">
        <v>1586</v>
      </c>
      <c r="B208" s="35" t="s">
        <v>14</v>
      </c>
      <c r="C208" s="35" t="s">
        <v>17</v>
      </c>
      <c r="D208" s="37">
        <v>67.676824989526594</v>
      </c>
      <c r="E208" s="35" t="s">
        <v>2657</v>
      </c>
      <c r="F208" s="37">
        <v>68.829058441558445</v>
      </c>
      <c r="G208" s="35" t="s">
        <v>2657</v>
      </c>
      <c r="H208" s="37">
        <v>71.671325408462494</v>
      </c>
      <c r="I208" s="37" t="s">
        <v>2657</v>
      </c>
      <c r="J208" s="35">
        <v>1999</v>
      </c>
      <c r="K208" s="35" t="s">
        <v>1950</v>
      </c>
      <c r="L208" s="35" t="s">
        <v>1950</v>
      </c>
      <c r="M208" s="36">
        <v>19096</v>
      </c>
      <c r="N208" s="52">
        <v>9096</v>
      </c>
      <c r="O208" s="38">
        <v>0.4763301214914118</v>
      </c>
      <c r="P208" s="35">
        <v>0</v>
      </c>
      <c r="Q208" s="35" t="s">
        <v>28</v>
      </c>
      <c r="R208" s="53">
        <v>0</v>
      </c>
      <c r="S208" s="53">
        <v>0</v>
      </c>
    </row>
    <row r="209" spans="1:19" x14ac:dyDescent="0.3">
      <c r="A209" s="35" t="s">
        <v>1586</v>
      </c>
      <c r="B209" s="35" t="s">
        <v>14</v>
      </c>
      <c r="C209" s="35" t="s">
        <v>17</v>
      </c>
      <c r="D209" s="37">
        <v>68.841721927092863</v>
      </c>
      <c r="E209" s="39" t="s">
        <v>1950</v>
      </c>
      <c r="F209" s="37">
        <v>72.240245466202595</v>
      </c>
      <c r="G209" s="35" t="s">
        <v>1950</v>
      </c>
      <c r="H209" s="37">
        <v>71.161432496794291</v>
      </c>
      <c r="I209" s="37" t="s">
        <v>1950</v>
      </c>
      <c r="J209" s="35">
        <v>2014</v>
      </c>
      <c r="K209" s="35" t="s">
        <v>1950</v>
      </c>
      <c r="L209" s="35" t="s">
        <v>1950</v>
      </c>
      <c r="M209" s="36">
        <v>16377</v>
      </c>
      <c r="N209" s="52">
        <v>11180</v>
      </c>
      <c r="O209" s="38">
        <v>0.68266471270684492</v>
      </c>
      <c r="P209" s="35">
        <v>0</v>
      </c>
      <c r="Q209" s="35" t="s">
        <v>1821</v>
      </c>
      <c r="R209" s="53">
        <v>0</v>
      </c>
      <c r="S209" s="53">
        <v>0</v>
      </c>
    </row>
    <row r="210" spans="1:19" x14ac:dyDescent="0.3">
      <c r="A210" s="35" t="s">
        <v>1586</v>
      </c>
      <c r="B210" s="35" t="s">
        <v>14</v>
      </c>
      <c r="C210" s="35" t="s">
        <v>17</v>
      </c>
      <c r="D210" s="37">
        <v>0</v>
      </c>
      <c r="E210" s="39" t="s">
        <v>1950</v>
      </c>
      <c r="F210" s="37">
        <v>31.078368757198199</v>
      </c>
      <c r="G210" s="35" t="s">
        <v>1950</v>
      </c>
      <c r="H210" s="37">
        <v>69.72086273688619</v>
      </c>
      <c r="I210" s="37" t="s">
        <v>1950</v>
      </c>
      <c r="J210" s="35">
        <v>2021</v>
      </c>
      <c r="K210" s="35" t="s">
        <v>1950</v>
      </c>
      <c r="L210" s="35" t="s">
        <v>1950</v>
      </c>
      <c r="M210" s="36">
        <v>19102</v>
      </c>
      <c r="N210" s="52">
        <v>16784</v>
      </c>
      <c r="O210" s="38">
        <v>0.87865145010993617</v>
      </c>
      <c r="P210" s="35">
        <v>0</v>
      </c>
      <c r="Q210" s="35" t="s">
        <v>1821</v>
      </c>
      <c r="R210" s="53">
        <v>0</v>
      </c>
      <c r="S210" s="53">
        <v>0</v>
      </c>
    </row>
    <row r="211" spans="1:19" x14ac:dyDescent="0.3">
      <c r="A211" s="35" t="s">
        <v>1586</v>
      </c>
      <c r="B211" s="35" t="s">
        <v>14</v>
      </c>
      <c r="C211" s="35" t="s">
        <v>17</v>
      </c>
      <c r="D211" s="37">
        <v>186.9554510797085</v>
      </c>
      <c r="E211" s="39" t="s">
        <v>1950</v>
      </c>
      <c r="F211" s="37">
        <v>138.74708013956058</v>
      </c>
      <c r="G211" s="35" t="s">
        <v>1950</v>
      </c>
      <c r="H211" s="37">
        <v>69.669917691592687</v>
      </c>
      <c r="I211" s="37" t="s">
        <v>1950</v>
      </c>
      <c r="J211" s="35">
        <v>2006</v>
      </c>
      <c r="K211" s="35" t="s">
        <v>19</v>
      </c>
      <c r="L211" s="35" t="s">
        <v>1818</v>
      </c>
      <c r="M211" s="36">
        <v>148466</v>
      </c>
      <c r="N211" s="52">
        <v>140000</v>
      </c>
      <c r="O211" s="38">
        <v>0.94297684318295094</v>
      </c>
      <c r="P211" s="35">
        <v>0</v>
      </c>
      <c r="Q211" s="35" t="s">
        <v>1821</v>
      </c>
      <c r="R211" s="53">
        <v>0</v>
      </c>
      <c r="S211" s="53">
        <v>0</v>
      </c>
    </row>
    <row r="212" spans="1:19" x14ac:dyDescent="0.3">
      <c r="A212" s="35" t="s">
        <v>1586</v>
      </c>
      <c r="B212" s="35" t="s">
        <v>14</v>
      </c>
      <c r="C212" s="35" t="s">
        <v>17</v>
      </c>
      <c r="D212" s="37">
        <v>76.705804324324319</v>
      </c>
      <c r="E212" s="39" t="s">
        <v>1950</v>
      </c>
      <c r="F212" s="37">
        <v>65.978946486486478</v>
      </c>
      <c r="G212" s="35" t="s">
        <v>1950</v>
      </c>
      <c r="H212" s="37">
        <v>68.855042162162164</v>
      </c>
      <c r="I212" s="37" t="s">
        <v>1950</v>
      </c>
      <c r="J212" s="35">
        <v>2007</v>
      </c>
      <c r="K212" s="35" t="s">
        <v>1950</v>
      </c>
      <c r="L212" s="35" t="s">
        <v>1950</v>
      </c>
      <c r="M212" s="36">
        <v>18500</v>
      </c>
      <c r="N212" s="52">
        <v>18000</v>
      </c>
      <c r="O212" s="38">
        <v>0.97297297297297303</v>
      </c>
      <c r="P212" s="35">
        <v>0</v>
      </c>
      <c r="Q212" s="35" t="s">
        <v>1821</v>
      </c>
      <c r="R212" s="53">
        <v>0</v>
      </c>
      <c r="S212" s="53">
        <v>0</v>
      </c>
    </row>
    <row r="213" spans="1:19" x14ac:dyDescent="0.3">
      <c r="A213" s="35" t="s">
        <v>1586</v>
      </c>
      <c r="B213" s="35" t="s">
        <v>14</v>
      </c>
      <c r="C213" s="35" t="s">
        <v>17</v>
      </c>
      <c r="D213" s="37">
        <v>57.388453701607425</v>
      </c>
      <c r="E213" s="35" t="s">
        <v>2657</v>
      </c>
      <c r="F213" s="37">
        <v>69.030095087163232</v>
      </c>
      <c r="G213" s="35" t="s">
        <v>2657</v>
      </c>
      <c r="H213" s="37">
        <v>63.736701381027849</v>
      </c>
      <c r="I213" s="37" t="s">
        <v>2657</v>
      </c>
      <c r="J213" s="35">
        <v>2020</v>
      </c>
      <c r="K213" s="35" t="s">
        <v>19</v>
      </c>
      <c r="L213" s="35" t="s">
        <v>1602</v>
      </c>
      <c r="M213" s="36">
        <v>22085</v>
      </c>
      <c r="N213" s="52">
        <v>11905</v>
      </c>
      <c r="O213" s="38">
        <v>0.53905365632782432</v>
      </c>
      <c r="P213" s="35">
        <v>0</v>
      </c>
      <c r="Q213" s="35" t="s">
        <v>1589</v>
      </c>
      <c r="R213" s="53">
        <v>3</v>
      </c>
      <c r="S213" s="53">
        <v>0.56000000000000005</v>
      </c>
    </row>
    <row r="214" spans="1:19" x14ac:dyDescent="0.3">
      <c r="A214" s="35" t="s">
        <v>1586</v>
      </c>
      <c r="B214" s="35" t="s">
        <v>14</v>
      </c>
      <c r="C214" s="35" t="s">
        <v>17</v>
      </c>
      <c r="D214" s="37">
        <v>53.290293670886079</v>
      </c>
      <c r="E214" s="39" t="s">
        <v>1950</v>
      </c>
      <c r="F214" s="37">
        <v>54.689286075949362</v>
      </c>
      <c r="G214" s="35" t="s">
        <v>1950</v>
      </c>
      <c r="H214" s="37">
        <v>62.387091139240511</v>
      </c>
      <c r="I214" s="37" t="s">
        <v>1950</v>
      </c>
      <c r="J214" s="35">
        <v>2018</v>
      </c>
      <c r="K214" s="35" t="s">
        <v>19</v>
      </c>
      <c r="L214" s="35" t="s">
        <v>1818</v>
      </c>
      <c r="M214" s="36">
        <v>39500</v>
      </c>
      <c r="N214" s="52">
        <v>16035</v>
      </c>
      <c r="O214" s="38">
        <v>0.40594936708860757</v>
      </c>
      <c r="P214" s="35">
        <v>0</v>
      </c>
      <c r="Q214" s="35" t="s">
        <v>1821</v>
      </c>
      <c r="R214" s="53">
        <v>0</v>
      </c>
      <c r="S214" s="53">
        <v>0</v>
      </c>
    </row>
    <row r="215" spans="1:19" x14ac:dyDescent="0.3">
      <c r="A215" s="35" t="s">
        <v>1586</v>
      </c>
      <c r="B215" s="35" t="s">
        <v>14</v>
      </c>
      <c r="C215" s="35" t="s">
        <v>17</v>
      </c>
      <c r="D215" s="37">
        <v>65.2726310576044</v>
      </c>
      <c r="E215" s="35" t="s">
        <v>2657</v>
      </c>
      <c r="F215" s="37">
        <v>65.987356370009138</v>
      </c>
      <c r="G215" s="35" t="s">
        <v>2657</v>
      </c>
      <c r="H215" s="37">
        <v>62.203838768668092</v>
      </c>
      <c r="I215" s="37" t="s">
        <v>2657</v>
      </c>
      <c r="J215" s="35">
        <v>2002</v>
      </c>
      <c r="K215" s="35" t="s">
        <v>19</v>
      </c>
      <c r="L215" s="35" t="s">
        <v>1601</v>
      </c>
      <c r="M215" s="36">
        <v>26248</v>
      </c>
      <c r="N215" s="52">
        <v>21823</v>
      </c>
      <c r="O215" s="38">
        <v>0.83141572691252663</v>
      </c>
      <c r="P215" s="35">
        <v>0</v>
      </c>
      <c r="Q215" s="35" t="s">
        <v>1589</v>
      </c>
      <c r="R215" s="53">
        <v>5</v>
      </c>
      <c r="S215" s="53">
        <v>0</v>
      </c>
    </row>
    <row r="216" spans="1:19" x14ac:dyDescent="0.3">
      <c r="A216" s="35" t="s">
        <v>1586</v>
      </c>
      <c r="B216" s="35" t="s">
        <v>14</v>
      </c>
      <c r="C216" s="35" t="s">
        <v>17</v>
      </c>
      <c r="D216" s="37">
        <v>51.812814113597248</v>
      </c>
      <c r="E216" s="35" t="s">
        <v>2657</v>
      </c>
      <c r="F216" s="37">
        <v>48.306804360298337</v>
      </c>
      <c r="G216" s="35" t="s">
        <v>2657</v>
      </c>
      <c r="H216" s="37">
        <v>56.758608720596676</v>
      </c>
      <c r="I216" s="37" t="s">
        <v>2657</v>
      </c>
      <c r="J216" s="35">
        <v>1978</v>
      </c>
      <c r="K216" s="35" t="s">
        <v>47</v>
      </c>
      <c r="L216" s="35" t="s">
        <v>1598</v>
      </c>
      <c r="M216" s="36">
        <v>20916</v>
      </c>
      <c r="N216" s="52">
        <v>14101</v>
      </c>
      <c r="O216" s="38">
        <v>0.67417288200420733</v>
      </c>
      <c r="P216" s="35">
        <v>0</v>
      </c>
      <c r="Q216" s="35" t="s">
        <v>28</v>
      </c>
      <c r="R216" s="53">
        <v>0</v>
      </c>
      <c r="S216" s="53">
        <v>0</v>
      </c>
    </row>
    <row r="217" spans="1:19" x14ac:dyDescent="0.3">
      <c r="A217" s="35" t="s">
        <v>1586</v>
      </c>
      <c r="B217" s="35" t="s">
        <v>14</v>
      </c>
      <c r="C217" s="35" t="s">
        <v>17</v>
      </c>
      <c r="D217" s="37">
        <v>56.469148779137711</v>
      </c>
      <c r="E217" s="39" t="s">
        <v>1950</v>
      </c>
      <c r="F217" s="37">
        <v>52.155671320499422</v>
      </c>
      <c r="G217" s="35" t="s">
        <v>1950</v>
      </c>
      <c r="H217" s="37">
        <v>50.973583246202104</v>
      </c>
      <c r="I217" s="37" t="s">
        <v>1950</v>
      </c>
      <c r="J217" s="35">
        <v>2003</v>
      </c>
      <c r="K217" s="35" t="s">
        <v>21</v>
      </c>
      <c r="L217" s="35" t="s">
        <v>1601</v>
      </c>
      <c r="M217" s="36">
        <v>16259</v>
      </c>
      <c r="N217" s="52">
        <v>15500</v>
      </c>
      <c r="O217" s="38">
        <v>0.95331816224860078</v>
      </c>
      <c r="P217" s="35">
        <v>0</v>
      </c>
      <c r="Q217" s="35" t="s">
        <v>1821</v>
      </c>
      <c r="R217" s="53">
        <v>0</v>
      </c>
      <c r="S217" s="53">
        <v>0</v>
      </c>
    </row>
    <row r="218" spans="1:19" x14ac:dyDescent="0.3">
      <c r="A218" s="35" t="s">
        <v>1586</v>
      </c>
      <c r="B218" s="35" t="s">
        <v>14</v>
      </c>
      <c r="C218" s="35" t="s">
        <v>17</v>
      </c>
      <c r="D218" s="37">
        <v>37.414474671669794</v>
      </c>
      <c r="E218" s="39" t="s">
        <v>1950</v>
      </c>
      <c r="F218" s="37">
        <v>45.861412132582863</v>
      </c>
      <c r="G218" s="35" t="s">
        <v>1950</v>
      </c>
      <c r="H218" s="37">
        <v>40.951581613508445</v>
      </c>
      <c r="I218" s="37" t="s">
        <v>1950</v>
      </c>
      <c r="J218" s="35">
        <v>2015</v>
      </c>
      <c r="K218" s="35" t="s">
        <v>25</v>
      </c>
      <c r="L218" s="35" t="s">
        <v>1598</v>
      </c>
      <c r="M218" s="36">
        <v>15990</v>
      </c>
      <c r="N218" s="52">
        <v>13141</v>
      </c>
      <c r="O218" s="38">
        <v>0.82182614133833642</v>
      </c>
      <c r="P218" s="35">
        <v>0</v>
      </c>
      <c r="Q218" s="35" t="s">
        <v>1821</v>
      </c>
      <c r="R218" s="53">
        <v>0</v>
      </c>
      <c r="S218" s="53">
        <v>0</v>
      </c>
    </row>
    <row r="219" spans="1:19" x14ac:dyDescent="0.3">
      <c r="A219" s="35" t="s">
        <v>1586</v>
      </c>
      <c r="B219" s="35" t="s">
        <v>14</v>
      </c>
      <c r="C219" s="35" t="s">
        <v>17</v>
      </c>
      <c r="D219" s="37">
        <v>37.803363529674471</v>
      </c>
      <c r="E219" s="35" t="s">
        <v>2657</v>
      </c>
      <c r="F219" s="37">
        <v>39.004127655486492</v>
      </c>
      <c r="G219" s="35" t="s">
        <v>2657</v>
      </c>
      <c r="H219" s="37">
        <v>39.996559746174185</v>
      </c>
      <c r="I219" s="37" t="s">
        <v>2657</v>
      </c>
      <c r="J219" s="35">
        <v>1994</v>
      </c>
      <c r="K219" s="35" t="s">
        <v>19</v>
      </c>
      <c r="L219" s="35" t="s">
        <v>1875</v>
      </c>
      <c r="M219" s="36">
        <v>46217.52</v>
      </c>
      <c r="N219" s="52">
        <v>18758</v>
      </c>
      <c r="O219" s="38">
        <v>0.40586340418092537</v>
      </c>
      <c r="P219" s="35">
        <v>0</v>
      </c>
      <c r="Q219" s="35" t="s">
        <v>1589</v>
      </c>
      <c r="R219" s="53">
        <v>3</v>
      </c>
      <c r="S219" s="53">
        <v>0</v>
      </c>
    </row>
    <row r="220" spans="1:19" x14ac:dyDescent="0.3">
      <c r="A220" s="35" t="s">
        <v>1586</v>
      </c>
      <c r="B220" s="35" t="s">
        <v>14</v>
      </c>
      <c r="C220" s="35" t="s">
        <v>17</v>
      </c>
      <c r="D220" s="37">
        <v>33.62480829831933</v>
      </c>
      <c r="E220" s="39" t="s">
        <v>1950</v>
      </c>
      <c r="F220" s="37">
        <v>43.10006302521009</v>
      </c>
      <c r="G220" s="35" t="s">
        <v>1950</v>
      </c>
      <c r="H220" s="37">
        <v>39.210755252100839</v>
      </c>
      <c r="I220" s="37" t="s">
        <v>1950</v>
      </c>
      <c r="J220" s="35">
        <v>2003</v>
      </c>
      <c r="K220" s="35" t="s">
        <v>25</v>
      </c>
      <c r="L220" s="35" t="s">
        <v>1597</v>
      </c>
      <c r="M220" s="36">
        <v>19040</v>
      </c>
      <c r="N220" s="52">
        <v>14000</v>
      </c>
      <c r="O220" s="38">
        <v>0.73529411764705888</v>
      </c>
      <c r="P220" s="35">
        <v>0</v>
      </c>
      <c r="Q220" s="35" t="s">
        <v>1821</v>
      </c>
      <c r="R220" s="53">
        <v>0</v>
      </c>
      <c r="S220" s="53">
        <v>0</v>
      </c>
    </row>
    <row r="221" spans="1:19" x14ac:dyDescent="0.3">
      <c r="A221" s="35" t="s">
        <v>1586</v>
      </c>
      <c r="B221" s="35" t="s">
        <v>14</v>
      </c>
      <c r="C221" s="35" t="s">
        <v>17</v>
      </c>
      <c r="D221" s="37">
        <v>53.525284371669407</v>
      </c>
      <c r="E221" s="35" t="s">
        <v>2657</v>
      </c>
      <c r="F221" s="37">
        <v>34.921141846720275</v>
      </c>
      <c r="G221" s="35" t="s">
        <v>2657</v>
      </c>
      <c r="H221" s="37">
        <v>38.274605173917259</v>
      </c>
      <c r="I221" s="37" t="s">
        <v>2657</v>
      </c>
      <c r="J221" s="35">
        <v>2000</v>
      </c>
      <c r="K221" s="35" t="s">
        <v>19</v>
      </c>
      <c r="L221" s="35" t="s">
        <v>1601</v>
      </c>
      <c r="M221" s="36">
        <v>20642</v>
      </c>
      <c r="N221" s="52">
        <v>5300</v>
      </c>
      <c r="O221" s="38">
        <v>0.25675806607886831</v>
      </c>
      <c r="P221" s="35">
        <v>0</v>
      </c>
      <c r="Q221" s="35" t="s">
        <v>28</v>
      </c>
      <c r="R221" s="53">
        <v>0</v>
      </c>
      <c r="S221" s="53">
        <v>0</v>
      </c>
    </row>
    <row r="222" spans="1:19" x14ac:dyDescent="0.3">
      <c r="A222" s="35" t="s">
        <v>1586</v>
      </c>
      <c r="B222" s="35" t="s">
        <v>14</v>
      </c>
      <c r="C222" s="35" t="s">
        <v>17</v>
      </c>
      <c r="D222" s="37">
        <v>0</v>
      </c>
      <c r="E222" s="39" t="s">
        <v>1950</v>
      </c>
      <c r="F222" s="37">
        <v>0</v>
      </c>
      <c r="G222" s="35" t="s">
        <v>1950</v>
      </c>
      <c r="H222" s="37">
        <v>36.996613496932518</v>
      </c>
      <c r="I222" s="37" t="s">
        <v>2657</v>
      </c>
      <c r="J222" s="35">
        <v>2022</v>
      </c>
      <c r="K222" s="35" t="s">
        <v>1950</v>
      </c>
      <c r="L222" s="35" t="s">
        <v>1950</v>
      </c>
      <c r="M222" s="36">
        <v>16300</v>
      </c>
      <c r="N222" s="52">
        <v>5670</v>
      </c>
      <c r="O222" s="38">
        <v>0.34785276073619631</v>
      </c>
      <c r="P222" s="35">
        <v>0</v>
      </c>
      <c r="Q222" s="35" t="s">
        <v>28</v>
      </c>
      <c r="R222" s="53">
        <v>0</v>
      </c>
      <c r="S222" s="53">
        <v>0</v>
      </c>
    </row>
    <row r="223" spans="1:19" x14ac:dyDescent="0.3">
      <c r="A223" s="35" t="s">
        <v>1586</v>
      </c>
      <c r="B223" s="35" t="s">
        <v>14</v>
      </c>
      <c r="C223" s="35" t="s">
        <v>17</v>
      </c>
      <c r="D223" s="37">
        <v>24.311255208641004</v>
      </c>
      <c r="E223" s="35" t="s">
        <v>2657</v>
      </c>
      <c r="F223" s="37">
        <v>29.546806199930018</v>
      </c>
      <c r="G223" s="35" t="s">
        <v>2657</v>
      </c>
      <c r="H223" s="37">
        <v>35.210308678720565</v>
      </c>
      <c r="I223" s="37" t="s">
        <v>2657</v>
      </c>
      <c r="J223" s="35">
        <v>1998</v>
      </c>
      <c r="K223" s="35" t="s">
        <v>25</v>
      </c>
      <c r="L223" s="35" t="s">
        <v>1599</v>
      </c>
      <c r="M223" s="36">
        <v>2372</v>
      </c>
      <c r="N223" s="52">
        <v>0</v>
      </c>
      <c r="O223" s="38">
        <v>0</v>
      </c>
      <c r="P223" s="35">
        <v>0</v>
      </c>
      <c r="Q223" s="35" t="s">
        <v>28</v>
      </c>
      <c r="R223" s="53">
        <v>0</v>
      </c>
      <c r="S223" s="53">
        <v>0</v>
      </c>
    </row>
    <row r="224" spans="1:19" x14ac:dyDescent="0.3">
      <c r="A224" s="35" t="s">
        <v>1586</v>
      </c>
      <c r="B224" s="35" t="s">
        <v>14</v>
      </c>
      <c r="C224" s="35" t="s">
        <v>17</v>
      </c>
      <c r="D224" s="37">
        <v>32.553856416563264</v>
      </c>
      <c r="E224" s="35" t="s">
        <v>2657</v>
      </c>
      <c r="F224" s="37">
        <v>27.471991347220236</v>
      </c>
      <c r="G224" s="35" t="s">
        <v>2657</v>
      </c>
      <c r="H224" s="37">
        <v>25.549601401135401</v>
      </c>
      <c r="I224" s="37" t="s">
        <v>2657</v>
      </c>
      <c r="J224" s="35">
        <v>2000</v>
      </c>
      <c r="K224" s="35" t="s">
        <v>25</v>
      </c>
      <c r="L224" s="35" t="s">
        <v>1599</v>
      </c>
      <c r="M224" s="36">
        <v>91069</v>
      </c>
      <c r="N224" s="52">
        <v>8</v>
      </c>
      <c r="O224" s="38">
        <v>8.7845479801029985E-5</v>
      </c>
      <c r="P224" s="35">
        <v>0</v>
      </c>
      <c r="Q224" s="35" t="s">
        <v>28</v>
      </c>
      <c r="R224" s="53">
        <v>0</v>
      </c>
      <c r="S224" s="53">
        <v>0</v>
      </c>
    </row>
    <row r="225" spans="1:19" x14ac:dyDescent="0.3">
      <c r="A225" s="35" t="s">
        <v>1586</v>
      </c>
      <c r="B225" s="35" t="s">
        <v>14</v>
      </c>
      <c r="C225" s="35" t="s">
        <v>17</v>
      </c>
      <c r="D225" s="37">
        <v>284.66703329844415</v>
      </c>
      <c r="E225" s="35" t="s">
        <v>2654</v>
      </c>
      <c r="F225" s="37">
        <v>72.638258617325121</v>
      </c>
      <c r="G225" s="35" t="s">
        <v>2657</v>
      </c>
      <c r="H225" s="37">
        <v>1.0427717362380031</v>
      </c>
      <c r="I225" s="37" t="s">
        <v>2657</v>
      </c>
      <c r="J225" s="35">
        <v>1986</v>
      </c>
      <c r="K225" s="35" t="s">
        <v>19</v>
      </c>
      <c r="L225" s="35" t="s">
        <v>1601</v>
      </c>
      <c r="M225" s="36">
        <v>56369</v>
      </c>
      <c r="N225" s="52">
        <v>64356</v>
      </c>
      <c r="O225" s="38">
        <v>1.1416913551774912</v>
      </c>
      <c r="P225" s="35">
        <v>0</v>
      </c>
      <c r="Q225" s="35" t="s">
        <v>1589</v>
      </c>
      <c r="R225" s="53">
        <v>20</v>
      </c>
      <c r="S225" s="53">
        <v>0</v>
      </c>
    </row>
    <row r="226" spans="1:19" x14ac:dyDescent="0.3">
      <c r="A226" s="35" t="s">
        <v>1586</v>
      </c>
      <c r="B226" s="35" t="s">
        <v>14</v>
      </c>
      <c r="C226" s="35" t="s">
        <v>17</v>
      </c>
      <c r="D226" s="37">
        <v>0</v>
      </c>
      <c r="E226" s="39" t="s">
        <v>1950</v>
      </c>
      <c r="F226" s="37">
        <v>0</v>
      </c>
      <c r="G226" s="35" t="s">
        <v>1950</v>
      </c>
      <c r="H226" s="37">
        <v>0</v>
      </c>
      <c r="I226" s="37" t="s">
        <v>1950</v>
      </c>
      <c r="J226" s="35">
        <v>2009</v>
      </c>
      <c r="K226" s="35" t="s">
        <v>19</v>
      </c>
      <c r="L226" s="35" t="s">
        <v>1597</v>
      </c>
      <c r="M226" s="36">
        <v>33599</v>
      </c>
      <c r="N226" s="52">
        <v>2601</v>
      </c>
      <c r="O226" s="38">
        <v>7.7413018244590612E-2</v>
      </c>
      <c r="P226" s="35">
        <v>0</v>
      </c>
      <c r="Q226" s="35" t="s">
        <v>1589</v>
      </c>
      <c r="R226" s="53">
        <v>14</v>
      </c>
      <c r="S226" s="53">
        <v>0.64</v>
      </c>
    </row>
    <row r="227" spans="1:19" x14ac:dyDescent="0.3">
      <c r="A227" s="35" t="s">
        <v>1586</v>
      </c>
      <c r="B227" s="35" t="s">
        <v>2661</v>
      </c>
      <c r="C227" s="35" t="s">
        <v>1588</v>
      </c>
      <c r="D227" s="37">
        <v>1508.8210443571029</v>
      </c>
      <c r="E227" s="35" t="s">
        <v>2654</v>
      </c>
      <c r="F227" s="37">
        <v>1515.5967209432904</v>
      </c>
      <c r="G227" s="35" t="s">
        <v>2654</v>
      </c>
      <c r="H227" s="37">
        <v>1528.2336889387984</v>
      </c>
      <c r="I227" s="37" t="s">
        <v>2654</v>
      </c>
      <c r="J227" s="35">
        <v>1997</v>
      </c>
      <c r="K227" s="35" t="s">
        <v>1950</v>
      </c>
      <c r="L227" s="35" t="s">
        <v>1950</v>
      </c>
      <c r="M227" s="36">
        <v>8905</v>
      </c>
      <c r="N227" s="52">
        <v>8904</v>
      </c>
      <c r="O227" s="38">
        <v>0.99988770353733858</v>
      </c>
      <c r="P227" s="35">
        <v>0</v>
      </c>
      <c r="Q227" s="35" t="s">
        <v>1589</v>
      </c>
      <c r="R227" s="53">
        <v>25</v>
      </c>
      <c r="S227" s="53">
        <v>1.18</v>
      </c>
    </row>
    <row r="228" spans="1:19" x14ac:dyDescent="0.3">
      <c r="A228" s="35" t="s">
        <v>1586</v>
      </c>
      <c r="B228" s="35" t="s">
        <v>2661</v>
      </c>
      <c r="C228" s="35" t="s">
        <v>1588</v>
      </c>
      <c r="D228" s="37">
        <v>1221.8770311442113</v>
      </c>
      <c r="E228" s="35" t="s">
        <v>2654</v>
      </c>
      <c r="F228" s="37">
        <v>1312.2011255924172</v>
      </c>
      <c r="G228" s="35" t="s">
        <v>2654</v>
      </c>
      <c r="H228" s="37">
        <v>1292.4828622207176</v>
      </c>
      <c r="I228" s="37" t="s">
        <v>2654</v>
      </c>
      <c r="J228" s="35">
        <v>1997</v>
      </c>
      <c r="K228" s="35" t="s">
        <v>1950</v>
      </c>
      <c r="L228" s="35" t="s">
        <v>1950</v>
      </c>
      <c r="M228" s="36">
        <v>11816</v>
      </c>
      <c r="N228" s="52">
        <v>11816</v>
      </c>
      <c r="O228" s="38">
        <v>1</v>
      </c>
      <c r="P228" s="35">
        <v>0</v>
      </c>
      <c r="Q228" s="35" t="s">
        <v>1589</v>
      </c>
      <c r="R228" s="53">
        <v>26</v>
      </c>
      <c r="S228" s="53">
        <v>0</v>
      </c>
    </row>
    <row r="229" spans="1:19" x14ac:dyDescent="0.3">
      <c r="A229" s="35" t="s">
        <v>1586</v>
      </c>
      <c r="B229" s="35" t="s">
        <v>2661</v>
      </c>
      <c r="C229" s="35" t="s">
        <v>1588</v>
      </c>
      <c r="D229" s="37">
        <v>946.61479804894759</v>
      </c>
      <c r="E229" s="35" t="s">
        <v>2654</v>
      </c>
      <c r="F229" s="37">
        <v>958.52610217354095</v>
      </c>
      <c r="G229" s="35" t="s">
        <v>2654</v>
      </c>
      <c r="H229" s="37">
        <v>1007.7821376005477</v>
      </c>
      <c r="I229" s="37" t="s">
        <v>2654</v>
      </c>
      <c r="J229" s="35">
        <v>1999</v>
      </c>
      <c r="K229" s="35" t="s">
        <v>25</v>
      </c>
      <c r="L229" s="35" t="s">
        <v>1783</v>
      </c>
      <c r="M229" s="36">
        <v>11686</v>
      </c>
      <c r="N229" s="52">
        <v>11683</v>
      </c>
      <c r="O229" s="38">
        <v>0.99974328256032863</v>
      </c>
      <c r="P229" s="35">
        <v>0</v>
      </c>
      <c r="Q229" s="35" t="s">
        <v>28</v>
      </c>
      <c r="R229" s="53">
        <v>0</v>
      </c>
      <c r="S229" s="53">
        <v>0</v>
      </c>
    </row>
    <row r="230" spans="1:19" x14ac:dyDescent="0.3">
      <c r="A230" s="35" t="s">
        <v>1586</v>
      </c>
      <c r="B230" s="35" t="s">
        <v>2661</v>
      </c>
      <c r="C230" s="35" t="s">
        <v>1588</v>
      </c>
      <c r="D230" s="37">
        <v>1056.8227557915059</v>
      </c>
      <c r="E230" s="35" t="s">
        <v>2654</v>
      </c>
      <c r="F230" s="37">
        <v>1052.297689430502</v>
      </c>
      <c r="G230" s="35" t="s">
        <v>2654</v>
      </c>
      <c r="H230" s="37">
        <v>983.44230212355205</v>
      </c>
      <c r="I230" s="37" t="s">
        <v>2654</v>
      </c>
      <c r="J230" s="35">
        <v>1995</v>
      </c>
      <c r="K230" s="35" t="s">
        <v>1950</v>
      </c>
      <c r="L230" s="35" t="s">
        <v>1950</v>
      </c>
      <c r="M230" s="36">
        <v>8288</v>
      </c>
      <c r="N230" s="52">
        <v>5942</v>
      </c>
      <c r="O230" s="38">
        <v>0.71694015444015446</v>
      </c>
      <c r="P230" s="35">
        <v>0</v>
      </c>
      <c r="Q230" s="35" t="s">
        <v>1590</v>
      </c>
      <c r="R230" s="53">
        <v>0</v>
      </c>
      <c r="S230" s="53">
        <v>0</v>
      </c>
    </row>
    <row r="231" spans="1:19" x14ac:dyDescent="0.3">
      <c r="A231" s="35" t="s">
        <v>1586</v>
      </c>
      <c r="B231" s="35" t="s">
        <v>14</v>
      </c>
      <c r="C231" s="35" t="s">
        <v>1588</v>
      </c>
      <c r="D231" s="37">
        <v>263.06255666364461</v>
      </c>
      <c r="E231" s="35" t="s">
        <v>2654</v>
      </c>
      <c r="F231" s="37">
        <v>186.04104508365614</v>
      </c>
      <c r="G231" s="35" t="s">
        <v>2655</v>
      </c>
      <c r="H231" s="37">
        <v>787.21173658616999</v>
      </c>
      <c r="I231" s="37" t="s">
        <v>2654</v>
      </c>
      <c r="J231" s="35">
        <v>1983</v>
      </c>
      <c r="K231" s="35" t="s">
        <v>1950</v>
      </c>
      <c r="L231" s="35" t="s">
        <v>1950</v>
      </c>
      <c r="M231" s="36">
        <v>12133</v>
      </c>
      <c r="N231" s="52">
        <v>8736</v>
      </c>
      <c r="O231" s="38">
        <v>0.72001978076320783</v>
      </c>
      <c r="P231" s="35">
        <v>0</v>
      </c>
      <c r="Q231" s="35" t="s">
        <v>1589</v>
      </c>
      <c r="R231" s="53">
        <v>20</v>
      </c>
      <c r="S231" s="53">
        <v>1.3779999999999999</v>
      </c>
    </row>
    <row r="232" spans="1:19" x14ac:dyDescent="0.3">
      <c r="A232" s="35" t="s">
        <v>1586</v>
      </c>
      <c r="B232" s="35" t="s">
        <v>2661</v>
      </c>
      <c r="C232" s="35" t="s">
        <v>1588</v>
      </c>
      <c r="D232" s="37">
        <v>926.21018507244617</v>
      </c>
      <c r="E232" s="35" t="s">
        <v>2654</v>
      </c>
      <c r="F232" s="37">
        <v>970.33553512723734</v>
      </c>
      <c r="G232" s="35" t="s">
        <v>2654</v>
      </c>
      <c r="H232" s="37">
        <v>733.09742237915498</v>
      </c>
      <c r="I232" s="37" t="s">
        <v>2654</v>
      </c>
      <c r="J232" s="35">
        <v>1997</v>
      </c>
      <c r="K232" s="35" t="s">
        <v>1950</v>
      </c>
      <c r="L232" s="35" t="s">
        <v>1950</v>
      </c>
      <c r="M232" s="36">
        <v>8213</v>
      </c>
      <c r="N232" s="52">
        <v>3413</v>
      </c>
      <c r="O232" s="38">
        <v>0.41556069645683674</v>
      </c>
      <c r="P232" s="35">
        <v>0</v>
      </c>
      <c r="Q232" s="35" t="s">
        <v>1589</v>
      </c>
      <c r="R232" s="53">
        <v>2</v>
      </c>
      <c r="S232" s="53">
        <v>0</v>
      </c>
    </row>
    <row r="233" spans="1:19" x14ac:dyDescent="0.3">
      <c r="A233" s="35" t="s">
        <v>1586</v>
      </c>
      <c r="B233" s="35" t="s">
        <v>2661</v>
      </c>
      <c r="C233" s="35" t="s">
        <v>1588</v>
      </c>
      <c r="D233" s="37">
        <v>805.5617244525547</v>
      </c>
      <c r="E233" s="35" t="s">
        <v>2654</v>
      </c>
      <c r="F233" s="37">
        <v>747.00843978102193</v>
      </c>
      <c r="G233" s="35" t="s">
        <v>2654</v>
      </c>
      <c r="H233" s="37">
        <v>731.16576186131385</v>
      </c>
      <c r="I233" s="37" t="s">
        <v>2654</v>
      </c>
      <c r="J233" s="35">
        <v>2003</v>
      </c>
      <c r="K233" s="35" t="s">
        <v>25</v>
      </c>
      <c r="L233" s="35" t="s">
        <v>1600</v>
      </c>
      <c r="M233" s="36">
        <v>10960</v>
      </c>
      <c r="N233" s="52">
        <v>10960</v>
      </c>
      <c r="O233" s="38">
        <v>1</v>
      </c>
      <c r="P233" s="35">
        <v>0</v>
      </c>
      <c r="Q233" s="35" t="s">
        <v>1589</v>
      </c>
      <c r="R233" s="53">
        <v>9</v>
      </c>
      <c r="S233" s="53">
        <v>0.6</v>
      </c>
    </row>
    <row r="234" spans="1:19" x14ac:dyDescent="0.3">
      <c r="A234" s="35" t="s">
        <v>1586</v>
      </c>
      <c r="B234" s="35" t="s">
        <v>14</v>
      </c>
      <c r="C234" s="35" t="s">
        <v>1588</v>
      </c>
      <c r="D234" s="37">
        <v>136.52317479867364</v>
      </c>
      <c r="E234" s="35" t="s">
        <v>2656</v>
      </c>
      <c r="F234" s="37">
        <v>397.42179346281387</v>
      </c>
      <c r="G234" s="35" t="s">
        <v>2654</v>
      </c>
      <c r="H234" s="37">
        <v>398.33542302226431</v>
      </c>
      <c r="I234" s="37" t="s">
        <v>2654</v>
      </c>
      <c r="J234" s="35">
        <v>2001</v>
      </c>
      <c r="K234" s="35" t="s">
        <v>1950</v>
      </c>
      <c r="L234" s="35" t="s">
        <v>1950</v>
      </c>
      <c r="M234" s="36">
        <v>10555</v>
      </c>
      <c r="N234" s="52">
        <v>10552</v>
      </c>
      <c r="O234" s="38">
        <v>0.99971577451444815</v>
      </c>
      <c r="P234" s="35">
        <v>0</v>
      </c>
      <c r="Q234" s="35" t="s">
        <v>28</v>
      </c>
      <c r="R234" s="53">
        <v>0</v>
      </c>
      <c r="S234" s="53">
        <v>0</v>
      </c>
    </row>
    <row r="235" spans="1:19" x14ac:dyDescent="0.3">
      <c r="A235" s="35" t="s">
        <v>1586</v>
      </c>
      <c r="B235" s="35" t="s">
        <v>14</v>
      </c>
      <c r="C235" s="35" t="s">
        <v>1588</v>
      </c>
      <c r="D235" s="37">
        <v>440.84401022644266</v>
      </c>
      <c r="E235" s="35" t="s">
        <v>2654</v>
      </c>
      <c r="F235" s="37">
        <v>422.72503652300952</v>
      </c>
      <c r="G235" s="35" t="s">
        <v>2654</v>
      </c>
      <c r="H235" s="37">
        <v>397.60390796201608</v>
      </c>
      <c r="I235" s="37" t="s">
        <v>2654</v>
      </c>
      <c r="J235" s="35">
        <v>1997</v>
      </c>
      <c r="K235" s="35" t="s">
        <v>1950</v>
      </c>
      <c r="L235" s="35" t="s">
        <v>1950</v>
      </c>
      <c r="M235" s="36">
        <v>8214</v>
      </c>
      <c r="N235" s="52">
        <v>5679</v>
      </c>
      <c r="O235" s="38">
        <v>0.69138056975894813</v>
      </c>
      <c r="P235" s="35">
        <v>0</v>
      </c>
      <c r="Q235" s="35" t="s">
        <v>1590</v>
      </c>
      <c r="R235" s="53">
        <v>0</v>
      </c>
      <c r="S235" s="53">
        <v>0</v>
      </c>
    </row>
    <row r="236" spans="1:19" x14ac:dyDescent="0.3">
      <c r="A236" s="35" t="s">
        <v>1586</v>
      </c>
      <c r="B236" s="35" t="s">
        <v>14</v>
      </c>
      <c r="C236" s="35" t="s">
        <v>1588</v>
      </c>
      <c r="D236" s="37">
        <v>283.80390691532949</v>
      </c>
      <c r="E236" s="35" t="s">
        <v>2654</v>
      </c>
      <c r="F236" s="37">
        <v>277.37057927475746</v>
      </c>
      <c r="G236" s="35" t="s">
        <v>2654</v>
      </c>
      <c r="H236" s="37">
        <v>344.07889937910693</v>
      </c>
      <c r="I236" s="37" t="s">
        <v>2654</v>
      </c>
      <c r="J236" s="35">
        <v>2000</v>
      </c>
      <c r="K236" s="35" t="s">
        <v>1950</v>
      </c>
      <c r="L236" s="35" t="s">
        <v>1950</v>
      </c>
      <c r="M236" s="36">
        <v>8724.5300000000007</v>
      </c>
      <c r="N236" s="52">
        <v>100</v>
      </c>
      <c r="O236" s="38">
        <v>1.1461935485349926E-2</v>
      </c>
      <c r="P236" s="35">
        <v>0</v>
      </c>
      <c r="Q236" s="35" t="s">
        <v>28</v>
      </c>
      <c r="R236" s="53">
        <v>0</v>
      </c>
      <c r="S236" s="53">
        <v>0</v>
      </c>
    </row>
    <row r="237" spans="1:19" x14ac:dyDescent="0.3">
      <c r="A237" s="35" t="s">
        <v>1586</v>
      </c>
      <c r="B237" s="35" t="s">
        <v>2661</v>
      </c>
      <c r="C237" s="35" t="s">
        <v>1588</v>
      </c>
      <c r="D237" s="37">
        <v>361.59347334117859</v>
      </c>
      <c r="E237" s="35" t="s">
        <v>2654</v>
      </c>
      <c r="F237" s="37">
        <v>344.620553091337</v>
      </c>
      <c r="G237" s="35" t="s">
        <v>2654</v>
      </c>
      <c r="H237" s="37">
        <v>325.84723273286863</v>
      </c>
      <c r="I237" s="37" t="s">
        <v>2654</v>
      </c>
      <c r="J237" s="35">
        <v>1986</v>
      </c>
      <c r="K237" s="35" t="s">
        <v>25</v>
      </c>
      <c r="L237" s="35" t="s">
        <v>1818</v>
      </c>
      <c r="M237" s="36">
        <v>11047</v>
      </c>
      <c r="N237" s="52">
        <v>8824</v>
      </c>
      <c r="O237" s="38">
        <v>0.79876889653299543</v>
      </c>
      <c r="P237" s="35">
        <v>0</v>
      </c>
      <c r="Q237" s="35" t="s">
        <v>1589</v>
      </c>
      <c r="R237" s="53">
        <v>12</v>
      </c>
      <c r="S237" s="53">
        <v>0.69599999999999995</v>
      </c>
    </row>
    <row r="238" spans="1:19" x14ac:dyDescent="0.3">
      <c r="A238" s="35" t="s">
        <v>1586</v>
      </c>
      <c r="B238" s="35" t="s">
        <v>14</v>
      </c>
      <c r="C238" s="35" t="s">
        <v>1588</v>
      </c>
      <c r="D238" s="37">
        <v>346.56835855112331</v>
      </c>
      <c r="E238" s="35" t="s">
        <v>2654</v>
      </c>
      <c r="F238" s="37">
        <v>317.69989454378725</v>
      </c>
      <c r="G238" s="35" t="s">
        <v>2654</v>
      </c>
      <c r="H238" s="37">
        <v>300.71985327831271</v>
      </c>
      <c r="I238" s="37" t="s">
        <v>2654</v>
      </c>
      <c r="J238" s="35">
        <v>2011</v>
      </c>
      <c r="K238" s="35" t="s">
        <v>1950</v>
      </c>
      <c r="L238" s="35" t="s">
        <v>1950</v>
      </c>
      <c r="M238" s="36">
        <v>2181</v>
      </c>
      <c r="N238" s="52">
        <v>1486</v>
      </c>
      <c r="O238" s="38">
        <v>0.68133883539660711</v>
      </c>
      <c r="P238" s="35">
        <v>0</v>
      </c>
      <c r="Q238" s="35" t="s">
        <v>28</v>
      </c>
      <c r="R238" s="53">
        <v>0</v>
      </c>
      <c r="S238" s="53">
        <v>0</v>
      </c>
    </row>
    <row r="239" spans="1:19" x14ac:dyDescent="0.3">
      <c r="A239" s="35" t="s">
        <v>1586</v>
      </c>
      <c r="B239" s="35" t="s">
        <v>14</v>
      </c>
      <c r="C239" s="35" t="s">
        <v>1588</v>
      </c>
      <c r="D239" s="37">
        <v>430.40304337899533</v>
      </c>
      <c r="E239" s="35" t="s">
        <v>2654</v>
      </c>
      <c r="F239" s="37">
        <v>277.7588287671233</v>
      </c>
      <c r="G239" s="35" t="s">
        <v>2654</v>
      </c>
      <c r="H239" s="37">
        <v>290.04740296803652</v>
      </c>
      <c r="I239" s="37" t="s">
        <v>2654</v>
      </c>
      <c r="J239" s="35">
        <v>1992</v>
      </c>
      <c r="K239" s="35" t="s">
        <v>1950</v>
      </c>
      <c r="L239" s="35" t="s">
        <v>1950</v>
      </c>
      <c r="M239" s="36">
        <v>8760</v>
      </c>
      <c r="N239" s="52">
        <v>0</v>
      </c>
      <c r="O239" s="38">
        <v>0</v>
      </c>
      <c r="P239" s="35">
        <v>0</v>
      </c>
      <c r="Q239" s="35" t="s">
        <v>28</v>
      </c>
      <c r="R239" s="53">
        <v>0</v>
      </c>
      <c r="S239" s="53">
        <v>0</v>
      </c>
    </row>
    <row r="240" spans="1:19" x14ac:dyDescent="0.3">
      <c r="A240" s="35" t="s">
        <v>1586</v>
      </c>
      <c r="B240" s="35" t="s">
        <v>14</v>
      </c>
      <c r="C240" s="35" t="s">
        <v>1588</v>
      </c>
      <c r="D240" s="37">
        <v>265.09362370902562</v>
      </c>
      <c r="E240" s="35" t="s">
        <v>2654</v>
      </c>
      <c r="F240" s="37">
        <v>273.01206780422092</v>
      </c>
      <c r="G240" s="35" t="s">
        <v>2654</v>
      </c>
      <c r="H240" s="37">
        <v>277.61321284238886</v>
      </c>
      <c r="I240" s="37" t="s">
        <v>2654</v>
      </c>
      <c r="J240" s="35">
        <v>1998</v>
      </c>
      <c r="K240" s="35" t="s">
        <v>1950</v>
      </c>
      <c r="L240" s="35" t="s">
        <v>1950</v>
      </c>
      <c r="M240" s="36">
        <v>8908</v>
      </c>
      <c r="N240" s="52">
        <v>8907</v>
      </c>
      <c r="O240" s="38">
        <v>0.99988774135608438</v>
      </c>
      <c r="P240" s="35">
        <v>0</v>
      </c>
      <c r="Q240" s="35" t="s">
        <v>1589</v>
      </c>
      <c r="R240" s="53">
        <v>5</v>
      </c>
      <c r="S240" s="53">
        <v>0</v>
      </c>
    </row>
    <row r="241" spans="1:19" x14ac:dyDescent="0.3">
      <c r="A241" s="35" t="s">
        <v>1586</v>
      </c>
      <c r="B241" s="35" t="s">
        <v>14</v>
      </c>
      <c r="C241" s="35" t="s">
        <v>1588</v>
      </c>
      <c r="D241" s="37">
        <v>231.49383802816902</v>
      </c>
      <c r="E241" s="35" t="s">
        <v>2654</v>
      </c>
      <c r="F241" s="37">
        <v>246.97183098591549</v>
      </c>
      <c r="G241" s="35" t="s">
        <v>2654</v>
      </c>
      <c r="H241" s="37">
        <v>259.96742957746477</v>
      </c>
      <c r="I241" s="37" t="s">
        <v>2654</v>
      </c>
      <c r="J241" s="35">
        <v>2004</v>
      </c>
      <c r="K241" s="35" t="s">
        <v>1950</v>
      </c>
      <c r="L241" s="35" t="s">
        <v>1950</v>
      </c>
      <c r="M241" s="36">
        <v>5680</v>
      </c>
      <c r="N241" s="52">
        <v>4202</v>
      </c>
      <c r="O241" s="38">
        <v>0.73978873239436616</v>
      </c>
      <c r="P241" s="35">
        <v>0</v>
      </c>
      <c r="Q241" s="35" t="s">
        <v>28</v>
      </c>
      <c r="R241" s="53">
        <v>0</v>
      </c>
      <c r="S241" s="53">
        <v>0</v>
      </c>
    </row>
    <row r="242" spans="1:19" x14ac:dyDescent="0.3">
      <c r="A242" s="35" t="s">
        <v>1586</v>
      </c>
      <c r="B242" s="35" t="s">
        <v>14</v>
      </c>
      <c r="C242" s="35" t="s">
        <v>1588</v>
      </c>
      <c r="D242" s="37">
        <v>273.33120000000002</v>
      </c>
      <c r="E242" s="35" t="s">
        <v>2654</v>
      </c>
      <c r="F242" s="37">
        <v>266.70848932038831</v>
      </c>
      <c r="G242" s="35" t="s">
        <v>2654</v>
      </c>
      <c r="H242" s="37">
        <v>259.69975922330099</v>
      </c>
      <c r="I242" s="37" t="s">
        <v>2654</v>
      </c>
      <c r="J242" s="35">
        <v>2009</v>
      </c>
      <c r="K242" s="35" t="s">
        <v>1950</v>
      </c>
      <c r="L242" s="35" t="s">
        <v>1950</v>
      </c>
      <c r="M242" s="36">
        <v>12875</v>
      </c>
      <c r="N242" s="52">
        <v>12763</v>
      </c>
      <c r="O242" s="38">
        <v>0.99130097087378644</v>
      </c>
      <c r="P242" s="35">
        <v>0</v>
      </c>
      <c r="Q242" s="35" t="s">
        <v>1590</v>
      </c>
      <c r="R242" s="53">
        <v>0</v>
      </c>
      <c r="S242" s="53">
        <v>0</v>
      </c>
    </row>
    <row r="243" spans="1:19" x14ac:dyDescent="0.3">
      <c r="A243" s="35" t="s">
        <v>1586</v>
      </c>
      <c r="B243" s="35" t="s">
        <v>14</v>
      </c>
      <c r="C243" s="35" t="s">
        <v>1588</v>
      </c>
      <c r="D243" s="37">
        <v>211.89316913279643</v>
      </c>
      <c r="E243" s="35" t="s">
        <v>2655</v>
      </c>
      <c r="F243" s="37">
        <v>241.12633451957299</v>
      </c>
      <c r="G243" s="35" t="s">
        <v>2654</v>
      </c>
      <c r="H243" s="37">
        <v>257.26115471061996</v>
      </c>
      <c r="I243" s="37" t="s">
        <v>2654</v>
      </c>
      <c r="J243" s="35">
        <v>1986</v>
      </c>
      <c r="K243" s="35" t="s">
        <v>25</v>
      </c>
      <c r="L243" s="35" t="s">
        <v>1601</v>
      </c>
      <c r="M243" s="36">
        <v>10678</v>
      </c>
      <c r="N243" s="52">
        <v>9000</v>
      </c>
      <c r="O243" s="38">
        <v>0.84285446712867573</v>
      </c>
      <c r="P243" s="35">
        <v>0</v>
      </c>
      <c r="Q243" s="35" t="s">
        <v>1787</v>
      </c>
      <c r="R243" s="53">
        <v>0</v>
      </c>
      <c r="S243" s="53">
        <v>0</v>
      </c>
    </row>
    <row r="244" spans="1:19" x14ac:dyDescent="0.3">
      <c r="A244" s="35" t="s">
        <v>1586</v>
      </c>
      <c r="B244" s="35" t="s">
        <v>2661</v>
      </c>
      <c r="C244" s="35" t="s">
        <v>1588</v>
      </c>
      <c r="D244" s="37">
        <v>282.87021567106285</v>
      </c>
      <c r="E244" s="35" t="s">
        <v>2654</v>
      </c>
      <c r="F244" s="37">
        <v>270.53065011636926</v>
      </c>
      <c r="G244" s="35" t="s">
        <v>2654</v>
      </c>
      <c r="H244" s="37">
        <v>257.17409231962762</v>
      </c>
      <c r="I244" s="37" t="s">
        <v>2654</v>
      </c>
      <c r="J244" s="35">
        <v>1990</v>
      </c>
      <c r="K244" s="35" t="s">
        <v>19</v>
      </c>
      <c r="L244" s="35" t="s">
        <v>1603</v>
      </c>
      <c r="M244" s="36">
        <v>12890</v>
      </c>
      <c r="N244" s="52">
        <v>9670</v>
      </c>
      <c r="O244" s="38">
        <v>0.75019394879751744</v>
      </c>
      <c r="P244" s="35">
        <v>0</v>
      </c>
      <c r="Q244" s="35" t="s">
        <v>1589</v>
      </c>
      <c r="R244" s="53">
        <v>0</v>
      </c>
      <c r="S244" s="53">
        <v>0.7</v>
      </c>
    </row>
    <row r="245" spans="1:19" x14ac:dyDescent="0.3">
      <c r="A245" s="35" t="s">
        <v>1586</v>
      </c>
      <c r="B245" s="35" t="s">
        <v>14</v>
      </c>
      <c r="C245" s="35" t="s">
        <v>1588</v>
      </c>
      <c r="D245" s="37">
        <v>315.97618253385815</v>
      </c>
      <c r="E245" s="35" t="s">
        <v>2654</v>
      </c>
      <c r="F245" s="37">
        <v>276.77396757622256</v>
      </c>
      <c r="G245" s="35" t="s">
        <v>2654</v>
      </c>
      <c r="H245" s="37">
        <v>256.37247314697447</v>
      </c>
      <c r="I245" s="37" t="s">
        <v>2654</v>
      </c>
      <c r="J245" s="35">
        <v>2001</v>
      </c>
      <c r="K245" s="35" t="s">
        <v>47</v>
      </c>
      <c r="L245" s="35" t="s">
        <v>1599</v>
      </c>
      <c r="M245" s="36">
        <v>14989</v>
      </c>
      <c r="N245" s="52">
        <v>14873</v>
      </c>
      <c r="O245" s="38">
        <v>0.99226099139368873</v>
      </c>
      <c r="P245" s="35">
        <v>0</v>
      </c>
      <c r="Q245" s="35" t="s">
        <v>1589</v>
      </c>
      <c r="R245" s="53">
        <v>1</v>
      </c>
      <c r="S245" s="53">
        <v>0</v>
      </c>
    </row>
    <row r="246" spans="1:19" x14ac:dyDescent="0.3">
      <c r="A246" s="35" t="s">
        <v>1586</v>
      </c>
      <c r="B246" s="35" t="s">
        <v>14</v>
      </c>
      <c r="C246" s="35" t="s">
        <v>1588</v>
      </c>
      <c r="D246" s="37">
        <v>227.94052144016806</v>
      </c>
      <c r="E246" s="35" t="s">
        <v>2654</v>
      </c>
      <c r="F246" s="37">
        <v>242.90866201890938</v>
      </c>
      <c r="G246" s="35" t="s">
        <v>2654</v>
      </c>
      <c r="H246" s="37">
        <v>250.43400821316015</v>
      </c>
      <c r="I246" s="37" t="s">
        <v>2656</v>
      </c>
      <c r="J246" s="35">
        <v>1980</v>
      </c>
      <c r="K246" s="35" t="s">
        <v>1950</v>
      </c>
      <c r="L246" s="35" t="s">
        <v>1950</v>
      </c>
      <c r="M246" s="36">
        <v>10471</v>
      </c>
      <c r="N246" s="52">
        <v>7202</v>
      </c>
      <c r="O246" s="38">
        <v>0.68780441218603761</v>
      </c>
      <c r="P246" s="35">
        <v>0</v>
      </c>
      <c r="Q246" s="35" t="s">
        <v>28</v>
      </c>
      <c r="R246" s="53">
        <v>0</v>
      </c>
      <c r="S246" s="53">
        <v>0</v>
      </c>
    </row>
    <row r="247" spans="1:19" x14ac:dyDescent="0.3">
      <c r="A247" s="35" t="s">
        <v>1586</v>
      </c>
      <c r="B247" s="35" t="s">
        <v>2661</v>
      </c>
      <c r="C247" s="35" t="s">
        <v>1588</v>
      </c>
      <c r="D247" s="37">
        <v>256.61915950757242</v>
      </c>
      <c r="E247" s="35" t="s">
        <v>2654</v>
      </c>
      <c r="F247" s="37">
        <v>257.49486759365863</v>
      </c>
      <c r="G247" s="35" t="s">
        <v>2654</v>
      </c>
      <c r="H247" s="37">
        <v>249.88562571959969</v>
      </c>
      <c r="I247" s="37" t="s">
        <v>2656</v>
      </c>
      <c r="J247" s="35">
        <v>1997</v>
      </c>
      <c r="K247" s="35" t="s">
        <v>1950</v>
      </c>
      <c r="L247" s="35" t="s">
        <v>1950</v>
      </c>
      <c r="M247" s="36">
        <v>11291</v>
      </c>
      <c r="N247" s="52">
        <v>10627</v>
      </c>
      <c r="O247" s="38">
        <v>0.94119209990257724</v>
      </c>
      <c r="P247" s="35">
        <v>0</v>
      </c>
      <c r="Q247" s="35" t="s">
        <v>1589</v>
      </c>
      <c r="R247" s="53">
        <v>2</v>
      </c>
      <c r="S247" s="53">
        <v>0.7</v>
      </c>
    </row>
    <row r="248" spans="1:19" x14ac:dyDescent="0.3">
      <c r="A248" s="35" t="s">
        <v>1586</v>
      </c>
      <c r="B248" s="35" t="s">
        <v>14</v>
      </c>
      <c r="C248" s="35" t="s">
        <v>1588</v>
      </c>
      <c r="D248" s="37">
        <v>141.96703980099502</v>
      </c>
      <c r="E248" s="35" t="s">
        <v>2656</v>
      </c>
      <c r="F248" s="37">
        <v>224.15980528392518</v>
      </c>
      <c r="G248" s="35" t="s">
        <v>2654</v>
      </c>
      <c r="H248" s="37">
        <v>234.92660319094182</v>
      </c>
      <c r="I248" s="37" t="s">
        <v>2656</v>
      </c>
      <c r="J248" s="35">
        <v>2018</v>
      </c>
      <c r="K248" s="35" t="s">
        <v>1950</v>
      </c>
      <c r="L248" s="35" t="s">
        <v>1950</v>
      </c>
      <c r="M248" s="36">
        <v>11658</v>
      </c>
      <c r="N248" s="52">
        <v>11559</v>
      </c>
      <c r="O248" s="38">
        <v>0.99150797735460627</v>
      </c>
      <c r="P248" s="35">
        <v>0</v>
      </c>
      <c r="Q248" s="35" t="s">
        <v>1589</v>
      </c>
      <c r="R248" s="53">
        <v>5</v>
      </c>
      <c r="S248" s="53">
        <v>0</v>
      </c>
    </row>
    <row r="249" spans="1:19" x14ac:dyDescent="0.3">
      <c r="A249" s="35" t="s">
        <v>1586</v>
      </c>
      <c r="B249" s="35" t="s">
        <v>14</v>
      </c>
      <c r="C249" s="35" t="s">
        <v>1588</v>
      </c>
      <c r="D249" s="37">
        <v>262.95053064371064</v>
      </c>
      <c r="E249" s="35" t="s">
        <v>2654</v>
      </c>
      <c r="F249" s="37">
        <v>249.72294616471797</v>
      </c>
      <c r="G249" s="35" t="s">
        <v>2654</v>
      </c>
      <c r="H249" s="37">
        <v>233.00322369266351</v>
      </c>
      <c r="I249" s="37" t="s">
        <v>2656</v>
      </c>
      <c r="J249" s="35">
        <v>2009</v>
      </c>
      <c r="K249" s="35" t="s">
        <v>1950</v>
      </c>
      <c r="L249" s="35" t="s">
        <v>1950</v>
      </c>
      <c r="M249" s="36">
        <v>7783</v>
      </c>
      <c r="N249" s="52">
        <v>5867</v>
      </c>
      <c r="O249" s="38">
        <v>0.75382243350892975</v>
      </c>
      <c r="P249" s="35">
        <v>0</v>
      </c>
      <c r="Q249" s="35" t="s">
        <v>1590</v>
      </c>
      <c r="R249" s="53">
        <v>0</v>
      </c>
      <c r="S249" s="53">
        <v>0</v>
      </c>
    </row>
    <row r="250" spans="1:19" x14ac:dyDescent="0.3">
      <c r="A250" s="35" t="s">
        <v>1586</v>
      </c>
      <c r="B250" s="35" t="s">
        <v>14</v>
      </c>
      <c r="C250" s="35" t="s">
        <v>1588</v>
      </c>
      <c r="D250" s="37">
        <v>205.89045943817277</v>
      </c>
      <c r="E250" s="39" t="s">
        <v>1950</v>
      </c>
      <c r="F250" s="37">
        <v>182.05873457600418</v>
      </c>
      <c r="G250" s="35" t="s">
        <v>1950</v>
      </c>
      <c r="H250" s="37">
        <v>226.41768443160933</v>
      </c>
      <c r="I250" s="37" t="s">
        <v>1950</v>
      </c>
      <c r="J250" s="35">
        <v>2012</v>
      </c>
      <c r="K250" s="35" t="s">
        <v>1950</v>
      </c>
      <c r="L250" s="35" t="s">
        <v>1950</v>
      </c>
      <c r="M250" s="36">
        <v>3809</v>
      </c>
      <c r="N250" s="52">
        <v>1000</v>
      </c>
      <c r="O250" s="38">
        <v>0.26253609871357314</v>
      </c>
      <c r="P250" s="35">
        <v>0</v>
      </c>
      <c r="Q250" s="35" t="s">
        <v>1821</v>
      </c>
      <c r="R250" s="53">
        <v>0</v>
      </c>
      <c r="S250" s="53">
        <v>0</v>
      </c>
    </row>
    <row r="251" spans="1:19" x14ac:dyDescent="0.3">
      <c r="A251" s="35" t="s">
        <v>1586</v>
      </c>
      <c r="B251" s="35" t="s">
        <v>14</v>
      </c>
      <c r="C251" s="35" t="s">
        <v>1588</v>
      </c>
      <c r="D251" s="37">
        <v>229.55747440273038</v>
      </c>
      <c r="E251" s="35" t="s">
        <v>2654</v>
      </c>
      <c r="F251" s="37">
        <v>212.09093060295791</v>
      </c>
      <c r="G251" s="35" t="s">
        <v>2655</v>
      </c>
      <c r="H251" s="37">
        <v>225.31584072810011</v>
      </c>
      <c r="I251" s="37" t="s">
        <v>2656</v>
      </c>
      <c r="J251" s="35">
        <v>1990</v>
      </c>
      <c r="K251" s="35" t="s">
        <v>21</v>
      </c>
      <c r="L251" s="35" t="s">
        <v>1783</v>
      </c>
      <c r="M251" s="36">
        <v>8790</v>
      </c>
      <c r="N251" s="52">
        <v>6539</v>
      </c>
      <c r="O251" s="38">
        <v>0.7439135381114903</v>
      </c>
      <c r="P251" s="35">
        <v>0</v>
      </c>
      <c r="Q251" s="35" t="s">
        <v>28</v>
      </c>
      <c r="R251" s="53">
        <v>0</v>
      </c>
      <c r="S251" s="53">
        <v>0</v>
      </c>
    </row>
    <row r="252" spans="1:19" x14ac:dyDescent="0.3">
      <c r="A252" s="35" t="s">
        <v>1586</v>
      </c>
      <c r="B252" s="35" t="s">
        <v>14</v>
      </c>
      <c r="C252" s="35" t="s">
        <v>1588</v>
      </c>
      <c r="D252" s="37">
        <v>314.06721710526318</v>
      </c>
      <c r="E252" s="35" t="s">
        <v>2654</v>
      </c>
      <c r="F252" s="37">
        <v>301.07987236842104</v>
      </c>
      <c r="G252" s="35" t="s">
        <v>2654</v>
      </c>
      <c r="H252" s="37">
        <v>224.50304605263156</v>
      </c>
      <c r="I252" s="37" t="s">
        <v>2656</v>
      </c>
      <c r="J252" s="35">
        <v>1998</v>
      </c>
      <c r="K252" s="35" t="s">
        <v>25</v>
      </c>
      <c r="L252" s="35" t="s">
        <v>1818</v>
      </c>
      <c r="M252" s="36">
        <v>7600</v>
      </c>
      <c r="N252" s="52">
        <v>7419</v>
      </c>
      <c r="O252" s="38">
        <v>0.97618421052631577</v>
      </c>
      <c r="P252" s="35">
        <v>0</v>
      </c>
      <c r="Q252" s="35" t="s">
        <v>1589</v>
      </c>
      <c r="R252" s="53">
        <v>10</v>
      </c>
      <c r="S252" s="53">
        <v>0.79700000000000004</v>
      </c>
    </row>
    <row r="253" spans="1:19" x14ac:dyDescent="0.3">
      <c r="A253" s="35" t="s">
        <v>1586</v>
      </c>
      <c r="B253" s="35" t="s">
        <v>14</v>
      </c>
      <c r="C253" s="35" t="s">
        <v>1588</v>
      </c>
      <c r="D253" s="37">
        <v>227.25874552244494</v>
      </c>
      <c r="E253" s="35" t="s">
        <v>2654</v>
      </c>
      <c r="F253" s="37">
        <v>224.25443944821279</v>
      </c>
      <c r="G253" s="35" t="s">
        <v>2654</v>
      </c>
      <c r="H253" s="37">
        <v>222.12190381830652</v>
      </c>
      <c r="I253" s="37" t="s">
        <v>2656</v>
      </c>
      <c r="J253" s="35">
        <v>2013</v>
      </c>
      <c r="K253" s="35" t="s">
        <v>21</v>
      </c>
      <c r="L253" s="35" t="s">
        <v>1818</v>
      </c>
      <c r="M253" s="36">
        <v>13121</v>
      </c>
      <c r="N253" s="52">
        <v>12587</v>
      </c>
      <c r="O253" s="38">
        <v>0.95930188247846959</v>
      </c>
      <c r="P253" s="35">
        <v>0</v>
      </c>
      <c r="Q253" s="35" t="s">
        <v>1589</v>
      </c>
      <c r="R253" s="53">
        <v>10</v>
      </c>
      <c r="S253" s="53">
        <v>0.67</v>
      </c>
    </row>
    <row r="254" spans="1:19" x14ac:dyDescent="0.3">
      <c r="A254" s="35" t="s">
        <v>1586</v>
      </c>
      <c r="B254" s="35" t="s">
        <v>14</v>
      </c>
      <c r="C254" s="35" t="s">
        <v>1588</v>
      </c>
      <c r="D254" s="37">
        <v>234.11232349165596</v>
      </c>
      <c r="E254" s="35" t="s">
        <v>2654</v>
      </c>
      <c r="F254" s="37">
        <v>234.8556516451591</v>
      </c>
      <c r="G254" s="35" t="s">
        <v>2654</v>
      </c>
      <c r="H254" s="37">
        <v>221.12451861360719</v>
      </c>
      <c r="I254" s="37" t="s">
        <v>2656</v>
      </c>
      <c r="J254" s="35">
        <v>1995</v>
      </c>
      <c r="K254" s="35" t="s">
        <v>1950</v>
      </c>
      <c r="L254" s="35" t="s">
        <v>1950</v>
      </c>
      <c r="M254" s="36">
        <v>14801</v>
      </c>
      <c r="N254" s="52">
        <v>17642</v>
      </c>
      <c r="O254" s="38">
        <v>1.19194649010202</v>
      </c>
      <c r="P254" s="35">
        <v>0</v>
      </c>
      <c r="Q254" s="35" t="s">
        <v>1590</v>
      </c>
      <c r="R254" s="53">
        <v>0</v>
      </c>
      <c r="S254" s="53">
        <v>0</v>
      </c>
    </row>
    <row r="255" spans="1:19" x14ac:dyDescent="0.3">
      <c r="A255" s="35" t="s">
        <v>1586</v>
      </c>
      <c r="B255" s="35" t="s">
        <v>14</v>
      </c>
      <c r="C255" s="35" t="s">
        <v>1588</v>
      </c>
      <c r="D255" s="37">
        <v>216.26585322843189</v>
      </c>
      <c r="E255" s="35" t="s">
        <v>2655</v>
      </c>
      <c r="F255" s="37">
        <v>212.43017498643516</v>
      </c>
      <c r="G255" s="35" t="s">
        <v>2655</v>
      </c>
      <c r="H255" s="37">
        <v>220.36118149755831</v>
      </c>
      <c r="I255" s="37" t="s">
        <v>2656</v>
      </c>
      <c r="J255" s="35">
        <v>1980</v>
      </c>
      <c r="K255" s="35" t="s">
        <v>1950</v>
      </c>
      <c r="L255" s="35" t="s">
        <v>1950</v>
      </c>
      <c r="M255" s="36">
        <v>7372</v>
      </c>
      <c r="N255" s="52">
        <v>7163</v>
      </c>
      <c r="O255" s="38">
        <v>0.97164948453608246</v>
      </c>
      <c r="P255" s="35">
        <v>0</v>
      </c>
      <c r="Q255" s="35" t="s">
        <v>28</v>
      </c>
      <c r="R255" s="53">
        <v>0</v>
      </c>
      <c r="S255" s="53">
        <v>0</v>
      </c>
    </row>
    <row r="256" spans="1:19" x14ac:dyDescent="0.3">
      <c r="A256" s="35" t="s">
        <v>1586</v>
      </c>
      <c r="B256" s="35" t="s">
        <v>14</v>
      </c>
      <c r="C256" s="35" t="s">
        <v>1588</v>
      </c>
      <c r="D256" s="37">
        <v>242.3744864018783</v>
      </c>
      <c r="E256" s="35" t="s">
        <v>2654</v>
      </c>
      <c r="F256" s="37">
        <v>237.84151829387596</v>
      </c>
      <c r="G256" s="35" t="s">
        <v>2654</v>
      </c>
      <c r="H256" s="37">
        <v>220.08530620230874</v>
      </c>
      <c r="I256" s="37" t="s">
        <v>2656</v>
      </c>
      <c r="J256" s="35">
        <v>1984</v>
      </c>
      <c r="K256" s="35" t="s">
        <v>1950</v>
      </c>
      <c r="L256" s="35" t="s">
        <v>1950</v>
      </c>
      <c r="M256" s="36">
        <v>5111</v>
      </c>
      <c r="N256" s="52">
        <v>2100</v>
      </c>
      <c r="O256" s="38">
        <v>0.41087849735863824</v>
      </c>
      <c r="P256" s="35">
        <v>0</v>
      </c>
      <c r="Q256" s="35" t="s">
        <v>1589</v>
      </c>
      <c r="R256" s="53">
        <v>30</v>
      </c>
      <c r="S256" s="53">
        <v>0</v>
      </c>
    </row>
    <row r="257" spans="1:19" x14ac:dyDescent="0.3">
      <c r="A257" s="35" t="s">
        <v>1586</v>
      </c>
      <c r="B257" s="35" t="s">
        <v>14</v>
      </c>
      <c r="C257" s="35" t="s">
        <v>1588</v>
      </c>
      <c r="D257" s="37">
        <v>214.44621392579018</v>
      </c>
      <c r="E257" s="35" t="s">
        <v>2655</v>
      </c>
      <c r="F257" s="37">
        <v>203.4183005038937</v>
      </c>
      <c r="G257" s="35" t="s">
        <v>2655</v>
      </c>
      <c r="H257" s="37">
        <v>220.01164223545581</v>
      </c>
      <c r="I257" s="37" t="s">
        <v>2656</v>
      </c>
      <c r="J257" s="35">
        <v>2005</v>
      </c>
      <c r="K257" s="35" t="s">
        <v>1950</v>
      </c>
      <c r="L257" s="35" t="s">
        <v>1950</v>
      </c>
      <c r="M257" s="36">
        <v>13098</v>
      </c>
      <c r="N257" s="52">
        <v>9195</v>
      </c>
      <c r="O257" s="38">
        <v>0.70201557489693078</v>
      </c>
      <c r="P257" s="35">
        <v>0</v>
      </c>
      <c r="Q257" s="35" t="s">
        <v>1590</v>
      </c>
      <c r="R257" s="53">
        <v>0</v>
      </c>
      <c r="S257" s="53">
        <v>2</v>
      </c>
    </row>
    <row r="258" spans="1:19" x14ac:dyDescent="0.3">
      <c r="A258" s="35" t="s">
        <v>1586</v>
      </c>
      <c r="B258" s="35" t="s">
        <v>14</v>
      </c>
      <c r="C258" s="35" t="s">
        <v>1588</v>
      </c>
      <c r="D258" s="37">
        <v>222.4462405883383</v>
      </c>
      <c r="E258" s="35" t="s">
        <v>2655</v>
      </c>
      <c r="F258" s="37">
        <v>208.86382419891439</v>
      </c>
      <c r="G258" s="35" t="s">
        <v>2655</v>
      </c>
      <c r="H258" s="37">
        <v>216.73091227455788</v>
      </c>
      <c r="I258" s="37" t="s">
        <v>2656</v>
      </c>
      <c r="J258" s="35">
        <v>1974</v>
      </c>
      <c r="K258" s="35" t="s">
        <v>1950</v>
      </c>
      <c r="L258" s="35" t="s">
        <v>1950</v>
      </c>
      <c r="M258" s="36">
        <v>5711</v>
      </c>
      <c r="N258" s="52">
        <v>5711</v>
      </c>
      <c r="O258" s="38">
        <v>1</v>
      </c>
      <c r="P258" s="35">
        <v>0</v>
      </c>
      <c r="Q258" s="35" t="s">
        <v>1787</v>
      </c>
      <c r="R258" s="53">
        <v>0</v>
      </c>
      <c r="S258" s="53">
        <v>0</v>
      </c>
    </row>
    <row r="259" spans="1:19" x14ac:dyDescent="0.3">
      <c r="A259" s="35" t="s">
        <v>1586</v>
      </c>
      <c r="B259" s="35" t="s">
        <v>14</v>
      </c>
      <c r="C259" s="35" t="s">
        <v>1588</v>
      </c>
      <c r="D259" s="37">
        <v>202.54317846757283</v>
      </c>
      <c r="E259" s="35" t="s">
        <v>2655</v>
      </c>
      <c r="F259" s="37">
        <v>201.73386352877526</v>
      </c>
      <c r="G259" s="35" t="s">
        <v>2655</v>
      </c>
      <c r="H259" s="37">
        <v>215.06336849935752</v>
      </c>
      <c r="I259" s="37" t="s">
        <v>2656</v>
      </c>
      <c r="J259" s="35">
        <v>1980</v>
      </c>
      <c r="K259" s="35" t="s">
        <v>25</v>
      </c>
      <c r="L259" s="35" t="s">
        <v>1601</v>
      </c>
      <c r="M259" s="36">
        <v>14787</v>
      </c>
      <c r="N259" s="52">
        <v>18000</v>
      </c>
      <c r="O259" s="38">
        <v>1.2172854534388313</v>
      </c>
      <c r="P259" s="35">
        <v>0</v>
      </c>
      <c r="Q259" s="35" t="s">
        <v>1589</v>
      </c>
      <c r="R259" s="53">
        <v>6</v>
      </c>
      <c r="S259" s="53">
        <v>0.77</v>
      </c>
    </row>
    <row r="260" spans="1:19" x14ac:dyDescent="0.3">
      <c r="A260" s="35" t="s">
        <v>1586</v>
      </c>
      <c r="B260" s="35" t="s">
        <v>14</v>
      </c>
      <c r="C260" s="35" t="s">
        <v>1588</v>
      </c>
      <c r="D260" s="37">
        <v>236.91848350193814</v>
      </c>
      <c r="E260" s="35" t="s">
        <v>2654</v>
      </c>
      <c r="F260" s="37">
        <v>240.97801834168479</v>
      </c>
      <c r="G260" s="35" t="s">
        <v>2654</v>
      </c>
      <c r="H260" s="37">
        <v>214.7826226718351</v>
      </c>
      <c r="I260" s="37" t="s">
        <v>2656</v>
      </c>
      <c r="J260" s="35">
        <v>1998</v>
      </c>
      <c r="K260" s="35" t="s">
        <v>25</v>
      </c>
      <c r="L260" s="35" t="s">
        <v>1818</v>
      </c>
      <c r="M260" s="36">
        <v>10577</v>
      </c>
      <c r="N260" s="52">
        <v>9171</v>
      </c>
      <c r="O260" s="38">
        <v>0.86707005767230783</v>
      </c>
      <c r="P260" s="35">
        <v>0</v>
      </c>
      <c r="Q260" s="35" t="s">
        <v>1589</v>
      </c>
      <c r="R260" s="53">
        <v>3</v>
      </c>
      <c r="S260" s="53">
        <v>0.68</v>
      </c>
    </row>
    <row r="261" spans="1:19" x14ac:dyDescent="0.3">
      <c r="A261" s="35" t="s">
        <v>1586</v>
      </c>
      <c r="B261" s="35" t="s">
        <v>14</v>
      </c>
      <c r="C261" s="35" t="s">
        <v>1588</v>
      </c>
      <c r="D261" s="37">
        <v>188.51090612577718</v>
      </c>
      <c r="E261" s="35" t="s">
        <v>2655</v>
      </c>
      <c r="F261" s="37">
        <v>207.91122209764549</v>
      </c>
      <c r="G261" s="35" t="s">
        <v>2655</v>
      </c>
      <c r="H261" s="37">
        <v>210.97344817042097</v>
      </c>
      <c r="I261" s="37" t="s">
        <v>2656</v>
      </c>
      <c r="J261" s="35">
        <v>2000</v>
      </c>
      <c r="K261" s="35" t="s">
        <v>25</v>
      </c>
      <c r="L261" s="35" t="s">
        <v>1601</v>
      </c>
      <c r="M261" s="36">
        <v>9811</v>
      </c>
      <c r="N261" s="52">
        <v>9809</v>
      </c>
      <c r="O261" s="38">
        <v>0.99979614718173482</v>
      </c>
      <c r="P261" s="35">
        <v>0</v>
      </c>
      <c r="Q261" s="35" t="s">
        <v>1589</v>
      </c>
      <c r="R261" s="53">
        <v>7</v>
      </c>
      <c r="S261" s="53">
        <v>0</v>
      </c>
    </row>
    <row r="262" spans="1:19" x14ac:dyDescent="0.3">
      <c r="A262" s="35" t="s">
        <v>1586</v>
      </c>
      <c r="B262" s="35" t="s">
        <v>14</v>
      </c>
      <c r="C262" s="35" t="s">
        <v>1588</v>
      </c>
      <c r="D262" s="37">
        <v>239.15601353790612</v>
      </c>
      <c r="E262" s="35" t="s">
        <v>2654</v>
      </c>
      <c r="F262" s="37">
        <v>224.4811489169675</v>
      </c>
      <c r="G262" s="35" t="s">
        <v>2654</v>
      </c>
      <c r="H262" s="37">
        <v>207.78184476534295</v>
      </c>
      <c r="I262" s="37" t="s">
        <v>2656</v>
      </c>
      <c r="J262" s="35">
        <v>1998</v>
      </c>
      <c r="K262" s="35" t="s">
        <v>1950</v>
      </c>
      <c r="L262" s="35" t="s">
        <v>1950</v>
      </c>
      <c r="M262" s="36">
        <v>11080</v>
      </c>
      <c r="N262" s="52">
        <v>11080</v>
      </c>
      <c r="O262" s="38">
        <v>1</v>
      </c>
      <c r="P262" s="35">
        <v>0</v>
      </c>
      <c r="Q262" s="35" t="s">
        <v>28</v>
      </c>
      <c r="R262" s="53">
        <v>0</v>
      </c>
      <c r="S262" s="53">
        <v>0</v>
      </c>
    </row>
    <row r="263" spans="1:19" x14ac:dyDescent="0.3">
      <c r="A263" s="35" t="s">
        <v>1586</v>
      </c>
      <c r="B263" s="35" t="s">
        <v>14</v>
      </c>
      <c r="C263" s="35" t="s">
        <v>1588</v>
      </c>
      <c r="D263" s="37">
        <v>0</v>
      </c>
      <c r="E263" s="39" t="s">
        <v>1950</v>
      </c>
      <c r="F263" s="37">
        <v>199.39217703132093</v>
      </c>
      <c r="G263" s="35" t="s">
        <v>2655</v>
      </c>
      <c r="H263" s="37">
        <v>207.1978765320018</v>
      </c>
      <c r="I263" s="37" t="s">
        <v>2656</v>
      </c>
      <c r="J263" s="35">
        <v>2021</v>
      </c>
      <c r="K263" s="35" t="s">
        <v>21</v>
      </c>
      <c r="L263" s="35" t="s">
        <v>1818</v>
      </c>
      <c r="M263" s="36">
        <v>11015</v>
      </c>
      <c r="N263" s="52">
        <v>7800</v>
      </c>
      <c r="O263" s="38">
        <v>0.70812528370403993</v>
      </c>
      <c r="P263" s="35">
        <v>0</v>
      </c>
      <c r="Q263" s="35" t="s">
        <v>28</v>
      </c>
      <c r="R263" s="53">
        <v>0</v>
      </c>
      <c r="S263" s="53">
        <v>0</v>
      </c>
    </row>
    <row r="264" spans="1:19" x14ac:dyDescent="0.3">
      <c r="A264" s="35" t="s">
        <v>1586</v>
      </c>
      <c r="B264" s="35" t="s">
        <v>14</v>
      </c>
      <c r="C264" s="35" t="s">
        <v>1588</v>
      </c>
      <c r="D264" s="37">
        <v>0</v>
      </c>
      <c r="E264" s="39" t="s">
        <v>1950</v>
      </c>
      <c r="F264" s="37">
        <v>52.536740331491714</v>
      </c>
      <c r="G264" s="35" t="s">
        <v>2657</v>
      </c>
      <c r="H264" s="37">
        <v>205.71665131982812</v>
      </c>
      <c r="I264" s="37" t="s">
        <v>2656</v>
      </c>
      <c r="J264" s="35">
        <v>2021</v>
      </c>
      <c r="K264" s="35" t="s">
        <v>1950</v>
      </c>
      <c r="L264" s="35" t="s">
        <v>1950</v>
      </c>
      <c r="M264" s="36">
        <v>13032</v>
      </c>
      <c r="N264" s="52">
        <v>8650</v>
      </c>
      <c r="O264" s="38">
        <v>0.66375076734192762</v>
      </c>
      <c r="P264" s="35">
        <v>0</v>
      </c>
      <c r="Q264" s="35" t="s">
        <v>1589</v>
      </c>
      <c r="R264" s="53">
        <v>1</v>
      </c>
      <c r="S264" s="53">
        <v>0.65600000000000003</v>
      </c>
    </row>
    <row r="265" spans="1:19" x14ac:dyDescent="0.3">
      <c r="A265" s="35" t="s">
        <v>1586</v>
      </c>
      <c r="B265" s="35" t="s">
        <v>14</v>
      </c>
      <c r="C265" s="35" t="s">
        <v>1588</v>
      </c>
      <c r="D265" s="37">
        <v>202.68195233527632</v>
      </c>
      <c r="E265" s="35" t="s">
        <v>2655</v>
      </c>
      <c r="F265" s="37">
        <v>199.96352468088244</v>
      </c>
      <c r="G265" s="35" t="s">
        <v>2655</v>
      </c>
      <c r="H265" s="37">
        <v>204.106493027374</v>
      </c>
      <c r="I265" s="37" t="s">
        <v>2656</v>
      </c>
      <c r="J265" s="35">
        <v>2008</v>
      </c>
      <c r="K265" s="35" t="s">
        <v>25</v>
      </c>
      <c r="L265" s="35" t="s">
        <v>1597</v>
      </c>
      <c r="M265" s="36">
        <v>13553</v>
      </c>
      <c r="N265" s="52">
        <v>11791</v>
      </c>
      <c r="O265" s="38">
        <v>0.86999188371578251</v>
      </c>
      <c r="P265" s="35">
        <v>0</v>
      </c>
      <c r="Q265" s="35" t="s">
        <v>28</v>
      </c>
      <c r="R265" s="53">
        <v>0</v>
      </c>
      <c r="S265" s="53">
        <v>0.85</v>
      </c>
    </row>
    <row r="266" spans="1:19" x14ac:dyDescent="0.3">
      <c r="A266" s="35" t="s">
        <v>1586</v>
      </c>
      <c r="B266" s="35" t="s">
        <v>14</v>
      </c>
      <c r="C266" s="35" t="s">
        <v>1588</v>
      </c>
      <c r="D266" s="37">
        <v>189.6582989344341</v>
      </c>
      <c r="E266" s="35" t="s">
        <v>2655</v>
      </c>
      <c r="F266" s="37">
        <v>196.07641355476625</v>
      </c>
      <c r="G266" s="35" t="s">
        <v>2655</v>
      </c>
      <c r="H266" s="37">
        <v>201.60631659786887</v>
      </c>
      <c r="I266" s="37" t="s">
        <v>2656</v>
      </c>
      <c r="J266" s="35">
        <v>1999</v>
      </c>
      <c r="K266" s="35" t="s">
        <v>1950</v>
      </c>
      <c r="L266" s="35" t="s">
        <v>1950</v>
      </c>
      <c r="M266" s="36">
        <v>10417</v>
      </c>
      <c r="N266" s="52">
        <v>8463</v>
      </c>
      <c r="O266" s="38">
        <v>0.81242200249592011</v>
      </c>
      <c r="P266" s="35">
        <v>0</v>
      </c>
      <c r="Q266" s="35" t="s">
        <v>1589</v>
      </c>
      <c r="R266" s="53">
        <v>6</v>
      </c>
      <c r="S266" s="53">
        <v>0.63800000000000001</v>
      </c>
    </row>
    <row r="267" spans="1:19" x14ac:dyDescent="0.3">
      <c r="A267" s="35" t="s">
        <v>1586</v>
      </c>
      <c r="B267" s="35" t="s">
        <v>14</v>
      </c>
      <c r="C267" s="35" t="s">
        <v>1588</v>
      </c>
      <c r="D267" s="37">
        <v>168.53292987272275</v>
      </c>
      <c r="E267" s="35" t="s">
        <v>2655</v>
      </c>
      <c r="F267" s="37">
        <v>201.38285500374343</v>
      </c>
      <c r="G267" s="35" t="s">
        <v>2655</v>
      </c>
      <c r="H267" s="37">
        <v>200.79274436402963</v>
      </c>
      <c r="I267" s="37" t="s">
        <v>2656</v>
      </c>
      <c r="J267" s="35">
        <v>1988</v>
      </c>
      <c r="K267" s="35" t="s">
        <v>1950</v>
      </c>
      <c r="L267" s="35" t="s">
        <v>1950</v>
      </c>
      <c r="M267" s="36">
        <v>12021</v>
      </c>
      <c r="N267" s="52">
        <v>12021</v>
      </c>
      <c r="O267" s="38">
        <v>1</v>
      </c>
      <c r="P267" s="35">
        <v>0</v>
      </c>
      <c r="Q267" s="35" t="s">
        <v>1589</v>
      </c>
      <c r="R267" s="53">
        <v>20</v>
      </c>
      <c r="S267" s="53">
        <v>0</v>
      </c>
    </row>
    <row r="268" spans="1:19" x14ac:dyDescent="0.3">
      <c r="A268" s="35" t="s">
        <v>1586</v>
      </c>
      <c r="B268" s="35" t="s">
        <v>14</v>
      </c>
      <c r="C268" s="35" t="s">
        <v>1588</v>
      </c>
      <c r="D268" s="37">
        <v>0</v>
      </c>
      <c r="E268" s="39" t="s">
        <v>1950</v>
      </c>
      <c r="F268" s="37">
        <v>190.27352214881404</v>
      </c>
      <c r="G268" s="35" t="s">
        <v>2655</v>
      </c>
      <c r="H268" s="37">
        <v>200.57217914004116</v>
      </c>
      <c r="I268" s="37" t="s">
        <v>2656</v>
      </c>
      <c r="J268" s="35">
        <v>2021</v>
      </c>
      <c r="K268" s="35" t="s">
        <v>1950</v>
      </c>
      <c r="L268" s="35" t="s">
        <v>1950</v>
      </c>
      <c r="M268" s="36">
        <v>9233</v>
      </c>
      <c r="N268" s="52">
        <v>9233</v>
      </c>
      <c r="O268" s="38">
        <v>1</v>
      </c>
      <c r="P268" s="35">
        <v>0</v>
      </c>
      <c r="Q268" s="35" t="s">
        <v>28</v>
      </c>
      <c r="R268" s="53">
        <v>0</v>
      </c>
      <c r="S268" s="53">
        <v>0</v>
      </c>
    </row>
    <row r="269" spans="1:19" x14ac:dyDescent="0.3">
      <c r="A269" s="35" t="s">
        <v>1586</v>
      </c>
      <c r="B269" s="35" t="s">
        <v>14</v>
      </c>
      <c r="C269" s="35" t="s">
        <v>1588</v>
      </c>
      <c r="D269" s="37">
        <v>222.86959204487508</v>
      </c>
      <c r="E269" s="35" t="s">
        <v>2655</v>
      </c>
      <c r="F269" s="37">
        <v>206.67533911269763</v>
      </c>
      <c r="G269" s="35" t="s">
        <v>2655</v>
      </c>
      <c r="H269" s="37">
        <v>199.04083758286589</v>
      </c>
      <c r="I269" s="37" t="s">
        <v>2656</v>
      </c>
      <c r="J269" s="35">
        <v>2007</v>
      </c>
      <c r="K269" s="35" t="s">
        <v>1950</v>
      </c>
      <c r="L269" s="35" t="s">
        <v>1950</v>
      </c>
      <c r="M269" s="36">
        <v>7844</v>
      </c>
      <c r="N269" s="52">
        <v>5473</v>
      </c>
      <c r="O269" s="38">
        <v>0.69773074961754211</v>
      </c>
      <c r="P269" s="35">
        <v>0</v>
      </c>
      <c r="Q269" s="35" t="s">
        <v>28</v>
      </c>
      <c r="R269" s="53">
        <v>0</v>
      </c>
      <c r="S269" s="53">
        <v>0</v>
      </c>
    </row>
    <row r="270" spans="1:19" x14ac:dyDescent="0.3">
      <c r="A270" s="35" t="s">
        <v>1586</v>
      </c>
      <c r="B270" s="35" t="s">
        <v>14</v>
      </c>
      <c r="C270" s="35" t="s">
        <v>1588</v>
      </c>
      <c r="D270" s="37">
        <v>198.62418187394573</v>
      </c>
      <c r="E270" s="35" t="s">
        <v>2655</v>
      </c>
      <c r="F270" s="37">
        <v>141.33872258856005</v>
      </c>
      <c r="G270" s="35" t="s">
        <v>2656</v>
      </c>
      <c r="H270" s="37">
        <v>197.39390430915503</v>
      </c>
      <c r="I270" s="37" t="s">
        <v>2656</v>
      </c>
      <c r="J270" s="35">
        <v>2009</v>
      </c>
      <c r="K270" s="35" t="s">
        <v>1950</v>
      </c>
      <c r="L270" s="35" t="s">
        <v>1950</v>
      </c>
      <c r="M270" s="36">
        <v>6521</v>
      </c>
      <c r="N270" s="52">
        <v>5800</v>
      </c>
      <c r="O270" s="38">
        <v>0.88943413586873177</v>
      </c>
      <c r="P270" s="35">
        <v>0</v>
      </c>
      <c r="Q270" s="35" t="s">
        <v>28</v>
      </c>
      <c r="R270" s="53">
        <v>0</v>
      </c>
      <c r="S270" s="53">
        <v>0</v>
      </c>
    </row>
    <row r="271" spans="1:19" x14ac:dyDescent="0.3">
      <c r="A271" s="35" t="s">
        <v>1586</v>
      </c>
      <c r="B271" s="35" t="s">
        <v>14</v>
      </c>
      <c r="C271" s="35" t="s">
        <v>1588</v>
      </c>
      <c r="D271" s="37">
        <v>202.93681288678559</v>
      </c>
      <c r="E271" s="35" t="s">
        <v>2655</v>
      </c>
      <c r="F271" s="37">
        <v>194.10442300691662</v>
      </c>
      <c r="G271" s="35" t="s">
        <v>2655</v>
      </c>
      <c r="H271" s="37">
        <v>197.25412267928647</v>
      </c>
      <c r="I271" s="37" t="s">
        <v>2656</v>
      </c>
      <c r="J271" s="35">
        <v>2014</v>
      </c>
      <c r="K271" s="35" t="s">
        <v>25</v>
      </c>
      <c r="L271" s="35" t="s">
        <v>1601</v>
      </c>
      <c r="M271" s="36">
        <v>5494</v>
      </c>
      <c r="N271" s="52">
        <v>5200</v>
      </c>
      <c r="O271" s="38">
        <v>0.94648707681106659</v>
      </c>
      <c r="P271" s="35">
        <v>0</v>
      </c>
      <c r="Q271" s="35" t="s">
        <v>28</v>
      </c>
      <c r="R271" s="53">
        <v>0</v>
      </c>
      <c r="S271" s="53">
        <v>0</v>
      </c>
    </row>
    <row r="272" spans="1:19" x14ac:dyDescent="0.3">
      <c r="A272" s="35" t="s">
        <v>1586</v>
      </c>
      <c r="B272" s="35" t="s">
        <v>14</v>
      </c>
      <c r="C272" s="35" t="s">
        <v>1588</v>
      </c>
      <c r="D272" s="37">
        <v>170.55528060701349</v>
      </c>
      <c r="E272" s="35" t="s">
        <v>2655</v>
      </c>
      <c r="F272" s="37">
        <v>174.3173648232962</v>
      </c>
      <c r="G272" s="35" t="s">
        <v>2655</v>
      </c>
      <c r="H272" s="37">
        <v>192.59160844897124</v>
      </c>
      <c r="I272" s="37" t="s">
        <v>2656</v>
      </c>
      <c r="J272" s="35">
        <v>2006</v>
      </c>
      <c r="K272" s="35" t="s">
        <v>1950</v>
      </c>
      <c r="L272" s="35" t="s">
        <v>1950</v>
      </c>
      <c r="M272" s="36">
        <v>14629</v>
      </c>
      <c r="N272" s="52">
        <v>10960</v>
      </c>
      <c r="O272" s="38">
        <v>0.74919680087497431</v>
      </c>
      <c r="P272" s="35">
        <v>0</v>
      </c>
      <c r="Q272" s="35" t="s">
        <v>1590</v>
      </c>
      <c r="R272" s="53">
        <v>0</v>
      </c>
      <c r="S272" s="53">
        <v>1.44</v>
      </c>
    </row>
    <row r="273" spans="1:19" x14ac:dyDescent="0.3">
      <c r="A273" s="35" t="s">
        <v>1586</v>
      </c>
      <c r="B273" s="35" t="s">
        <v>14</v>
      </c>
      <c r="C273" s="35" t="s">
        <v>1588</v>
      </c>
      <c r="D273" s="37">
        <v>176.90104244023584</v>
      </c>
      <c r="E273" s="35" t="s">
        <v>2655</v>
      </c>
      <c r="F273" s="37">
        <v>205.67220642941768</v>
      </c>
      <c r="G273" s="35" t="s">
        <v>2655</v>
      </c>
      <c r="H273" s="37">
        <v>190.47221022890164</v>
      </c>
      <c r="I273" s="37" t="s">
        <v>2656</v>
      </c>
      <c r="J273" s="35">
        <v>2018</v>
      </c>
      <c r="K273" s="35" t="s">
        <v>1950</v>
      </c>
      <c r="L273" s="35" t="s">
        <v>1950</v>
      </c>
      <c r="M273" s="36">
        <v>5790.26</v>
      </c>
      <c r="N273" s="52">
        <v>2290</v>
      </c>
      <c r="O273" s="38">
        <v>0.39549173957646117</v>
      </c>
      <c r="P273" s="35">
        <v>0</v>
      </c>
      <c r="Q273" s="35" t="s">
        <v>1787</v>
      </c>
      <c r="R273" s="53">
        <v>0</v>
      </c>
      <c r="S273" s="53">
        <v>0</v>
      </c>
    </row>
    <row r="274" spans="1:19" x14ac:dyDescent="0.3">
      <c r="A274" s="35" t="s">
        <v>1586</v>
      </c>
      <c r="B274" s="35" t="s">
        <v>14</v>
      </c>
      <c r="C274" s="35" t="s">
        <v>1588</v>
      </c>
      <c r="D274" s="37">
        <v>186.4623083015336</v>
      </c>
      <c r="E274" s="35" t="s">
        <v>2655</v>
      </c>
      <c r="F274" s="37">
        <v>188.43703650370796</v>
      </c>
      <c r="G274" s="35" t="s">
        <v>2655</v>
      </c>
      <c r="H274" s="37">
        <v>190.4671322629419</v>
      </c>
      <c r="I274" s="37" t="s">
        <v>2656</v>
      </c>
      <c r="J274" s="35">
        <v>1997</v>
      </c>
      <c r="K274" s="35" t="s">
        <v>25</v>
      </c>
      <c r="L274" s="35" t="s">
        <v>1601</v>
      </c>
      <c r="M274" s="36">
        <v>13889</v>
      </c>
      <c r="N274" s="52">
        <v>10279</v>
      </c>
      <c r="O274" s="38">
        <v>0.74008207934336523</v>
      </c>
      <c r="P274" s="35">
        <v>0</v>
      </c>
      <c r="Q274" s="35" t="s">
        <v>1589</v>
      </c>
      <c r="R274" s="53">
        <v>5</v>
      </c>
      <c r="S274" s="53">
        <v>0.62</v>
      </c>
    </row>
    <row r="275" spans="1:19" x14ac:dyDescent="0.3">
      <c r="A275" s="35" t="s">
        <v>1586</v>
      </c>
      <c r="B275" s="35" t="s">
        <v>14</v>
      </c>
      <c r="C275" s="35" t="s">
        <v>1588</v>
      </c>
      <c r="D275" s="37">
        <v>180.60005131128847</v>
      </c>
      <c r="E275" s="35" t="s">
        <v>2655</v>
      </c>
      <c r="F275" s="37">
        <v>190.08262257696691</v>
      </c>
      <c r="G275" s="35" t="s">
        <v>2655</v>
      </c>
      <c r="H275" s="37">
        <v>185.95952109464082</v>
      </c>
      <c r="I275" s="37" t="s">
        <v>2656</v>
      </c>
      <c r="J275" s="35">
        <v>2009</v>
      </c>
      <c r="K275" s="35" t="s">
        <v>1950</v>
      </c>
      <c r="L275" s="35" t="s">
        <v>1950</v>
      </c>
      <c r="M275" s="36">
        <v>7016</v>
      </c>
      <c r="N275" s="52">
        <v>6694</v>
      </c>
      <c r="O275" s="38">
        <v>0.95410490307867735</v>
      </c>
      <c r="P275" s="35">
        <v>0</v>
      </c>
      <c r="Q275" s="35" t="s">
        <v>28</v>
      </c>
      <c r="R275" s="53">
        <v>0</v>
      </c>
      <c r="S275" s="53">
        <v>0</v>
      </c>
    </row>
    <row r="276" spans="1:19" x14ac:dyDescent="0.3">
      <c r="A276" s="35" t="s">
        <v>1586</v>
      </c>
      <c r="B276" s="35" t="s">
        <v>14</v>
      </c>
      <c r="C276" s="35" t="s">
        <v>1588</v>
      </c>
      <c r="D276" s="37">
        <v>129.775633640553</v>
      </c>
      <c r="E276" s="35" t="s">
        <v>2656</v>
      </c>
      <c r="F276" s="37">
        <v>161.03677035330261</v>
      </c>
      <c r="G276" s="35" t="s">
        <v>2655</v>
      </c>
      <c r="H276" s="37">
        <v>181.91436251920123</v>
      </c>
      <c r="I276" s="37" t="s">
        <v>2656</v>
      </c>
      <c r="J276" s="35">
        <v>1999</v>
      </c>
      <c r="K276" s="35" t="s">
        <v>1950</v>
      </c>
      <c r="L276" s="35" t="s">
        <v>1950</v>
      </c>
      <c r="M276" s="36">
        <v>10416</v>
      </c>
      <c r="N276" s="52">
        <v>8436</v>
      </c>
      <c r="O276" s="38">
        <v>0.80990783410138245</v>
      </c>
      <c r="P276" s="35">
        <v>0</v>
      </c>
      <c r="Q276" s="35" t="s">
        <v>1589</v>
      </c>
      <c r="R276" s="53">
        <v>6</v>
      </c>
      <c r="S276" s="53">
        <v>0.65300000000000002</v>
      </c>
    </row>
    <row r="277" spans="1:19" x14ac:dyDescent="0.3">
      <c r="A277" s="35" t="s">
        <v>1586</v>
      </c>
      <c r="B277" s="35" t="s">
        <v>14</v>
      </c>
      <c r="C277" s="35" t="s">
        <v>1588</v>
      </c>
      <c r="D277" s="37">
        <v>148.40462011577426</v>
      </c>
      <c r="E277" s="35" t="s">
        <v>2655</v>
      </c>
      <c r="F277" s="37">
        <v>160.47621804148577</v>
      </c>
      <c r="G277" s="35" t="s">
        <v>2655</v>
      </c>
      <c r="H277" s="37">
        <v>181.569825132658</v>
      </c>
      <c r="I277" s="37" t="s">
        <v>2656</v>
      </c>
      <c r="J277" s="35">
        <v>1900</v>
      </c>
      <c r="K277" s="35" t="s">
        <v>19</v>
      </c>
      <c r="L277" s="35" t="s">
        <v>1818</v>
      </c>
      <c r="M277" s="36">
        <v>8292</v>
      </c>
      <c r="N277" s="52">
        <v>5981</v>
      </c>
      <c r="O277" s="38">
        <v>0.72129763627592858</v>
      </c>
      <c r="P277" s="35">
        <v>0</v>
      </c>
      <c r="Q277" s="35" t="s">
        <v>28</v>
      </c>
      <c r="R277" s="53">
        <v>0</v>
      </c>
      <c r="S277" s="53">
        <v>0</v>
      </c>
    </row>
    <row r="278" spans="1:19" x14ac:dyDescent="0.3">
      <c r="A278" s="35" t="s">
        <v>1586</v>
      </c>
      <c r="B278" s="35" t="s">
        <v>14</v>
      </c>
      <c r="C278" s="35" t="s">
        <v>1588</v>
      </c>
      <c r="D278" s="37">
        <v>175.07399229178415</v>
      </c>
      <c r="E278" s="35" t="s">
        <v>2655</v>
      </c>
      <c r="F278" s="37">
        <v>177.15365200225608</v>
      </c>
      <c r="G278" s="35" t="s">
        <v>2655</v>
      </c>
      <c r="H278" s="37">
        <v>180.87973115247229</v>
      </c>
      <c r="I278" s="37" t="s">
        <v>2656</v>
      </c>
      <c r="J278" s="35">
        <v>1998</v>
      </c>
      <c r="K278" s="35" t="s">
        <v>21</v>
      </c>
      <c r="L278" s="35" t="s">
        <v>1599</v>
      </c>
      <c r="M278" s="36">
        <v>10638</v>
      </c>
      <c r="N278" s="52">
        <v>8697</v>
      </c>
      <c r="O278" s="38">
        <v>0.8175408911449521</v>
      </c>
      <c r="P278" s="35">
        <v>0</v>
      </c>
      <c r="Q278" s="35" t="s">
        <v>28</v>
      </c>
      <c r="R278" s="53">
        <v>0</v>
      </c>
      <c r="S278" s="53">
        <v>0</v>
      </c>
    </row>
    <row r="279" spans="1:19" x14ac:dyDescent="0.3">
      <c r="A279" s="35" t="s">
        <v>1586</v>
      </c>
      <c r="B279" s="35" t="s">
        <v>14</v>
      </c>
      <c r="C279" s="35" t="s">
        <v>1588</v>
      </c>
      <c r="D279" s="37">
        <v>177.51607673267327</v>
      </c>
      <c r="E279" s="39" t="s">
        <v>1950</v>
      </c>
      <c r="F279" s="37">
        <v>177.49898652365235</v>
      </c>
      <c r="G279" s="35" t="s">
        <v>1950</v>
      </c>
      <c r="H279" s="37">
        <v>179.43916941694167</v>
      </c>
      <c r="I279" s="37" t="s">
        <v>1950</v>
      </c>
      <c r="J279" s="35">
        <v>1987</v>
      </c>
      <c r="K279" s="35" t="s">
        <v>1950</v>
      </c>
      <c r="L279" s="35" t="s">
        <v>1950</v>
      </c>
      <c r="M279" s="36">
        <v>7272</v>
      </c>
      <c r="N279" s="52">
        <v>5417</v>
      </c>
      <c r="O279" s="38">
        <v>0.74491199119911988</v>
      </c>
      <c r="P279" s="35">
        <v>0</v>
      </c>
      <c r="Q279" s="35" t="s">
        <v>1821</v>
      </c>
      <c r="R279" s="53">
        <v>0</v>
      </c>
      <c r="S279" s="53">
        <v>0</v>
      </c>
    </row>
    <row r="280" spans="1:19" x14ac:dyDescent="0.3">
      <c r="A280" s="35" t="s">
        <v>1586</v>
      </c>
      <c r="B280" s="35" t="s">
        <v>14</v>
      </c>
      <c r="C280" s="35" t="s">
        <v>1588</v>
      </c>
      <c r="D280" s="37">
        <v>89.911425221191763</v>
      </c>
      <c r="E280" s="35" t="s">
        <v>2657</v>
      </c>
      <c r="F280" s="37">
        <v>27.046402302526381</v>
      </c>
      <c r="G280" s="35" t="s">
        <v>2657</v>
      </c>
      <c r="H280" s="37">
        <v>179.11255729666345</v>
      </c>
      <c r="I280" s="37" t="s">
        <v>2656</v>
      </c>
      <c r="J280" s="35">
        <v>1997</v>
      </c>
      <c r="K280" s="35" t="s">
        <v>1950</v>
      </c>
      <c r="L280" s="35" t="s">
        <v>1950</v>
      </c>
      <c r="M280" s="36">
        <v>9381</v>
      </c>
      <c r="N280" s="52">
        <v>6944</v>
      </c>
      <c r="O280" s="38">
        <v>0.74021959279394522</v>
      </c>
      <c r="P280" s="35">
        <v>0</v>
      </c>
      <c r="Q280" s="35" t="s">
        <v>1590</v>
      </c>
      <c r="R280" s="53">
        <v>0</v>
      </c>
      <c r="S280" s="53">
        <v>0</v>
      </c>
    </row>
    <row r="281" spans="1:19" x14ac:dyDescent="0.3">
      <c r="A281" s="35" t="s">
        <v>1586</v>
      </c>
      <c r="B281" s="35" t="s">
        <v>14</v>
      </c>
      <c r="C281" s="35" t="s">
        <v>1588</v>
      </c>
      <c r="D281" s="37">
        <v>173.82110260336907</v>
      </c>
      <c r="E281" s="35" t="s">
        <v>2655</v>
      </c>
      <c r="F281" s="37">
        <v>167.26818529862175</v>
      </c>
      <c r="G281" s="35" t="s">
        <v>2655</v>
      </c>
      <c r="H281" s="37">
        <v>178.07670750382846</v>
      </c>
      <c r="I281" s="37" t="s">
        <v>2656</v>
      </c>
      <c r="J281" s="35">
        <v>2005</v>
      </c>
      <c r="K281" s="35" t="s">
        <v>1950</v>
      </c>
      <c r="L281" s="35" t="s">
        <v>1950</v>
      </c>
      <c r="M281" s="36">
        <v>13060</v>
      </c>
      <c r="N281" s="52">
        <v>7671</v>
      </c>
      <c r="O281" s="38">
        <v>0.58736600306278719</v>
      </c>
      <c r="P281" s="35">
        <v>0</v>
      </c>
      <c r="Q281" s="35" t="s">
        <v>1590</v>
      </c>
      <c r="R281" s="53">
        <v>0</v>
      </c>
      <c r="S281" s="53">
        <v>1.56</v>
      </c>
    </row>
    <row r="282" spans="1:19" x14ac:dyDescent="0.3">
      <c r="A282" s="35" t="s">
        <v>1586</v>
      </c>
      <c r="B282" s="35" t="s">
        <v>14</v>
      </c>
      <c r="C282" s="35" t="s">
        <v>1588</v>
      </c>
      <c r="D282" s="37">
        <v>169.0493452460328</v>
      </c>
      <c r="E282" s="35" t="s">
        <v>2655</v>
      </c>
      <c r="F282" s="37">
        <v>171.3109081210828</v>
      </c>
      <c r="G282" s="35" t="s">
        <v>2655</v>
      </c>
      <c r="H282" s="37">
        <v>176.35836244832646</v>
      </c>
      <c r="I282" s="37" t="s">
        <v>2656</v>
      </c>
      <c r="J282" s="35">
        <v>2015</v>
      </c>
      <c r="K282" s="35" t="s">
        <v>1950</v>
      </c>
      <c r="L282" s="35" t="s">
        <v>1950</v>
      </c>
      <c r="M282" s="36">
        <v>14998</v>
      </c>
      <c r="N282" s="52">
        <v>11858</v>
      </c>
      <c r="O282" s="38">
        <v>0.79063875183357779</v>
      </c>
      <c r="P282" s="35">
        <v>0</v>
      </c>
      <c r="Q282" s="35" t="s">
        <v>28</v>
      </c>
      <c r="R282" s="53">
        <v>0</v>
      </c>
      <c r="S282" s="53">
        <v>0</v>
      </c>
    </row>
    <row r="283" spans="1:19" x14ac:dyDescent="0.3">
      <c r="A283" s="35" t="s">
        <v>1586</v>
      </c>
      <c r="B283" s="35" t="s">
        <v>14</v>
      </c>
      <c r="C283" s="35" t="s">
        <v>1588</v>
      </c>
      <c r="D283" s="37">
        <v>167.31504331797234</v>
      </c>
      <c r="E283" s="35" t="s">
        <v>2655</v>
      </c>
      <c r="F283" s="37">
        <v>162.02150967741935</v>
      </c>
      <c r="G283" s="35" t="s">
        <v>2655</v>
      </c>
      <c r="H283" s="37">
        <v>176.18051059907833</v>
      </c>
      <c r="I283" s="37" t="s">
        <v>2656</v>
      </c>
      <c r="J283" s="35">
        <v>1998</v>
      </c>
      <c r="K283" s="35" t="s">
        <v>19</v>
      </c>
      <c r="L283" s="35" t="s">
        <v>1601</v>
      </c>
      <c r="M283" s="36">
        <v>10850</v>
      </c>
      <c r="N283" s="52">
        <v>8800</v>
      </c>
      <c r="O283" s="38">
        <v>0.81105990783410142</v>
      </c>
      <c r="P283" s="35">
        <v>0</v>
      </c>
      <c r="Q283" s="35" t="s">
        <v>1589</v>
      </c>
      <c r="R283" s="53">
        <v>10</v>
      </c>
      <c r="S283" s="53">
        <v>0.65</v>
      </c>
    </row>
    <row r="284" spans="1:19" x14ac:dyDescent="0.3">
      <c r="A284" s="35" t="s">
        <v>1586</v>
      </c>
      <c r="B284" s="35" t="s">
        <v>14</v>
      </c>
      <c r="C284" s="35" t="s">
        <v>1588</v>
      </c>
      <c r="D284" s="37">
        <v>173.08972117202268</v>
      </c>
      <c r="E284" s="35" t="s">
        <v>2655</v>
      </c>
      <c r="F284" s="37">
        <v>171.57270793950852</v>
      </c>
      <c r="G284" s="35" t="s">
        <v>2655</v>
      </c>
      <c r="H284" s="37">
        <v>169.25713610586013</v>
      </c>
      <c r="I284" s="37" t="s">
        <v>2656</v>
      </c>
      <c r="J284" s="35">
        <v>1996</v>
      </c>
      <c r="K284" s="35" t="s">
        <v>1950</v>
      </c>
      <c r="L284" s="35" t="s">
        <v>1950</v>
      </c>
      <c r="M284" s="36">
        <v>10580</v>
      </c>
      <c r="N284" s="52">
        <v>1000</v>
      </c>
      <c r="O284" s="38">
        <v>9.4517958412098299E-2</v>
      </c>
      <c r="P284" s="35">
        <v>0</v>
      </c>
      <c r="Q284" s="35" t="s">
        <v>28</v>
      </c>
      <c r="R284" s="53">
        <v>0</v>
      </c>
      <c r="S284" s="53">
        <v>0</v>
      </c>
    </row>
    <row r="285" spans="1:19" x14ac:dyDescent="0.3">
      <c r="A285" s="35" t="s">
        <v>1586</v>
      </c>
      <c r="B285" s="35" t="s">
        <v>14</v>
      </c>
      <c r="C285" s="35" t="s">
        <v>1588</v>
      </c>
      <c r="D285" s="37">
        <v>155.56537508034157</v>
      </c>
      <c r="E285" s="35" t="s">
        <v>2655</v>
      </c>
      <c r="F285" s="37">
        <v>148.53824258562116</v>
      </c>
      <c r="G285" s="35" t="s">
        <v>2656</v>
      </c>
      <c r="H285" s="37">
        <v>165.87560830043154</v>
      </c>
      <c r="I285" s="37" t="s">
        <v>2656</v>
      </c>
      <c r="J285" s="35">
        <v>2005</v>
      </c>
      <c r="K285" s="35" t="s">
        <v>21</v>
      </c>
      <c r="L285" s="35" t="s">
        <v>1599</v>
      </c>
      <c r="M285" s="36">
        <v>10891</v>
      </c>
      <c r="N285" s="52">
        <v>9574</v>
      </c>
      <c r="O285" s="38">
        <v>0.87907446515471488</v>
      </c>
      <c r="P285" s="35">
        <v>0</v>
      </c>
      <c r="Q285" s="35" t="s">
        <v>1590</v>
      </c>
      <c r="R285" s="53">
        <v>0</v>
      </c>
      <c r="S285" s="53">
        <v>0.82</v>
      </c>
    </row>
    <row r="286" spans="1:19" x14ac:dyDescent="0.3">
      <c r="A286" s="35" t="s">
        <v>1586</v>
      </c>
      <c r="B286" s="35" t="s">
        <v>14</v>
      </c>
      <c r="C286" s="35" t="s">
        <v>1588</v>
      </c>
      <c r="D286" s="37">
        <v>165.294252814739</v>
      </c>
      <c r="E286" s="35" t="s">
        <v>2655</v>
      </c>
      <c r="F286" s="37">
        <v>162.96750383828049</v>
      </c>
      <c r="G286" s="35" t="s">
        <v>2655</v>
      </c>
      <c r="H286" s="37">
        <v>165.5667400204708</v>
      </c>
      <c r="I286" s="37" t="s">
        <v>2656</v>
      </c>
      <c r="J286" s="35">
        <v>1992</v>
      </c>
      <c r="K286" s="35" t="s">
        <v>47</v>
      </c>
      <c r="L286" s="35" t="s">
        <v>1599</v>
      </c>
      <c r="M286" s="36">
        <v>7816</v>
      </c>
      <c r="N286" s="52">
        <v>0</v>
      </c>
      <c r="O286" s="38">
        <v>0</v>
      </c>
      <c r="P286" s="35">
        <v>0</v>
      </c>
      <c r="Q286" s="35" t="s">
        <v>28</v>
      </c>
      <c r="R286" s="53">
        <v>0</v>
      </c>
      <c r="S286" s="53">
        <v>0</v>
      </c>
    </row>
    <row r="287" spans="1:19" x14ac:dyDescent="0.3">
      <c r="A287" s="35" t="s">
        <v>1586</v>
      </c>
      <c r="B287" s="35" t="s">
        <v>14</v>
      </c>
      <c r="C287" s="35" t="s">
        <v>1588</v>
      </c>
      <c r="D287" s="37">
        <v>146.58366467228717</v>
      </c>
      <c r="E287" s="35" t="s">
        <v>2655</v>
      </c>
      <c r="F287" s="37">
        <v>154.35365379385368</v>
      </c>
      <c r="G287" s="35" t="s">
        <v>2655</v>
      </c>
      <c r="H287" s="37">
        <v>163.78156377481645</v>
      </c>
      <c r="I287" s="37" t="s">
        <v>2656</v>
      </c>
      <c r="J287" s="35">
        <v>1998</v>
      </c>
      <c r="K287" s="35" t="s">
        <v>1950</v>
      </c>
      <c r="L287" s="35" t="s">
        <v>1950</v>
      </c>
      <c r="M287" s="36">
        <v>14708</v>
      </c>
      <c r="N287" s="52">
        <v>14362</v>
      </c>
      <c r="O287" s="38">
        <v>0.97647538754419361</v>
      </c>
      <c r="P287" s="35">
        <v>0</v>
      </c>
      <c r="Q287" s="35" t="s">
        <v>1589</v>
      </c>
      <c r="R287" s="53">
        <v>40</v>
      </c>
      <c r="S287" s="53">
        <v>0</v>
      </c>
    </row>
    <row r="288" spans="1:19" x14ac:dyDescent="0.3">
      <c r="A288" s="35" t="s">
        <v>1586</v>
      </c>
      <c r="B288" s="35" t="s">
        <v>14</v>
      </c>
      <c r="C288" s="35" t="s">
        <v>1588</v>
      </c>
      <c r="D288" s="37">
        <v>150.85209663686678</v>
      </c>
      <c r="E288" s="35" t="s">
        <v>2655</v>
      </c>
      <c r="F288" s="37">
        <v>156.46504895700298</v>
      </c>
      <c r="G288" s="35" t="s">
        <v>2655</v>
      </c>
      <c r="H288" s="37">
        <v>157.26624095359728</v>
      </c>
      <c r="I288" s="37" t="s">
        <v>2656</v>
      </c>
      <c r="J288" s="35">
        <v>2009</v>
      </c>
      <c r="K288" s="35" t="s">
        <v>1950</v>
      </c>
      <c r="L288" s="35" t="s">
        <v>1950</v>
      </c>
      <c r="M288" s="36">
        <v>14094</v>
      </c>
      <c r="N288" s="52">
        <v>10000</v>
      </c>
      <c r="O288" s="38">
        <v>0.70952178231871721</v>
      </c>
      <c r="P288" s="35">
        <v>0</v>
      </c>
      <c r="Q288" s="35" t="s">
        <v>28</v>
      </c>
      <c r="R288" s="53">
        <v>0</v>
      </c>
      <c r="S288" s="53">
        <v>0</v>
      </c>
    </row>
    <row r="289" spans="1:19" x14ac:dyDescent="0.3">
      <c r="A289" s="35" t="s">
        <v>1586</v>
      </c>
      <c r="B289" s="35" t="s">
        <v>14</v>
      </c>
      <c r="C289" s="35" t="s">
        <v>1588</v>
      </c>
      <c r="D289" s="37">
        <v>151.95572217299434</v>
      </c>
      <c r="E289" s="35" t="s">
        <v>2655</v>
      </c>
      <c r="F289" s="37">
        <v>147.1908254379388</v>
      </c>
      <c r="G289" s="35" t="s">
        <v>2656</v>
      </c>
      <c r="H289" s="37">
        <v>156.67880853384227</v>
      </c>
      <c r="I289" s="37" t="s">
        <v>2656</v>
      </c>
      <c r="J289" s="35">
        <v>2010</v>
      </c>
      <c r="K289" s="35" t="s">
        <v>21</v>
      </c>
      <c r="L289" s="35" t="s">
        <v>1597</v>
      </c>
      <c r="M289" s="36">
        <v>14671</v>
      </c>
      <c r="N289" s="52">
        <v>13192</v>
      </c>
      <c r="O289" s="38">
        <v>0.89918887601390496</v>
      </c>
      <c r="P289" s="35">
        <v>0</v>
      </c>
      <c r="Q289" s="35" t="s">
        <v>1589</v>
      </c>
      <c r="R289" s="53">
        <v>13</v>
      </c>
      <c r="S289" s="53">
        <v>0</v>
      </c>
    </row>
    <row r="290" spans="1:19" x14ac:dyDescent="0.3">
      <c r="A290" s="35" t="s">
        <v>1586</v>
      </c>
      <c r="B290" s="35" t="s">
        <v>14</v>
      </c>
      <c r="C290" s="35" t="s">
        <v>1588</v>
      </c>
      <c r="D290" s="37">
        <v>148.65995222056867</v>
      </c>
      <c r="E290" s="39" t="s">
        <v>1950</v>
      </c>
      <c r="F290" s="37">
        <v>152.57132450849849</v>
      </c>
      <c r="G290" s="35" t="s">
        <v>1950</v>
      </c>
      <c r="H290" s="37">
        <v>156.28293491031565</v>
      </c>
      <c r="I290" s="37" t="s">
        <v>1950</v>
      </c>
      <c r="J290" s="35">
        <v>2015</v>
      </c>
      <c r="K290" s="35" t="s">
        <v>19</v>
      </c>
      <c r="L290" s="35" t="s">
        <v>1600</v>
      </c>
      <c r="M290" s="36">
        <v>12767</v>
      </c>
      <c r="N290" s="52">
        <v>10352</v>
      </c>
      <c r="O290" s="38">
        <v>0.8108404480300776</v>
      </c>
      <c r="P290" s="35">
        <v>0</v>
      </c>
      <c r="Q290" s="35" t="s">
        <v>1821</v>
      </c>
      <c r="R290" s="53">
        <v>0</v>
      </c>
      <c r="S290" s="53">
        <v>0</v>
      </c>
    </row>
    <row r="291" spans="1:19" x14ac:dyDescent="0.3">
      <c r="A291" s="35" t="s">
        <v>1586</v>
      </c>
      <c r="B291" s="35" t="s">
        <v>14</v>
      </c>
      <c r="C291" s="35" t="s">
        <v>1588</v>
      </c>
      <c r="D291" s="37">
        <v>192.21174594738238</v>
      </c>
      <c r="E291" s="35" t="s">
        <v>2655</v>
      </c>
      <c r="F291" s="37">
        <v>178.48479271857562</v>
      </c>
      <c r="G291" s="35" t="s">
        <v>2655</v>
      </c>
      <c r="H291" s="37">
        <v>155.39230799893701</v>
      </c>
      <c r="I291" s="37" t="s">
        <v>2656</v>
      </c>
      <c r="J291" s="35">
        <v>1994</v>
      </c>
      <c r="K291" s="35" t="s">
        <v>1950</v>
      </c>
      <c r="L291" s="35" t="s">
        <v>1950</v>
      </c>
      <c r="M291" s="36">
        <v>7526</v>
      </c>
      <c r="N291" s="52">
        <v>7526</v>
      </c>
      <c r="O291" s="38">
        <v>1</v>
      </c>
      <c r="P291" s="35">
        <v>0</v>
      </c>
      <c r="Q291" s="35" t="s">
        <v>1589</v>
      </c>
      <c r="R291" s="53">
        <v>28</v>
      </c>
      <c r="S291" s="53">
        <v>0</v>
      </c>
    </row>
    <row r="292" spans="1:19" x14ac:dyDescent="0.3">
      <c r="A292" s="35" t="s">
        <v>1586</v>
      </c>
      <c r="B292" s="35" t="s">
        <v>14</v>
      </c>
      <c r="C292" s="35" t="s">
        <v>1588</v>
      </c>
      <c r="D292" s="37">
        <v>146.6377049180328</v>
      </c>
      <c r="E292" s="35" t="s">
        <v>2655</v>
      </c>
      <c r="F292" s="37">
        <v>148.2336943793911</v>
      </c>
      <c r="G292" s="35" t="s">
        <v>2656</v>
      </c>
      <c r="H292" s="37">
        <v>154.51087529274005</v>
      </c>
      <c r="I292" s="37" t="s">
        <v>2656</v>
      </c>
      <c r="J292" s="35">
        <v>1996</v>
      </c>
      <c r="K292" s="35" t="s">
        <v>19</v>
      </c>
      <c r="L292" s="35" t="s">
        <v>1783</v>
      </c>
      <c r="M292" s="36">
        <v>6832</v>
      </c>
      <c r="N292" s="52">
        <v>6354</v>
      </c>
      <c r="O292" s="38">
        <v>0.93003512880562056</v>
      </c>
      <c r="P292" s="35">
        <v>0</v>
      </c>
      <c r="Q292" s="35" t="s">
        <v>1589</v>
      </c>
      <c r="R292" s="53">
        <v>4</v>
      </c>
      <c r="S292" s="53">
        <v>0.52</v>
      </c>
    </row>
    <row r="293" spans="1:19" x14ac:dyDescent="0.3">
      <c r="A293" s="35" t="s">
        <v>1586</v>
      </c>
      <c r="B293" s="35" t="s">
        <v>14</v>
      </c>
      <c r="C293" s="35" t="s">
        <v>1588</v>
      </c>
      <c r="D293" s="37">
        <v>117.35596555138723</v>
      </c>
      <c r="E293" s="35" t="s">
        <v>2656</v>
      </c>
      <c r="F293" s="37">
        <v>131.95117625310579</v>
      </c>
      <c r="G293" s="35" t="s">
        <v>2656</v>
      </c>
      <c r="H293" s="37">
        <v>152.49812166637795</v>
      </c>
      <c r="I293" s="37" t="s">
        <v>2656</v>
      </c>
      <c r="J293" s="35">
        <v>2017</v>
      </c>
      <c r="K293" s="35" t="s">
        <v>25</v>
      </c>
      <c r="L293" s="35" t="s">
        <v>1598</v>
      </c>
      <c r="M293" s="36">
        <v>3867.79</v>
      </c>
      <c r="N293" s="52">
        <v>2800</v>
      </c>
      <c r="O293" s="38">
        <v>0.72392761758006507</v>
      </c>
      <c r="P293" s="35">
        <v>0</v>
      </c>
      <c r="Q293" s="35" t="s">
        <v>1589</v>
      </c>
      <c r="R293" s="53">
        <v>0</v>
      </c>
      <c r="S293" s="53">
        <v>0</v>
      </c>
    </row>
    <row r="294" spans="1:19" x14ac:dyDescent="0.3">
      <c r="A294" s="35" t="s">
        <v>1586</v>
      </c>
      <c r="B294" s="35" t="s">
        <v>14</v>
      </c>
      <c r="C294" s="35" t="s">
        <v>1588</v>
      </c>
      <c r="D294" s="37">
        <v>161.27151783139482</v>
      </c>
      <c r="E294" s="35" t="s">
        <v>2655</v>
      </c>
      <c r="F294" s="37">
        <v>141.67391617802556</v>
      </c>
      <c r="G294" s="35" t="s">
        <v>2656</v>
      </c>
      <c r="H294" s="37">
        <v>150.4273219263674</v>
      </c>
      <c r="I294" s="37" t="s">
        <v>2656</v>
      </c>
      <c r="J294" s="35">
        <v>1995</v>
      </c>
      <c r="K294" s="35" t="s">
        <v>1950</v>
      </c>
      <c r="L294" s="35" t="s">
        <v>1950</v>
      </c>
      <c r="M294" s="36">
        <v>10403</v>
      </c>
      <c r="N294" s="52">
        <v>8299</v>
      </c>
      <c r="O294" s="38">
        <v>0.79775064885129288</v>
      </c>
      <c r="P294" s="35">
        <v>0</v>
      </c>
      <c r="Q294" s="35" t="s">
        <v>1590</v>
      </c>
      <c r="R294" s="53">
        <v>0</v>
      </c>
      <c r="S294" s="53">
        <v>1.1299999999999999</v>
      </c>
    </row>
    <row r="295" spans="1:19" x14ac:dyDescent="0.3">
      <c r="A295" s="35" t="s">
        <v>1586</v>
      </c>
      <c r="B295" s="35" t="s">
        <v>14</v>
      </c>
      <c r="C295" s="35" t="s">
        <v>1588</v>
      </c>
      <c r="D295" s="37">
        <v>132.69070483843964</v>
      </c>
      <c r="E295" s="35" t="s">
        <v>2656</v>
      </c>
      <c r="F295" s="37">
        <v>153.52880462079355</v>
      </c>
      <c r="G295" s="35" t="s">
        <v>2655</v>
      </c>
      <c r="H295" s="37">
        <v>148.81558011049722</v>
      </c>
      <c r="I295" s="37" t="s">
        <v>2656</v>
      </c>
      <c r="J295" s="35">
        <v>2015</v>
      </c>
      <c r="K295" s="35" t="s">
        <v>1950</v>
      </c>
      <c r="L295" s="35" t="s">
        <v>1950</v>
      </c>
      <c r="M295" s="36">
        <v>5973</v>
      </c>
      <c r="N295" s="52">
        <v>3360</v>
      </c>
      <c r="O295" s="38">
        <v>0.56253139126067297</v>
      </c>
      <c r="P295" s="35">
        <v>0</v>
      </c>
      <c r="Q295" s="35" t="s">
        <v>28</v>
      </c>
      <c r="R295" s="53">
        <v>0</v>
      </c>
      <c r="S295" s="53">
        <v>0</v>
      </c>
    </row>
    <row r="296" spans="1:19" x14ac:dyDescent="0.3">
      <c r="A296" s="35" t="s">
        <v>1586</v>
      </c>
      <c r="B296" s="35" t="s">
        <v>14</v>
      </c>
      <c r="C296" s="35" t="s">
        <v>1588</v>
      </c>
      <c r="D296" s="37">
        <v>135.44652728845759</v>
      </c>
      <c r="E296" s="35" t="s">
        <v>2656</v>
      </c>
      <c r="F296" s="37">
        <v>130.83636825815887</v>
      </c>
      <c r="G296" s="35" t="s">
        <v>2656</v>
      </c>
      <c r="H296" s="37">
        <v>148.13671521713923</v>
      </c>
      <c r="I296" s="37" t="s">
        <v>2656</v>
      </c>
      <c r="J296" s="35">
        <v>1991</v>
      </c>
      <c r="K296" s="35" t="s">
        <v>19</v>
      </c>
      <c r="L296" s="35" t="s">
        <v>1599</v>
      </c>
      <c r="M296" s="36">
        <v>11211.7</v>
      </c>
      <c r="N296" s="52">
        <v>10239</v>
      </c>
      <c r="O296" s="38">
        <v>0.91324241640429193</v>
      </c>
      <c r="P296" s="35">
        <v>0</v>
      </c>
      <c r="Q296" s="35" t="s">
        <v>1589</v>
      </c>
      <c r="R296" s="53">
        <v>1</v>
      </c>
      <c r="S296" s="53">
        <v>0.65</v>
      </c>
    </row>
    <row r="297" spans="1:19" x14ac:dyDescent="0.3">
      <c r="A297" s="35" t="s">
        <v>1586</v>
      </c>
      <c r="B297" s="35" t="s">
        <v>14</v>
      </c>
      <c r="C297" s="35" t="s">
        <v>1588</v>
      </c>
      <c r="D297" s="37">
        <v>143.55639202288256</v>
      </c>
      <c r="E297" s="35" t="s">
        <v>2655</v>
      </c>
      <c r="F297" s="37">
        <v>134.40050452884157</v>
      </c>
      <c r="G297" s="35" t="s">
        <v>2656</v>
      </c>
      <c r="H297" s="37">
        <v>145.72866677260447</v>
      </c>
      <c r="I297" s="37" t="s">
        <v>2656</v>
      </c>
      <c r="J297" s="35">
        <v>1994</v>
      </c>
      <c r="K297" s="35" t="s">
        <v>1950</v>
      </c>
      <c r="L297" s="35" t="s">
        <v>1950</v>
      </c>
      <c r="M297" s="36">
        <v>12586</v>
      </c>
      <c r="N297" s="52">
        <v>1341</v>
      </c>
      <c r="O297" s="38">
        <v>0.1065469569362784</v>
      </c>
      <c r="P297" s="35">
        <v>0</v>
      </c>
      <c r="Q297" s="35" t="s">
        <v>1589</v>
      </c>
      <c r="R297" s="53">
        <v>7</v>
      </c>
      <c r="S297" s="53">
        <v>0</v>
      </c>
    </row>
    <row r="298" spans="1:19" x14ac:dyDescent="0.3">
      <c r="A298" s="35" t="s">
        <v>1586</v>
      </c>
      <c r="B298" s="35" t="s">
        <v>14</v>
      </c>
      <c r="C298" s="35" t="s">
        <v>1588</v>
      </c>
      <c r="D298" s="37">
        <v>0</v>
      </c>
      <c r="E298" s="39" t="s">
        <v>1950</v>
      </c>
      <c r="F298" s="37">
        <v>151.44246959775492</v>
      </c>
      <c r="G298" s="35" t="s">
        <v>2655</v>
      </c>
      <c r="H298" s="37">
        <v>144.07787652011226</v>
      </c>
      <c r="I298" s="37" t="s">
        <v>2656</v>
      </c>
      <c r="J298" s="35">
        <v>2021</v>
      </c>
      <c r="K298" s="35" t="s">
        <v>1950</v>
      </c>
      <c r="L298" s="35" t="s">
        <v>1950</v>
      </c>
      <c r="M298" s="36">
        <v>4276</v>
      </c>
      <c r="N298" s="52">
        <v>3498</v>
      </c>
      <c r="O298" s="38">
        <v>0.81805425631431239</v>
      </c>
      <c r="P298" s="35">
        <v>0</v>
      </c>
      <c r="Q298" s="35" t="s">
        <v>28</v>
      </c>
      <c r="R298" s="53">
        <v>0</v>
      </c>
      <c r="S298" s="53">
        <v>0</v>
      </c>
    </row>
    <row r="299" spans="1:19" x14ac:dyDescent="0.3">
      <c r="A299" s="35" t="s">
        <v>1586</v>
      </c>
      <c r="B299" s="35" t="s">
        <v>14</v>
      </c>
      <c r="C299" s="35" t="s">
        <v>1588</v>
      </c>
      <c r="D299" s="37">
        <v>237.15504731861196</v>
      </c>
      <c r="E299" s="35" t="s">
        <v>2654</v>
      </c>
      <c r="F299" s="37">
        <v>160.75725066731377</v>
      </c>
      <c r="G299" s="35" t="s">
        <v>2655</v>
      </c>
      <c r="H299" s="37">
        <v>141.62402329531668</v>
      </c>
      <c r="I299" s="37" t="s">
        <v>2656</v>
      </c>
      <c r="J299" s="35">
        <v>2012</v>
      </c>
      <c r="K299" s="35" t="s">
        <v>47</v>
      </c>
      <c r="L299" s="35" t="s">
        <v>1599</v>
      </c>
      <c r="M299" s="36">
        <v>4121</v>
      </c>
      <c r="N299" s="52">
        <v>4121</v>
      </c>
      <c r="O299" s="38">
        <v>1</v>
      </c>
      <c r="P299" s="35">
        <v>0</v>
      </c>
      <c r="Q299" s="35" t="s">
        <v>28</v>
      </c>
      <c r="R299" s="53">
        <v>0</v>
      </c>
      <c r="S299" s="53">
        <v>0</v>
      </c>
    </row>
    <row r="300" spans="1:19" x14ac:dyDescent="0.3">
      <c r="A300" s="35" t="s">
        <v>1586</v>
      </c>
      <c r="B300" s="35" t="s">
        <v>14</v>
      </c>
      <c r="C300" s="35" t="s">
        <v>1588</v>
      </c>
      <c r="D300" s="37">
        <v>125.60511018385709</v>
      </c>
      <c r="E300" s="35" t="s">
        <v>2656</v>
      </c>
      <c r="F300" s="37">
        <v>130.54360151258314</v>
      </c>
      <c r="G300" s="35" t="s">
        <v>2656</v>
      </c>
      <c r="H300" s="37">
        <v>141.58556526274612</v>
      </c>
      <c r="I300" s="37" t="s">
        <v>2656</v>
      </c>
      <c r="J300" s="35">
        <v>1985</v>
      </c>
      <c r="K300" s="35" t="s">
        <v>19</v>
      </c>
      <c r="L300" s="35" t="s">
        <v>1818</v>
      </c>
      <c r="M300" s="36">
        <v>7669</v>
      </c>
      <c r="N300" s="52">
        <v>7110</v>
      </c>
      <c r="O300" s="38">
        <v>0.92710914069630979</v>
      </c>
      <c r="P300" s="35">
        <v>0</v>
      </c>
      <c r="Q300" s="35" t="s">
        <v>1589</v>
      </c>
      <c r="R300" s="53">
        <v>6</v>
      </c>
      <c r="S300" s="53">
        <v>0</v>
      </c>
    </row>
    <row r="301" spans="1:19" x14ac:dyDescent="0.3">
      <c r="A301" s="35" t="s">
        <v>1586</v>
      </c>
      <c r="B301" s="35" t="s">
        <v>14</v>
      </c>
      <c r="C301" s="35" t="s">
        <v>1588</v>
      </c>
      <c r="D301" s="37">
        <v>151.123088</v>
      </c>
      <c r="E301" s="35" t="s">
        <v>2655</v>
      </c>
      <c r="F301" s="37">
        <v>151.487664</v>
      </c>
      <c r="G301" s="35" t="s">
        <v>2655</v>
      </c>
      <c r="H301" s="37">
        <v>141.03904800000001</v>
      </c>
      <c r="I301" s="37" t="s">
        <v>2656</v>
      </c>
      <c r="J301" s="35">
        <v>1992</v>
      </c>
      <c r="K301" s="35" t="s">
        <v>1950</v>
      </c>
      <c r="L301" s="35" t="s">
        <v>1950</v>
      </c>
      <c r="M301" s="36">
        <v>5000</v>
      </c>
      <c r="N301" s="52">
        <v>3500</v>
      </c>
      <c r="O301" s="38">
        <v>0.7</v>
      </c>
      <c r="P301" s="35">
        <v>0</v>
      </c>
      <c r="Q301" s="35" t="s">
        <v>1589</v>
      </c>
      <c r="R301" s="53">
        <v>6</v>
      </c>
      <c r="S301" s="53">
        <v>0</v>
      </c>
    </row>
    <row r="302" spans="1:19" x14ac:dyDescent="0.3">
      <c r="A302" s="35" t="s">
        <v>1586</v>
      </c>
      <c r="B302" s="35" t="s">
        <v>14</v>
      </c>
      <c r="C302" s="35" t="s">
        <v>1588</v>
      </c>
      <c r="D302" s="37">
        <v>137.50714118727561</v>
      </c>
      <c r="E302" s="35" t="s">
        <v>2656</v>
      </c>
      <c r="F302" s="37">
        <v>132.94245303498371</v>
      </c>
      <c r="G302" s="35" t="s">
        <v>2656</v>
      </c>
      <c r="H302" s="37">
        <v>140.43137931034482</v>
      </c>
      <c r="I302" s="37" t="s">
        <v>2656</v>
      </c>
      <c r="J302" s="35">
        <v>2009</v>
      </c>
      <c r="K302" s="35" t="s">
        <v>25</v>
      </c>
      <c r="L302" s="35" t="s">
        <v>1601</v>
      </c>
      <c r="M302" s="36">
        <v>11977</v>
      </c>
      <c r="N302" s="52">
        <v>9975</v>
      </c>
      <c r="O302" s="38">
        <v>0.83284628872004673</v>
      </c>
      <c r="P302" s="35">
        <v>0</v>
      </c>
      <c r="Q302" s="35" t="s">
        <v>28</v>
      </c>
      <c r="R302" s="53">
        <v>0</v>
      </c>
      <c r="S302" s="53">
        <v>0</v>
      </c>
    </row>
    <row r="303" spans="1:19" x14ac:dyDescent="0.3">
      <c r="A303" s="35" t="s">
        <v>1586</v>
      </c>
      <c r="B303" s="35" t="s">
        <v>14</v>
      </c>
      <c r="C303" s="35" t="s">
        <v>1588</v>
      </c>
      <c r="D303" s="37">
        <v>167.29440580328568</v>
      </c>
      <c r="E303" s="35" t="s">
        <v>2655</v>
      </c>
      <c r="F303" s="37">
        <v>131.0791423085129</v>
      </c>
      <c r="G303" s="35" t="s">
        <v>2656</v>
      </c>
      <c r="H303" s="37">
        <v>139.63385534457009</v>
      </c>
      <c r="I303" s="37" t="s">
        <v>2656</v>
      </c>
      <c r="J303" s="35">
        <v>2007</v>
      </c>
      <c r="K303" s="35" t="s">
        <v>1950</v>
      </c>
      <c r="L303" s="35" t="s">
        <v>1950</v>
      </c>
      <c r="M303" s="36">
        <v>9374</v>
      </c>
      <c r="N303" s="52">
        <v>604</v>
      </c>
      <c r="O303" s="38">
        <v>6.4433539577554932E-2</v>
      </c>
      <c r="P303" s="35">
        <v>0</v>
      </c>
      <c r="Q303" s="35" t="s">
        <v>1590</v>
      </c>
      <c r="R303" s="53">
        <v>0</v>
      </c>
      <c r="S303" s="53">
        <v>0</v>
      </c>
    </row>
    <row r="304" spans="1:19" x14ac:dyDescent="0.3">
      <c r="A304" s="35" t="s">
        <v>1586</v>
      </c>
      <c r="B304" s="35" t="s">
        <v>14</v>
      </c>
      <c r="C304" s="35" t="s">
        <v>1588</v>
      </c>
      <c r="D304" s="37">
        <v>170.08430128128367</v>
      </c>
      <c r="E304" s="35" t="s">
        <v>2655</v>
      </c>
      <c r="F304" s="37">
        <v>146.17518860016764</v>
      </c>
      <c r="G304" s="35" t="s">
        <v>2656</v>
      </c>
      <c r="H304" s="37">
        <v>139.47470362830799</v>
      </c>
      <c r="I304" s="37" t="s">
        <v>2656</v>
      </c>
      <c r="J304" s="35">
        <v>2012</v>
      </c>
      <c r="K304" s="35" t="s">
        <v>1950</v>
      </c>
      <c r="L304" s="35" t="s">
        <v>1950</v>
      </c>
      <c r="M304" s="36">
        <v>3340.4</v>
      </c>
      <c r="N304" s="52">
        <v>110071</v>
      </c>
      <c r="O304" s="38">
        <v>32.951442940965151</v>
      </c>
      <c r="P304" s="35">
        <v>0</v>
      </c>
      <c r="Q304" s="35" t="s">
        <v>28</v>
      </c>
      <c r="R304" s="53">
        <v>0</v>
      </c>
      <c r="S304" s="53">
        <v>0</v>
      </c>
    </row>
    <row r="305" spans="1:19" x14ac:dyDescent="0.3">
      <c r="A305" s="35" t="s">
        <v>1586</v>
      </c>
      <c r="B305" s="35" t="s">
        <v>14</v>
      </c>
      <c r="C305" s="35" t="s">
        <v>1588</v>
      </c>
      <c r="D305" s="37">
        <v>115.42385685884692</v>
      </c>
      <c r="E305" s="35" t="s">
        <v>2656</v>
      </c>
      <c r="F305" s="37">
        <v>110.518986083499</v>
      </c>
      <c r="G305" s="35" t="s">
        <v>2657</v>
      </c>
      <c r="H305" s="37">
        <v>138.86707753479126</v>
      </c>
      <c r="I305" s="37" t="s">
        <v>2656</v>
      </c>
      <c r="J305" s="35">
        <v>2011</v>
      </c>
      <c r="K305" s="35" t="s">
        <v>1950</v>
      </c>
      <c r="L305" s="35" t="s">
        <v>1950</v>
      </c>
      <c r="M305" s="36">
        <v>5030</v>
      </c>
      <c r="N305" s="52">
        <v>4024</v>
      </c>
      <c r="O305" s="38">
        <v>0.8</v>
      </c>
      <c r="P305" s="35">
        <v>0</v>
      </c>
      <c r="Q305" s="35" t="s">
        <v>28</v>
      </c>
      <c r="R305" s="53">
        <v>0</v>
      </c>
      <c r="S305" s="53">
        <v>0</v>
      </c>
    </row>
    <row r="306" spans="1:19" x14ac:dyDescent="0.3">
      <c r="A306" s="35" t="s">
        <v>1586</v>
      </c>
      <c r="B306" s="35" t="s">
        <v>14</v>
      </c>
      <c r="C306" s="35" t="s">
        <v>1588</v>
      </c>
      <c r="D306" s="37">
        <v>164.91198180502431</v>
      </c>
      <c r="E306" s="35" t="s">
        <v>2655</v>
      </c>
      <c r="F306" s="37">
        <v>140.80622350873566</v>
      </c>
      <c r="G306" s="35" t="s">
        <v>2656</v>
      </c>
      <c r="H306" s="37">
        <v>136.38831799855268</v>
      </c>
      <c r="I306" s="37" t="s">
        <v>2656</v>
      </c>
      <c r="J306" s="35">
        <v>1998</v>
      </c>
      <c r="K306" s="35" t="s">
        <v>47</v>
      </c>
      <c r="L306" s="35" t="s">
        <v>1599</v>
      </c>
      <c r="M306" s="36">
        <v>9673</v>
      </c>
      <c r="N306" s="52">
        <v>8369</v>
      </c>
      <c r="O306" s="38">
        <v>0.86519177090871502</v>
      </c>
      <c r="P306" s="35">
        <v>0</v>
      </c>
      <c r="Q306" s="35" t="s">
        <v>1590</v>
      </c>
      <c r="R306" s="53">
        <v>0</v>
      </c>
      <c r="S306" s="53">
        <v>0.96</v>
      </c>
    </row>
    <row r="307" spans="1:19" x14ac:dyDescent="0.3">
      <c r="A307" s="35" t="s">
        <v>1586</v>
      </c>
      <c r="B307" s="35" t="s">
        <v>14</v>
      </c>
      <c r="C307" s="35" t="s">
        <v>1588</v>
      </c>
      <c r="D307" s="37">
        <v>135.60251821349382</v>
      </c>
      <c r="E307" s="35" t="s">
        <v>2656</v>
      </c>
      <c r="F307" s="37">
        <v>137.77605321507761</v>
      </c>
      <c r="G307" s="35" t="s">
        <v>2656</v>
      </c>
      <c r="H307" s="37">
        <v>136.28606271777005</v>
      </c>
      <c r="I307" s="37" t="s">
        <v>2656</v>
      </c>
      <c r="J307" s="35">
        <v>1993</v>
      </c>
      <c r="K307" s="35" t="s">
        <v>25</v>
      </c>
      <c r="L307" s="35" t="s">
        <v>1599</v>
      </c>
      <c r="M307" s="36">
        <v>9471</v>
      </c>
      <c r="N307" s="52">
        <v>956</v>
      </c>
      <c r="O307" s="38">
        <v>0.10093971069580826</v>
      </c>
      <c r="P307" s="35">
        <v>0</v>
      </c>
      <c r="Q307" s="35" t="s">
        <v>28</v>
      </c>
      <c r="R307" s="53">
        <v>0</v>
      </c>
      <c r="S307" s="53">
        <v>0</v>
      </c>
    </row>
    <row r="308" spans="1:19" x14ac:dyDescent="0.3">
      <c r="A308" s="35" t="s">
        <v>1586</v>
      </c>
      <c r="B308" s="35" t="s">
        <v>14</v>
      </c>
      <c r="C308" s="35" t="s">
        <v>1588</v>
      </c>
      <c r="D308" s="37">
        <v>137.19249722222222</v>
      </c>
      <c r="E308" s="35" t="s">
        <v>2656</v>
      </c>
      <c r="F308" s="37">
        <v>137.805575</v>
      </c>
      <c r="G308" s="35" t="s">
        <v>2656</v>
      </c>
      <c r="H308" s="37">
        <v>135.69198611111111</v>
      </c>
      <c r="I308" s="37" t="s">
        <v>2656</v>
      </c>
      <c r="J308" s="35">
        <v>1975</v>
      </c>
      <c r="K308" s="35" t="s">
        <v>1950</v>
      </c>
      <c r="L308" s="35" t="s">
        <v>1950</v>
      </c>
      <c r="M308" s="36">
        <v>7200</v>
      </c>
      <c r="N308" s="52">
        <v>7200</v>
      </c>
      <c r="O308" s="38">
        <v>1</v>
      </c>
      <c r="P308" s="35">
        <v>0</v>
      </c>
      <c r="Q308" s="35" t="s">
        <v>1589</v>
      </c>
      <c r="R308" s="53">
        <v>12</v>
      </c>
      <c r="S308" s="53">
        <v>0</v>
      </c>
    </row>
    <row r="309" spans="1:19" x14ac:dyDescent="0.3">
      <c r="A309" s="35" t="s">
        <v>1586</v>
      </c>
      <c r="B309" s="35" t="s">
        <v>14</v>
      </c>
      <c r="C309" s="35" t="s">
        <v>1588</v>
      </c>
      <c r="D309" s="37">
        <v>138.5858154859967</v>
      </c>
      <c r="E309" s="35" t="s">
        <v>2656</v>
      </c>
      <c r="F309" s="37">
        <v>128.84291231923851</v>
      </c>
      <c r="G309" s="35" t="s">
        <v>2656</v>
      </c>
      <c r="H309" s="37">
        <v>134.01545945451215</v>
      </c>
      <c r="I309" s="37" t="s">
        <v>2656</v>
      </c>
      <c r="J309" s="35">
        <v>1986</v>
      </c>
      <c r="K309" s="35" t="s">
        <v>1950</v>
      </c>
      <c r="L309" s="35" t="s">
        <v>1950</v>
      </c>
      <c r="M309" s="36">
        <v>10926</v>
      </c>
      <c r="N309" s="52">
        <v>7985</v>
      </c>
      <c r="O309" s="38">
        <v>0.73082555372505953</v>
      </c>
      <c r="P309" s="35">
        <v>0</v>
      </c>
      <c r="Q309" s="35" t="s">
        <v>1589</v>
      </c>
      <c r="R309" s="53">
        <v>36</v>
      </c>
      <c r="S309" s="53">
        <v>0</v>
      </c>
    </row>
    <row r="310" spans="1:19" x14ac:dyDescent="0.3">
      <c r="A310" s="35" t="s">
        <v>1586</v>
      </c>
      <c r="B310" s="35" t="s">
        <v>14</v>
      </c>
      <c r="C310" s="35" t="s">
        <v>1588</v>
      </c>
      <c r="D310" s="37">
        <v>144.45477295326484</v>
      </c>
      <c r="E310" s="35" t="s">
        <v>2655</v>
      </c>
      <c r="F310" s="37">
        <v>140.46771461716938</v>
      </c>
      <c r="G310" s="35" t="s">
        <v>2656</v>
      </c>
      <c r="H310" s="37">
        <v>133.79293172025191</v>
      </c>
      <c r="I310" s="37" t="s">
        <v>2656</v>
      </c>
      <c r="J310" s="35">
        <v>1988</v>
      </c>
      <c r="K310" s="35" t="s">
        <v>1950</v>
      </c>
      <c r="L310" s="35" t="s">
        <v>1950</v>
      </c>
      <c r="M310" s="36">
        <v>6034</v>
      </c>
      <c r="N310" s="52">
        <v>800</v>
      </c>
      <c r="O310" s="38">
        <v>0.1325820351342393</v>
      </c>
      <c r="P310" s="35">
        <v>0</v>
      </c>
      <c r="Q310" s="35" t="s">
        <v>1590</v>
      </c>
      <c r="R310" s="53">
        <v>0</v>
      </c>
      <c r="S310" s="53">
        <v>0</v>
      </c>
    </row>
    <row r="311" spans="1:19" x14ac:dyDescent="0.3">
      <c r="A311" s="35" t="s">
        <v>1586</v>
      </c>
      <c r="B311" s="35" t="s">
        <v>14</v>
      </c>
      <c r="C311" s="35" t="s">
        <v>1588</v>
      </c>
      <c r="D311" s="37">
        <v>129.53842580149743</v>
      </c>
      <c r="E311" s="35" t="s">
        <v>2656</v>
      </c>
      <c r="F311" s="37">
        <v>135.02324438471874</v>
      </c>
      <c r="G311" s="35" t="s">
        <v>2656</v>
      </c>
      <c r="H311" s="37">
        <v>133.57248416202725</v>
      </c>
      <c r="I311" s="37" t="s">
        <v>2656</v>
      </c>
      <c r="J311" s="35">
        <v>1975</v>
      </c>
      <c r="K311" s="35" t="s">
        <v>1950</v>
      </c>
      <c r="L311" s="35" t="s">
        <v>1950</v>
      </c>
      <c r="M311" s="36">
        <v>10418</v>
      </c>
      <c r="N311" s="52">
        <v>10418</v>
      </c>
      <c r="O311" s="38">
        <v>1</v>
      </c>
      <c r="P311" s="35">
        <v>0</v>
      </c>
      <c r="Q311" s="35" t="s">
        <v>1589</v>
      </c>
      <c r="R311" s="53">
        <v>39</v>
      </c>
      <c r="S311" s="53">
        <v>0.8</v>
      </c>
    </row>
    <row r="312" spans="1:19" x14ac:dyDescent="0.3">
      <c r="A312" s="35" t="s">
        <v>1586</v>
      </c>
      <c r="B312" s="35" t="s">
        <v>14</v>
      </c>
      <c r="C312" s="35" t="s">
        <v>1588</v>
      </c>
      <c r="D312" s="37">
        <v>127.54254187716033</v>
      </c>
      <c r="E312" s="35" t="s">
        <v>2656</v>
      </c>
      <c r="F312" s="37">
        <v>107.71536825312417</v>
      </c>
      <c r="G312" s="35" t="s">
        <v>2657</v>
      </c>
      <c r="H312" s="37">
        <v>133.2650890720553</v>
      </c>
      <c r="I312" s="37" t="s">
        <v>2656</v>
      </c>
      <c r="J312" s="35">
        <v>2009</v>
      </c>
      <c r="K312" s="35" t="s">
        <v>1950</v>
      </c>
      <c r="L312" s="35" t="s">
        <v>1950</v>
      </c>
      <c r="M312" s="36">
        <v>7522</v>
      </c>
      <c r="N312" s="52">
        <v>5165</v>
      </c>
      <c r="O312" s="38">
        <v>0.68665248604094653</v>
      </c>
      <c r="P312" s="35">
        <v>0</v>
      </c>
      <c r="Q312" s="35" t="s">
        <v>28</v>
      </c>
      <c r="R312" s="53">
        <v>0</v>
      </c>
      <c r="S312" s="53">
        <v>0</v>
      </c>
    </row>
    <row r="313" spans="1:19" x14ac:dyDescent="0.3">
      <c r="A313" s="35" t="s">
        <v>1586</v>
      </c>
      <c r="B313" s="35" t="s">
        <v>14</v>
      </c>
      <c r="C313" s="35" t="s">
        <v>1588</v>
      </c>
      <c r="D313" s="37">
        <v>111.63808018296784</v>
      </c>
      <c r="E313" s="35" t="s">
        <v>2656</v>
      </c>
      <c r="F313" s="37">
        <v>117.45466164401991</v>
      </c>
      <c r="G313" s="35" t="s">
        <v>2656</v>
      </c>
      <c r="H313" s="37">
        <v>133.15497914704696</v>
      </c>
      <c r="I313" s="37" t="s">
        <v>2656</v>
      </c>
      <c r="J313" s="35">
        <v>1995</v>
      </c>
      <c r="K313" s="35" t="s">
        <v>1950</v>
      </c>
      <c r="L313" s="35" t="s">
        <v>1950</v>
      </c>
      <c r="M313" s="36">
        <v>7433</v>
      </c>
      <c r="N313" s="52">
        <v>5865</v>
      </c>
      <c r="O313" s="38">
        <v>0.78904883627068478</v>
      </c>
      <c r="P313" s="35">
        <v>0</v>
      </c>
      <c r="Q313" s="35" t="s">
        <v>28</v>
      </c>
      <c r="R313" s="53">
        <v>0</v>
      </c>
      <c r="S313" s="53">
        <v>0</v>
      </c>
    </row>
    <row r="314" spans="1:19" x14ac:dyDescent="0.3">
      <c r="A314" s="35" t="s">
        <v>1586</v>
      </c>
      <c r="B314" s="35" t="s">
        <v>14</v>
      </c>
      <c r="C314" s="35" t="s">
        <v>1588</v>
      </c>
      <c r="D314" s="37">
        <v>131.89431740614336</v>
      </c>
      <c r="E314" s="35" t="s">
        <v>2656</v>
      </c>
      <c r="F314" s="37">
        <v>124.7835532802427</v>
      </c>
      <c r="G314" s="35" t="s">
        <v>2656</v>
      </c>
      <c r="H314" s="37">
        <v>130.79071482745545</v>
      </c>
      <c r="I314" s="37" t="s">
        <v>2656</v>
      </c>
      <c r="J314" s="35">
        <v>2009</v>
      </c>
      <c r="K314" s="35" t="s">
        <v>25</v>
      </c>
      <c r="L314" s="35" t="s">
        <v>1599</v>
      </c>
      <c r="M314" s="36">
        <v>5274</v>
      </c>
      <c r="N314" s="52">
        <v>4701</v>
      </c>
      <c r="O314" s="38">
        <v>0.891353811149033</v>
      </c>
      <c r="P314" s="35">
        <v>0</v>
      </c>
      <c r="Q314" s="35" t="s">
        <v>28</v>
      </c>
      <c r="R314" s="53">
        <v>0</v>
      </c>
      <c r="S314" s="53">
        <v>0</v>
      </c>
    </row>
    <row r="315" spans="1:19" x14ac:dyDescent="0.3">
      <c r="A315" s="35" t="s">
        <v>1586</v>
      </c>
      <c r="B315" s="35" t="s">
        <v>14</v>
      </c>
      <c r="C315" s="35" t="s">
        <v>1588</v>
      </c>
      <c r="D315" s="37">
        <v>114.20809015898571</v>
      </c>
      <c r="E315" s="35" t="s">
        <v>2656</v>
      </c>
      <c r="F315" s="37">
        <v>129.25135842221775</v>
      </c>
      <c r="G315" s="35" t="s">
        <v>2656</v>
      </c>
      <c r="H315" s="37">
        <v>129.25135842221775</v>
      </c>
      <c r="I315" s="37" t="s">
        <v>2656</v>
      </c>
      <c r="J315" s="35">
        <v>1990</v>
      </c>
      <c r="K315" s="35" t="s">
        <v>1950</v>
      </c>
      <c r="L315" s="35" t="s">
        <v>1950</v>
      </c>
      <c r="M315" s="36">
        <v>9938</v>
      </c>
      <c r="N315" s="52">
        <v>5454</v>
      </c>
      <c r="O315" s="38">
        <v>0.54880257597102033</v>
      </c>
      <c r="P315" s="35">
        <v>0</v>
      </c>
      <c r="Q315" s="35" t="s">
        <v>1589</v>
      </c>
      <c r="R315" s="53">
        <v>13</v>
      </c>
      <c r="S315" s="53">
        <v>0</v>
      </c>
    </row>
    <row r="316" spans="1:19" x14ac:dyDescent="0.3">
      <c r="A316" s="35" t="s">
        <v>1586</v>
      </c>
      <c r="B316" s="35" t="s">
        <v>14</v>
      </c>
      <c r="C316" s="35" t="s">
        <v>1588</v>
      </c>
      <c r="D316" s="37">
        <v>130.79402161344314</v>
      </c>
      <c r="E316" s="35" t="s">
        <v>2656</v>
      </c>
      <c r="F316" s="37">
        <v>129.01265291883394</v>
      </c>
      <c r="G316" s="35" t="s">
        <v>2656</v>
      </c>
      <c r="H316" s="37">
        <v>128.67045574810186</v>
      </c>
      <c r="I316" s="37" t="s">
        <v>2656</v>
      </c>
      <c r="J316" s="35">
        <v>1978</v>
      </c>
      <c r="K316" s="35" t="s">
        <v>1950</v>
      </c>
      <c r="L316" s="35" t="s">
        <v>1950</v>
      </c>
      <c r="M316" s="36">
        <v>12755.95</v>
      </c>
      <c r="N316" s="52">
        <v>12992</v>
      </c>
      <c r="O316" s="38">
        <v>1.0185050897816312</v>
      </c>
      <c r="P316" s="35">
        <v>0</v>
      </c>
      <c r="Q316" s="35" t="s">
        <v>1589</v>
      </c>
      <c r="R316" s="53">
        <v>35</v>
      </c>
      <c r="S316" s="53">
        <v>0</v>
      </c>
    </row>
    <row r="317" spans="1:19" x14ac:dyDescent="0.3">
      <c r="A317" s="35" t="s">
        <v>1586</v>
      </c>
      <c r="B317" s="35" t="s">
        <v>14</v>
      </c>
      <c r="C317" s="35" t="s">
        <v>1588</v>
      </c>
      <c r="D317" s="37">
        <v>118.81854065104577</v>
      </c>
      <c r="E317" s="35" t="s">
        <v>2656</v>
      </c>
      <c r="F317" s="37">
        <v>142.5506447554647</v>
      </c>
      <c r="G317" s="35" t="s">
        <v>2656</v>
      </c>
      <c r="H317" s="37">
        <v>128.12886145620382</v>
      </c>
      <c r="I317" s="37" t="s">
        <v>2656</v>
      </c>
      <c r="J317" s="35">
        <v>2002</v>
      </c>
      <c r="K317" s="35" t="s">
        <v>1950</v>
      </c>
      <c r="L317" s="35" t="s">
        <v>1950</v>
      </c>
      <c r="M317" s="36">
        <v>6359</v>
      </c>
      <c r="N317" s="52">
        <v>5543</v>
      </c>
      <c r="O317" s="38">
        <v>0.87167793678251293</v>
      </c>
      <c r="P317" s="35">
        <v>0</v>
      </c>
      <c r="Q317" s="35" t="s">
        <v>1590</v>
      </c>
      <c r="R317" s="53">
        <v>0</v>
      </c>
      <c r="S317" s="53">
        <v>0</v>
      </c>
    </row>
    <row r="318" spans="1:19" x14ac:dyDescent="0.3">
      <c r="A318" s="35" t="s">
        <v>1586</v>
      </c>
      <c r="B318" s="35" t="s">
        <v>14</v>
      </c>
      <c r="C318" s="35" t="s">
        <v>1588</v>
      </c>
      <c r="D318" s="37">
        <v>94.929167767503316</v>
      </c>
      <c r="E318" s="35" t="s">
        <v>2657</v>
      </c>
      <c r="F318" s="37">
        <v>59.186116248348746</v>
      </c>
      <c r="G318" s="35" t="s">
        <v>2657</v>
      </c>
      <c r="H318" s="37">
        <v>126.48895640686922</v>
      </c>
      <c r="I318" s="37" t="s">
        <v>2656</v>
      </c>
      <c r="J318" s="35">
        <v>2011</v>
      </c>
      <c r="K318" s="35" t="s">
        <v>1950</v>
      </c>
      <c r="L318" s="35" t="s">
        <v>1950</v>
      </c>
      <c r="M318" s="36">
        <v>757</v>
      </c>
      <c r="N318" s="52">
        <v>755</v>
      </c>
      <c r="O318" s="38">
        <v>0.99735799207397624</v>
      </c>
      <c r="P318" s="35">
        <v>0</v>
      </c>
      <c r="Q318" s="35" t="s">
        <v>28</v>
      </c>
      <c r="R318" s="53">
        <v>0</v>
      </c>
      <c r="S318" s="53">
        <v>0</v>
      </c>
    </row>
    <row r="319" spans="1:19" x14ac:dyDescent="0.3">
      <c r="A319" s="35" t="s">
        <v>1586</v>
      </c>
      <c r="B319" s="35" t="s">
        <v>14</v>
      </c>
      <c r="C319" s="35" t="s">
        <v>1588</v>
      </c>
      <c r="D319" s="37">
        <v>120.33521739130434</v>
      </c>
      <c r="E319" s="35" t="s">
        <v>2656</v>
      </c>
      <c r="F319" s="37">
        <v>114.48308195459794</v>
      </c>
      <c r="G319" s="35" t="s">
        <v>2656</v>
      </c>
      <c r="H319" s="37">
        <v>124.33958830319355</v>
      </c>
      <c r="I319" s="37" t="s">
        <v>2656</v>
      </c>
      <c r="J319" s="35">
        <v>2011</v>
      </c>
      <c r="K319" s="35" t="s">
        <v>1950</v>
      </c>
      <c r="L319" s="35" t="s">
        <v>1950</v>
      </c>
      <c r="M319" s="36">
        <v>2599</v>
      </c>
      <c r="N319" s="52">
        <v>1904</v>
      </c>
      <c r="O319" s="38">
        <v>0.73258945748364757</v>
      </c>
      <c r="P319" s="35">
        <v>0</v>
      </c>
      <c r="Q319" s="35" t="s">
        <v>28</v>
      </c>
      <c r="R319" s="53">
        <v>0</v>
      </c>
      <c r="S319" s="53">
        <v>0</v>
      </c>
    </row>
    <row r="320" spans="1:19" x14ac:dyDescent="0.3">
      <c r="A320" s="35" t="s">
        <v>1586</v>
      </c>
      <c r="B320" s="35" t="s">
        <v>14</v>
      </c>
      <c r="C320" s="35" t="s">
        <v>1588</v>
      </c>
      <c r="D320" s="37">
        <v>108.82635914332785</v>
      </c>
      <c r="E320" s="35" t="s">
        <v>2657</v>
      </c>
      <c r="F320" s="37">
        <v>117.59210140948197</v>
      </c>
      <c r="G320" s="35" t="s">
        <v>2656</v>
      </c>
      <c r="H320" s="37">
        <v>121.29372139849899</v>
      </c>
      <c r="I320" s="37" t="s">
        <v>2656</v>
      </c>
      <c r="J320" s="35">
        <v>2005</v>
      </c>
      <c r="K320" s="35" t="s">
        <v>1950</v>
      </c>
      <c r="L320" s="35" t="s">
        <v>1950</v>
      </c>
      <c r="M320" s="36">
        <v>5463</v>
      </c>
      <c r="N320" s="52">
        <v>3405</v>
      </c>
      <c r="O320" s="38">
        <v>0.62328390993959359</v>
      </c>
      <c r="P320" s="35">
        <v>0</v>
      </c>
      <c r="Q320" s="35" t="s">
        <v>28</v>
      </c>
      <c r="R320" s="53">
        <v>0</v>
      </c>
      <c r="S320" s="53">
        <v>0</v>
      </c>
    </row>
    <row r="321" spans="1:19" x14ac:dyDescent="0.3">
      <c r="A321" s="35" t="s">
        <v>1586</v>
      </c>
      <c r="B321" s="35" t="s">
        <v>14</v>
      </c>
      <c r="C321" s="35" t="s">
        <v>1588</v>
      </c>
      <c r="D321" s="37">
        <v>112.28723225676492</v>
      </c>
      <c r="E321" s="35" t="s">
        <v>2656</v>
      </c>
      <c r="F321" s="37">
        <v>129.18163902504534</v>
      </c>
      <c r="G321" s="35" t="s">
        <v>2656</v>
      </c>
      <c r="H321" s="37">
        <v>117.99944806284832</v>
      </c>
      <c r="I321" s="37" t="s">
        <v>2656</v>
      </c>
      <c r="J321" s="35">
        <v>2013</v>
      </c>
      <c r="K321" s="35" t="s">
        <v>1950</v>
      </c>
      <c r="L321" s="35" t="s">
        <v>1950</v>
      </c>
      <c r="M321" s="36">
        <v>14893</v>
      </c>
      <c r="N321" s="52">
        <v>10000</v>
      </c>
      <c r="O321" s="38">
        <v>0.67145638890754045</v>
      </c>
      <c r="P321" s="35">
        <v>0</v>
      </c>
      <c r="Q321" s="35" t="s">
        <v>28</v>
      </c>
      <c r="R321" s="53">
        <v>0</v>
      </c>
      <c r="S321" s="53">
        <v>0</v>
      </c>
    </row>
    <row r="322" spans="1:19" x14ac:dyDescent="0.3">
      <c r="A322" s="35" t="s">
        <v>1586</v>
      </c>
      <c r="B322" s="35" t="s">
        <v>14</v>
      </c>
      <c r="C322" s="35" t="s">
        <v>1588</v>
      </c>
      <c r="D322" s="37">
        <v>138.01088942307692</v>
      </c>
      <c r="E322" s="35" t="s">
        <v>2656</v>
      </c>
      <c r="F322" s="37">
        <v>119.05404532967033</v>
      </c>
      <c r="G322" s="35" t="s">
        <v>2656</v>
      </c>
      <c r="H322" s="37">
        <v>117.98011160714286</v>
      </c>
      <c r="I322" s="37" t="s">
        <v>2656</v>
      </c>
      <c r="J322" s="35">
        <v>1993</v>
      </c>
      <c r="K322" s="35" t="s">
        <v>1950</v>
      </c>
      <c r="L322" s="35" t="s">
        <v>1950</v>
      </c>
      <c r="M322" s="36">
        <v>5824</v>
      </c>
      <c r="N322" s="52">
        <v>4070</v>
      </c>
      <c r="O322" s="38">
        <v>0.69883241758241754</v>
      </c>
      <c r="P322" s="35">
        <v>0</v>
      </c>
      <c r="Q322" s="35" t="s">
        <v>1590</v>
      </c>
      <c r="R322" s="53">
        <v>0</v>
      </c>
      <c r="S322" s="53">
        <v>0</v>
      </c>
    </row>
    <row r="323" spans="1:19" x14ac:dyDescent="0.3">
      <c r="A323" s="35" t="s">
        <v>1586</v>
      </c>
      <c r="B323" s="35" t="s">
        <v>14</v>
      </c>
      <c r="C323" s="35" t="s">
        <v>1588</v>
      </c>
      <c r="D323" s="37">
        <v>125.3849308411215</v>
      </c>
      <c r="E323" s="35" t="s">
        <v>2656</v>
      </c>
      <c r="F323" s="37">
        <v>112.96692803738317</v>
      </c>
      <c r="G323" s="35" t="s">
        <v>2657</v>
      </c>
      <c r="H323" s="37">
        <v>117.85892523364485</v>
      </c>
      <c r="I323" s="37" t="s">
        <v>2656</v>
      </c>
      <c r="J323" s="35">
        <v>2001</v>
      </c>
      <c r="K323" s="35" t="s">
        <v>1950</v>
      </c>
      <c r="L323" s="35" t="s">
        <v>1950</v>
      </c>
      <c r="M323" s="36">
        <v>10700</v>
      </c>
      <c r="N323" s="52">
        <v>9095</v>
      </c>
      <c r="O323" s="38">
        <v>0.85</v>
      </c>
      <c r="P323" s="35">
        <v>0</v>
      </c>
      <c r="Q323" s="35" t="s">
        <v>28</v>
      </c>
      <c r="R323" s="53">
        <v>0</v>
      </c>
      <c r="S323" s="53">
        <v>0</v>
      </c>
    </row>
    <row r="324" spans="1:19" x14ac:dyDescent="0.3">
      <c r="A324" s="35" t="s">
        <v>1586</v>
      </c>
      <c r="B324" s="35" t="s">
        <v>14</v>
      </c>
      <c r="C324" s="35" t="s">
        <v>1588</v>
      </c>
      <c r="D324" s="37">
        <v>89.433233167842516</v>
      </c>
      <c r="E324" s="35" t="s">
        <v>2657</v>
      </c>
      <c r="F324" s="37">
        <v>95.582127863426521</v>
      </c>
      <c r="G324" s="35" t="s">
        <v>2657</v>
      </c>
      <c r="H324" s="37">
        <v>117.35444908980054</v>
      </c>
      <c r="I324" s="37" t="s">
        <v>2656</v>
      </c>
      <c r="J324" s="35">
        <v>1973</v>
      </c>
      <c r="K324" s="35" t="s">
        <v>1950</v>
      </c>
      <c r="L324" s="35" t="s">
        <v>1950</v>
      </c>
      <c r="M324" s="36">
        <v>11481</v>
      </c>
      <c r="N324" s="52">
        <v>10000</v>
      </c>
      <c r="O324" s="38">
        <v>0.87100426792091279</v>
      </c>
      <c r="P324" s="35">
        <v>0</v>
      </c>
      <c r="Q324" s="35" t="s">
        <v>1589</v>
      </c>
      <c r="R324" s="53">
        <v>1</v>
      </c>
      <c r="S324" s="53">
        <v>0</v>
      </c>
    </row>
    <row r="325" spans="1:19" x14ac:dyDescent="0.3">
      <c r="A325" s="35" t="s">
        <v>1586</v>
      </c>
      <c r="B325" s="35" t="s">
        <v>14</v>
      </c>
      <c r="C325" s="35" t="s">
        <v>1588</v>
      </c>
      <c r="D325" s="37">
        <v>122.17760642064678</v>
      </c>
      <c r="E325" s="35" t="s">
        <v>2656</v>
      </c>
      <c r="F325" s="37">
        <v>97.501455661342362</v>
      </c>
      <c r="G325" s="35" t="s">
        <v>2657</v>
      </c>
      <c r="H325" s="37">
        <v>117.33556377370367</v>
      </c>
      <c r="I325" s="37" t="s">
        <v>2656</v>
      </c>
      <c r="J325" s="35">
        <v>1999</v>
      </c>
      <c r="K325" s="35" t="s">
        <v>19</v>
      </c>
      <c r="L325" s="35" t="s">
        <v>1599</v>
      </c>
      <c r="M325" s="36">
        <v>12709</v>
      </c>
      <c r="N325" s="52">
        <v>9578</v>
      </c>
      <c r="O325" s="38">
        <v>0.75363915335588949</v>
      </c>
      <c r="P325" s="35">
        <v>0</v>
      </c>
      <c r="Q325" s="35" t="s">
        <v>1589</v>
      </c>
      <c r="R325" s="53">
        <v>21</v>
      </c>
      <c r="S325" s="53">
        <v>0.55200000000000005</v>
      </c>
    </row>
    <row r="326" spans="1:19" x14ac:dyDescent="0.3">
      <c r="A326" s="35" t="s">
        <v>1586</v>
      </c>
      <c r="B326" s="35" t="s">
        <v>14</v>
      </c>
      <c r="C326" s="35" t="s">
        <v>1588</v>
      </c>
      <c r="D326" s="37">
        <v>109.79854627274506</v>
      </c>
      <c r="E326" s="35" t="s">
        <v>2657</v>
      </c>
      <c r="F326" s="37">
        <v>102.13342594404226</v>
      </c>
      <c r="G326" s="35" t="s">
        <v>2657</v>
      </c>
      <c r="H326" s="37">
        <v>115.78262570925455</v>
      </c>
      <c r="I326" s="37" t="s">
        <v>2656</v>
      </c>
      <c r="J326" s="35">
        <v>2009</v>
      </c>
      <c r="K326" s="35" t="s">
        <v>1950</v>
      </c>
      <c r="L326" s="35" t="s">
        <v>1950</v>
      </c>
      <c r="M326" s="36">
        <v>5111</v>
      </c>
      <c r="N326" s="52">
        <v>3967</v>
      </c>
      <c r="O326" s="38">
        <v>0.77616904715319901</v>
      </c>
      <c r="P326" s="35">
        <v>0</v>
      </c>
      <c r="Q326" s="35" t="s">
        <v>28</v>
      </c>
      <c r="R326" s="53">
        <v>0</v>
      </c>
      <c r="S326" s="53">
        <v>0</v>
      </c>
    </row>
    <row r="327" spans="1:19" x14ac:dyDescent="0.3">
      <c r="A327" s="35" t="s">
        <v>1586</v>
      </c>
      <c r="B327" s="35" t="s">
        <v>14</v>
      </c>
      <c r="C327" s="35" t="s">
        <v>1588</v>
      </c>
      <c r="D327" s="37">
        <v>129.97086265192362</v>
      </c>
      <c r="E327" s="35" t="s">
        <v>2656</v>
      </c>
      <c r="F327" s="37">
        <v>120.15827835145755</v>
      </c>
      <c r="G327" s="35" t="s">
        <v>2656</v>
      </c>
      <c r="H327" s="37">
        <v>114.1044274878918</v>
      </c>
      <c r="I327" s="37" t="s">
        <v>2656</v>
      </c>
      <c r="J327" s="35">
        <v>1995</v>
      </c>
      <c r="K327" s="35" t="s">
        <v>1950</v>
      </c>
      <c r="L327" s="35" t="s">
        <v>1950</v>
      </c>
      <c r="M327" s="36">
        <v>10943</v>
      </c>
      <c r="N327" s="52">
        <v>7432</v>
      </c>
      <c r="O327" s="38">
        <v>0.67915562460020107</v>
      </c>
      <c r="P327" s="35">
        <v>0</v>
      </c>
      <c r="Q327" s="35" t="s">
        <v>1589</v>
      </c>
      <c r="R327" s="53">
        <v>26</v>
      </c>
      <c r="S327" s="53">
        <v>0</v>
      </c>
    </row>
    <row r="328" spans="1:19" x14ac:dyDescent="0.3">
      <c r="A328" s="35" t="s">
        <v>1586</v>
      </c>
      <c r="B328" s="35" t="s">
        <v>14</v>
      </c>
      <c r="C328" s="35" t="s">
        <v>1588</v>
      </c>
      <c r="D328" s="37">
        <v>147.07425781250001</v>
      </c>
      <c r="E328" s="35" t="s">
        <v>2655</v>
      </c>
      <c r="F328" s="37">
        <v>136.88418663194446</v>
      </c>
      <c r="G328" s="35" t="s">
        <v>2656</v>
      </c>
      <c r="H328" s="37">
        <v>111.7706640625</v>
      </c>
      <c r="I328" s="37" t="s">
        <v>2656</v>
      </c>
      <c r="J328" s="35">
        <v>2009</v>
      </c>
      <c r="K328" s="35" t="s">
        <v>21</v>
      </c>
      <c r="L328" s="35" t="s">
        <v>1597</v>
      </c>
      <c r="M328" s="36">
        <v>11520</v>
      </c>
      <c r="N328" s="52">
        <v>10260</v>
      </c>
      <c r="O328" s="38">
        <v>0.890625</v>
      </c>
      <c r="P328" s="35">
        <v>0</v>
      </c>
      <c r="Q328" s="35" t="s">
        <v>28</v>
      </c>
      <c r="R328" s="53">
        <v>0</v>
      </c>
      <c r="S328" s="53">
        <v>0</v>
      </c>
    </row>
    <row r="329" spans="1:19" x14ac:dyDescent="0.3">
      <c r="A329" s="35" t="s">
        <v>1586</v>
      </c>
      <c r="B329" s="35" t="s">
        <v>14</v>
      </c>
      <c r="C329" s="35" t="s">
        <v>1588</v>
      </c>
      <c r="D329" s="37">
        <v>117.47417824267784</v>
      </c>
      <c r="E329" s="35" t="s">
        <v>2656</v>
      </c>
      <c r="F329" s="37">
        <v>105.40931548117155</v>
      </c>
      <c r="G329" s="35" t="s">
        <v>2657</v>
      </c>
      <c r="H329" s="37">
        <v>111.02458158995816</v>
      </c>
      <c r="I329" s="37" t="s">
        <v>2656</v>
      </c>
      <c r="J329" s="35">
        <v>1984</v>
      </c>
      <c r="K329" s="35" t="s">
        <v>1950</v>
      </c>
      <c r="L329" s="35" t="s">
        <v>1950</v>
      </c>
      <c r="M329" s="36">
        <v>11950</v>
      </c>
      <c r="N329" s="52">
        <v>18945</v>
      </c>
      <c r="O329" s="38">
        <v>1.5853556485355649</v>
      </c>
      <c r="P329" s="35">
        <v>0</v>
      </c>
      <c r="Q329" s="35" t="s">
        <v>1589</v>
      </c>
      <c r="R329" s="53">
        <v>38</v>
      </c>
      <c r="S329" s="53">
        <v>0</v>
      </c>
    </row>
    <row r="330" spans="1:19" x14ac:dyDescent="0.3">
      <c r="A330" s="35" t="s">
        <v>1586</v>
      </c>
      <c r="B330" s="35" t="s">
        <v>14</v>
      </c>
      <c r="C330" s="35" t="s">
        <v>1588</v>
      </c>
      <c r="D330" s="37">
        <v>114.68669103843494</v>
      </c>
      <c r="E330" s="35" t="s">
        <v>2656</v>
      </c>
      <c r="F330" s="37">
        <v>111.1259262918684</v>
      </c>
      <c r="G330" s="35" t="s">
        <v>2657</v>
      </c>
      <c r="H330" s="37">
        <v>109.77467641537397</v>
      </c>
      <c r="I330" s="37" t="s">
        <v>2656</v>
      </c>
      <c r="J330" s="35">
        <v>1999</v>
      </c>
      <c r="K330" s="35" t="s">
        <v>1950</v>
      </c>
      <c r="L330" s="35" t="s">
        <v>1950</v>
      </c>
      <c r="M330" s="36">
        <v>10121</v>
      </c>
      <c r="N330" s="52">
        <v>6471</v>
      </c>
      <c r="O330" s="38">
        <v>0.63936369923920566</v>
      </c>
      <c r="P330" s="35">
        <v>0</v>
      </c>
      <c r="Q330" s="35" t="s">
        <v>1590</v>
      </c>
      <c r="R330" s="53">
        <v>0</v>
      </c>
      <c r="S330" s="53">
        <v>0.9</v>
      </c>
    </row>
    <row r="331" spans="1:19" x14ac:dyDescent="0.3">
      <c r="A331" s="35" t="s">
        <v>1586</v>
      </c>
      <c r="B331" s="35" t="s">
        <v>14</v>
      </c>
      <c r="C331" s="35" t="s">
        <v>1588</v>
      </c>
      <c r="D331" s="37">
        <v>117.98298359987774</v>
      </c>
      <c r="E331" s="35" t="s">
        <v>2656</v>
      </c>
      <c r="F331" s="37">
        <v>125.66494983192419</v>
      </c>
      <c r="G331" s="35" t="s">
        <v>2656</v>
      </c>
      <c r="H331" s="37">
        <v>109.33907507385148</v>
      </c>
      <c r="I331" s="37" t="s">
        <v>2656</v>
      </c>
      <c r="J331" s="35">
        <v>2014</v>
      </c>
      <c r="K331" s="35" t="s">
        <v>1950</v>
      </c>
      <c r="L331" s="35" t="s">
        <v>1950</v>
      </c>
      <c r="M331" s="36">
        <v>7853.6</v>
      </c>
      <c r="N331" s="52">
        <v>852</v>
      </c>
      <c r="O331" s="38">
        <v>0.10848528063563206</v>
      </c>
      <c r="P331" s="35">
        <v>0</v>
      </c>
      <c r="Q331" s="35" t="s">
        <v>28</v>
      </c>
      <c r="R331" s="53">
        <v>0</v>
      </c>
      <c r="S331" s="53">
        <v>0</v>
      </c>
    </row>
    <row r="332" spans="1:19" x14ac:dyDescent="0.3">
      <c r="A332" s="35" t="s">
        <v>1586</v>
      </c>
      <c r="B332" s="35" t="s">
        <v>14</v>
      </c>
      <c r="C332" s="35" t="s">
        <v>1588</v>
      </c>
      <c r="D332" s="37">
        <v>103.46575781748564</v>
      </c>
      <c r="E332" s="35" t="s">
        <v>2657</v>
      </c>
      <c r="F332" s="37">
        <v>104.02469208679005</v>
      </c>
      <c r="G332" s="35" t="s">
        <v>2657</v>
      </c>
      <c r="H332" s="37">
        <v>109.17107370772177</v>
      </c>
      <c r="I332" s="37" t="s">
        <v>2656</v>
      </c>
      <c r="J332" s="35">
        <v>1985</v>
      </c>
      <c r="K332" s="35" t="s">
        <v>1950</v>
      </c>
      <c r="L332" s="35" t="s">
        <v>1950</v>
      </c>
      <c r="M332" s="36">
        <v>6268</v>
      </c>
      <c r="N332" s="52">
        <v>4765</v>
      </c>
      <c r="O332" s="38">
        <v>0.7602105934907466</v>
      </c>
      <c r="P332" s="35">
        <v>0</v>
      </c>
      <c r="Q332" s="35" t="s">
        <v>1787</v>
      </c>
      <c r="R332" s="53">
        <v>0</v>
      </c>
      <c r="S332" s="53">
        <v>0</v>
      </c>
    </row>
    <row r="333" spans="1:19" x14ac:dyDescent="0.3">
      <c r="A333" s="35" t="s">
        <v>1586</v>
      </c>
      <c r="B333" s="35" t="s">
        <v>14</v>
      </c>
      <c r="C333" s="35" t="s">
        <v>1588</v>
      </c>
      <c r="D333" s="37">
        <v>58.329647982669918</v>
      </c>
      <c r="E333" s="35" t="s">
        <v>2657</v>
      </c>
      <c r="F333" s="37">
        <v>86.57671405361495</v>
      </c>
      <c r="G333" s="35" t="s">
        <v>2657</v>
      </c>
      <c r="H333" s="37">
        <v>108.76219740048741</v>
      </c>
      <c r="I333" s="37" t="s">
        <v>2657</v>
      </c>
      <c r="J333" s="35">
        <v>1998</v>
      </c>
      <c r="K333" s="35" t="s">
        <v>1950</v>
      </c>
      <c r="L333" s="35" t="s">
        <v>1950</v>
      </c>
      <c r="M333" s="36">
        <v>7386</v>
      </c>
      <c r="N333" s="52">
        <v>6950</v>
      </c>
      <c r="O333" s="38">
        <v>0.94096940157053888</v>
      </c>
      <c r="P333" s="35">
        <v>0</v>
      </c>
      <c r="Q333" s="35" t="s">
        <v>1590</v>
      </c>
      <c r="R333" s="53">
        <v>0</v>
      </c>
      <c r="S333" s="53">
        <v>0</v>
      </c>
    </row>
    <row r="334" spans="1:19" x14ac:dyDescent="0.3">
      <c r="A334" s="35" t="s">
        <v>1586</v>
      </c>
      <c r="B334" s="35" t="s">
        <v>14</v>
      </c>
      <c r="C334" s="35" t="s">
        <v>1588</v>
      </c>
      <c r="D334" s="37">
        <v>140.57826691380907</v>
      </c>
      <c r="E334" s="35" t="s">
        <v>2656</v>
      </c>
      <c r="F334" s="37">
        <v>134.37455514365152</v>
      </c>
      <c r="G334" s="35" t="s">
        <v>2656</v>
      </c>
      <c r="H334" s="37">
        <v>108.00736329935125</v>
      </c>
      <c r="I334" s="37" t="s">
        <v>2657</v>
      </c>
      <c r="J334" s="35">
        <v>1986</v>
      </c>
      <c r="K334" s="35" t="s">
        <v>1950</v>
      </c>
      <c r="L334" s="35" t="s">
        <v>1950</v>
      </c>
      <c r="M334" s="36">
        <v>12948</v>
      </c>
      <c r="N334" s="52">
        <v>10762</v>
      </c>
      <c r="O334" s="38">
        <v>0.83117083719493356</v>
      </c>
      <c r="P334" s="35">
        <v>0</v>
      </c>
      <c r="Q334" s="35" t="s">
        <v>1589</v>
      </c>
      <c r="R334" s="53">
        <v>4</v>
      </c>
      <c r="S334" s="53">
        <v>0.54900000000000004</v>
      </c>
    </row>
    <row r="335" spans="1:19" x14ac:dyDescent="0.3">
      <c r="A335" s="35" t="s">
        <v>1586</v>
      </c>
      <c r="B335" s="35" t="s">
        <v>14</v>
      </c>
      <c r="C335" s="35" t="s">
        <v>1588</v>
      </c>
      <c r="D335" s="37">
        <v>133.90452425373135</v>
      </c>
      <c r="E335" s="35" t="s">
        <v>2656</v>
      </c>
      <c r="F335" s="37">
        <v>106.49783115671642</v>
      </c>
      <c r="G335" s="35" t="s">
        <v>2657</v>
      </c>
      <c r="H335" s="37">
        <v>106.56548507462686</v>
      </c>
      <c r="I335" s="37" t="s">
        <v>2657</v>
      </c>
      <c r="J335" s="35">
        <v>2003</v>
      </c>
      <c r="K335" s="35" t="s">
        <v>19</v>
      </c>
      <c r="L335" s="35" t="s">
        <v>1783</v>
      </c>
      <c r="M335" s="36">
        <v>10720</v>
      </c>
      <c r="N335" s="52">
        <v>8988</v>
      </c>
      <c r="O335" s="38">
        <v>0.83843283582089556</v>
      </c>
      <c r="P335" s="35">
        <v>0</v>
      </c>
      <c r="Q335" s="35" t="s">
        <v>1787</v>
      </c>
      <c r="R335" s="53">
        <v>0</v>
      </c>
      <c r="S335" s="53">
        <v>1.63</v>
      </c>
    </row>
    <row r="336" spans="1:19" x14ac:dyDescent="0.3">
      <c r="A336" s="35" t="s">
        <v>1586</v>
      </c>
      <c r="B336" s="35" t="s">
        <v>14</v>
      </c>
      <c r="C336" s="35" t="s">
        <v>1588</v>
      </c>
      <c r="D336" s="37">
        <v>105.16824711731725</v>
      </c>
      <c r="E336" s="35" t="s">
        <v>2657</v>
      </c>
      <c r="F336" s="37">
        <v>116.39131281074792</v>
      </c>
      <c r="G336" s="35" t="s">
        <v>2656</v>
      </c>
      <c r="H336" s="37">
        <v>106.45288797207236</v>
      </c>
      <c r="I336" s="37" t="s">
        <v>2657</v>
      </c>
      <c r="J336" s="35">
        <v>2016</v>
      </c>
      <c r="K336" s="35" t="s">
        <v>1950</v>
      </c>
      <c r="L336" s="35" t="s">
        <v>1950</v>
      </c>
      <c r="M336" s="36">
        <v>9453</v>
      </c>
      <c r="N336" s="52">
        <v>629</v>
      </c>
      <c r="O336" s="38">
        <v>6.653972283931027E-2</v>
      </c>
      <c r="P336" s="35">
        <v>0</v>
      </c>
      <c r="Q336" s="35" t="s">
        <v>28</v>
      </c>
      <c r="R336" s="53">
        <v>0</v>
      </c>
      <c r="S336" s="53">
        <v>0</v>
      </c>
    </row>
    <row r="337" spans="1:19" x14ac:dyDescent="0.3">
      <c r="A337" s="35" t="s">
        <v>1586</v>
      </c>
      <c r="B337" s="35" t="s">
        <v>14</v>
      </c>
      <c r="C337" s="35" t="s">
        <v>1588</v>
      </c>
      <c r="D337" s="37">
        <v>132.92385888888887</v>
      </c>
      <c r="E337" s="39" t="s">
        <v>1950</v>
      </c>
      <c r="F337" s="37">
        <v>95.731499999999997</v>
      </c>
      <c r="G337" s="35" t="s">
        <v>1950</v>
      </c>
      <c r="H337" s="37">
        <v>105.88695</v>
      </c>
      <c r="I337" s="37" t="s">
        <v>1950</v>
      </c>
      <c r="J337" s="35">
        <v>1999</v>
      </c>
      <c r="K337" s="35" t="s">
        <v>1950</v>
      </c>
      <c r="L337" s="35" t="s">
        <v>1950</v>
      </c>
      <c r="M337" s="36">
        <v>9000</v>
      </c>
      <c r="N337" s="52">
        <v>8200</v>
      </c>
      <c r="O337" s="38">
        <v>0.91111111111111109</v>
      </c>
      <c r="P337" s="35">
        <v>0</v>
      </c>
      <c r="Q337" s="35" t="s">
        <v>1821</v>
      </c>
      <c r="R337" s="53">
        <v>0</v>
      </c>
      <c r="S337" s="53">
        <v>0</v>
      </c>
    </row>
    <row r="338" spans="1:19" x14ac:dyDescent="0.3">
      <c r="A338" s="35" t="s">
        <v>1586</v>
      </c>
      <c r="B338" s="35" t="s">
        <v>14</v>
      </c>
      <c r="C338" s="35" t="s">
        <v>1588</v>
      </c>
      <c r="D338" s="37">
        <v>114.86032070568929</v>
      </c>
      <c r="E338" s="35" t="s">
        <v>2656</v>
      </c>
      <c r="F338" s="37">
        <v>98.402026121444194</v>
      </c>
      <c r="G338" s="35" t="s">
        <v>2657</v>
      </c>
      <c r="H338" s="37">
        <v>104.43766411378556</v>
      </c>
      <c r="I338" s="37" t="s">
        <v>2657</v>
      </c>
      <c r="J338" s="35">
        <v>2009</v>
      </c>
      <c r="K338" s="35" t="s">
        <v>21</v>
      </c>
      <c r="L338" s="35" t="s">
        <v>1606</v>
      </c>
      <c r="M338" s="36">
        <v>14624</v>
      </c>
      <c r="N338" s="52">
        <v>12774</v>
      </c>
      <c r="O338" s="38">
        <v>0.87349562363238509</v>
      </c>
      <c r="P338" s="35">
        <v>0</v>
      </c>
      <c r="Q338" s="35" t="s">
        <v>1787</v>
      </c>
      <c r="R338" s="53">
        <v>0</v>
      </c>
      <c r="S338" s="53">
        <v>0</v>
      </c>
    </row>
    <row r="339" spans="1:19" x14ac:dyDescent="0.3">
      <c r="A339" s="35" t="s">
        <v>1586</v>
      </c>
      <c r="B339" s="35" t="s">
        <v>14</v>
      </c>
      <c r="C339" s="35" t="s">
        <v>1588</v>
      </c>
      <c r="D339" s="37">
        <v>100.55605139756612</v>
      </c>
      <c r="E339" s="35" t="s">
        <v>2657</v>
      </c>
      <c r="F339" s="37">
        <v>101.71753600926111</v>
      </c>
      <c r="G339" s="35" t="s">
        <v>2657</v>
      </c>
      <c r="H339" s="37">
        <v>103.91138392540917</v>
      </c>
      <c r="I339" s="37" t="s">
        <v>2657</v>
      </c>
      <c r="J339" s="35">
        <v>1998</v>
      </c>
      <c r="K339" s="35" t="s">
        <v>19</v>
      </c>
      <c r="L339" s="35" t="s">
        <v>1818</v>
      </c>
      <c r="M339" s="36">
        <v>9882.18</v>
      </c>
      <c r="N339" s="52">
        <v>5739</v>
      </c>
      <c r="O339" s="38">
        <v>0.5807423058474952</v>
      </c>
      <c r="P339" s="35">
        <v>0</v>
      </c>
      <c r="Q339" s="35" t="s">
        <v>1589</v>
      </c>
      <c r="R339" s="53">
        <v>4</v>
      </c>
      <c r="S339" s="53">
        <v>0.89</v>
      </c>
    </row>
    <row r="340" spans="1:19" x14ac:dyDescent="0.3">
      <c r="A340" s="35" t="s">
        <v>1586</v>
      </c>
      <c r="B340" s="35" t="s">
        <v>14</v>
      </c>
      <c r="C340" s="35" t="s">
        <v>1588</v>
      </c>
      <c r="D340" s="37">
        <v>106.09061594693381</v>
      </c>
      <c r="E340" s="35" t="s">
        <v>2657</v>
      </c>
      <c r="F340" s="37">
        <v>113.07850683633413</v>
      </c>
      <c r="G340" s="35" t="s">
        <v>2656</v>
      </c>
      <c r="H340" s="37">
        <v>103.484005685664</v>
      </c>
      <c r="I340" s="37" t="s">
        <v>2657</v>
      </c>
      <c r="J340" s="35">
        <v>1996</v>
      </c>
      <c r="K340" s="35" t="s">
        <v>1950</v>
      </c>
      <c r="L340" s="35" t="s">
        <v>1950</v>
      </c>
      <c r="M340" s="36">
        <v>7387</v>
      </c>
      <c r="N340" s="52">
        <v>3667</v>
      </c>
      <c r="O340" s="38">
        <v>0.49641261675917153</v>
      </c>
      <c r="P340" s="35">
        <v>0</v>
      </c>
      <c r="Q340" s="35" t="s">
        <v>28</v>
      </c>
      <c r="R340" s="53">
        <v>0</v>
      </c>
      <c r="S340" s="53">
        <v>0</v>
      </c>
    </row>
    <row r="341" spans="1:19" x14ac:dyDescent="0.3">
      <c r="A341" s="35" t="s">
        <v>1586</v>
      </c>
      <c r="B341" s="35" t="s">
        <v>14</v>
      </c>
      <c r="C341" s="35" t="s">
        <v>1588</v>
      </c>
      <c r="D341" s="37">
        <v>101.73197289156627</v>
      </c>
      <c r="E341" s="35" t="s">
        <v>2657</v>
      </c>
      <c r="F341" s="37">
        <v>107.37929384203481</v>
      </c>
      <c r="G341" s="35" t="s">
        <v>2657</v>
      </c>
      <c r="H341" s="37">
        <v>103.13032128514057</v>
      </c>
      <c r="I341" s="37" t="s">
        <v>2657</v>
      </c>
      <c r="J341" s="35">
        <v>1983</v>
      </c>
      <c r="K341" s="35" t="s">
        <v>1950</v>
      </c>
      <c r="L341" s="35" t="s">
        <v>1950</v>
      </c>
      <c r="M341" s="36">
        <v>5976</v>
      </c>
      <c r="N341" s="52">
        <v>4621</v>
      </c>
      <c r="O341" s="38">
        <v>0.77325970548862111</v>
      </c>
      <c r="P341" s="35">
        <v>0</v>
      </c>
      <c r="Q341" s="35" t="s">
        <v>1787</v>
      </c>
      <c r="R341" s="53">
        <v>0</v>
      </c>
      <c r="S341" s="53">
        <v>0</v>
      </c>
    </row>
    <row r="342" spans="1:19" x14ac:dyDescent="0.3">
      <c r="A342" s="35" t="s">
        <v>1586</v>
      </c>
      <c r="B342" s="35" t="s">
        <v>14</v>
      </c>
      <c r="C342" s="35" t="s">
        <v>1588</v>
      </c>
      <c r="D342" s="37">
        <v>109.78212960278341</v>
      </c>
      <c r="E342" s="35" t="s">
        <v>2657</v>
      </c>
      <c r="F342" s="37">
        <v>109.06811829515802</v>
      </c>
      <c r="G342" s="35" t="s">
        <v>2657</v>
      </c>
      <c r="H342" s="37">
        <v>103.06209915917657</v>
      </c>
      <c r="I342" s="37" t="s">
        <v>2657</v>
      </c>
      <c r="J342" s="35">
        <v>2009</v>
      </c>
      <c r="K342" s="35" t="s">
        <v>25</v>
      </c>
      <c r="L342" s="35" t="s">
        <v>1783</v>
      </c>
      <c r="M342" s="36">
        <v>6898</v>
      </c>
      <c r="N342" s="52">
        <v>1275</v>
      </c>
      <c r="O342" s="38">
        <v>0.18483618440127572</v>
      </c>
      <c r="P342" s="35">
        <v>0</v>
      </c>
      <c r="Q342" s="35" t="s">
        <v>28</v>
      </c>
      <c r="R342" s="53">
        <v>0</v>
      </c>
      <c r="S342" s="53">
        <v>0</v>
      </c>
    </row>
    <row r="343" spans="1:19" x14ac:dyDescent="0.3">
      <c r="A343" s="35" t="s">
        <v>1586</v>
      </c>
      <c r="B343" s="35" t="s">
        <v>14</v>
      </c>
      <c r="C343" s="35" t="s">
        <v>1588</v>
      </c>
      <c r="D343" s="37">
        <v>119.98643919308358</v>
      </c>
      <c r="E343" s="35" t="s">
        <v>2656</v>
      </c>
      <c r="F343" s="37">
        <v>119.11958155619595</v>
      </c>
      <c r="G343" s="35" t="s">
        <v>2656</v>
      </c>
      <c r="H343" s="37">
        <v>99.40051873198847</v>
      </c>
      <c r="I343" s="37" t="s">
        <v>2657</v>
      </c>
      <c r="J343" s="35">
        <v>1974</v>
      </c>
      <c r="K343" s="35" t="s">
        <v>1950</v>
      </c>
      <c r="L343" s="35" t="s">
        <v>1950</v>
      </c>
      <c r="M343" s="36">
        <v>8675</v>
      </c>
      <c r="N343" s="52">
        <v>6960</v>
      </c>
      <c r="O343" s="38">
        <v>0.80230547550432274</v>
      </c>
      <c r="P343" s="35">
        <v>0</v>
      </c>
      <c r="Q343" s="35" t="s">
        <v>1589</v>
      </c>
      <c r="R343" s="53">
        <v>20</v>
      </c>
      <c r="S343" s="53">
        <v>0</v>
      </c>
    </row>
    <row r="344" spans="1:19" x14ac:dyDescent="0.3">
      <c r="A344" s="35" t="s">
        <v>1586</v>
      </c>
      <c r="B344" s="35" t="s">
        <v>14</v>
      </c>
      <c r="C344" s="35" t="s">
        <v>1588</v>
      </c>
      <c r="D344" s="37">
        <v>94.705872718764624</v>
      </c>
      <c r="E344" s="35" t="s">
        <v>2657</v>
      </c>
      <c r="F344" s="37">
        <v>93.170467945718286</v>
      </c>
      <c r="G344" s="35" t="s">
        <v>2657</v>
      </c>
      <c r="H344" s="37">
        <v>98.491965372016836</v>
      </c>
      <c r="I344" s="37" t="s">
        <v>2657</v>
      </c>
      <c r="J344" s="35">
        <v>2020</v>
      </c>
      <c r="K344" s="35" t="s">
        <v>1950</v>
      </c>
      <c r="L344" s="35" t="s">
        <v>1950</v>
      </c>
      <c r="M344" s="36">
        <v>10685</v>
      </c>
      <c r="N344" s="52">
        <v>7000</v>
      </c>
      <c r="O344" s="38">
        <v>0.65512400561534867</v>
      </c>
      <c r="P344" s="35">
        <v>0</v>
      </c>
      <c r="Q344" s="35" t="s">
        <v>28</v>
      </c>
      <c r="R344" s="53">
        <v>0</v>
      </c>
      <c r="S344" s="53">
        <v>0</v>
      </c>
    </row>
    <row r="345" spans="1:19" x14ac:dyDescent="0.3">
      <c r="A345" s="35" t="s">
        <v>1586</v>
      </c>
      <c r="B345" s="35" t="s">
        <v>14</v>
      </c>
      <c r="C345" s="35" t="s">
        <v>1588</v>
      </c>
      <c r="D345" s="37">
        <v>94.672356157675665</v>
      </c>
      <c r="E345" s="35" t="s">
        <v>2657</v>
      </c>
      <c r="F345" s="37">
        <v>92.973072716885667</v>
      </c>
      <c r="G345" s="35" t="s">
        <v>2657</v>
      </c>
      <c r="H345" s="37">
        <v>97.614995511303363</v>
      </c>
      <c r="I345" s="37" t="s">
        <v>2657</v>
      </c>
      <c r="J345" s="35">
        <v>2015</v>
      </c>
      <c r="K345" s="35" t="s">
        <v>1950</v>
      </c>
      <c r="L345" s="35" t="s">
        <v>1950</v>
      </c>
      <c r="M345" s="36">
        <v>12253</v>
      </c>
      <c r="N345" s="52">
        <v>11184</v>
      </c>
      <c r="O345" s="38">
        <v>0.91275605974047169</v>
      </c>
      <c r="P345" s="35">
        <v>0</v>
      </c>
      <c r="Q345" s="35" t="s">
        <v>1589</v>
      </c>
      <c r="R345" s="53">
        <v>7.5</v>
      </c>
      <c r="S345" s="53">
        <v>0.68559999999999999</v>
      </c>
    </row>
    <row r="346" spans="1:19" x14ac:dyDescent="0.3">
      <c r="A346" s="35" t="s">
        <v>1586</v>
      </c>
      <c r="B346" s="35" t="s">
        <v>14</v>
      </c>
      <c r="C346" s="35" t="s">
        <v>1588</v>
      </c>
      <c r="D346" s="37">
        <v>119.96989651928504</v>
      </c>
      <c r="E346" s="35" t="s">
        <v>2656</v>
      </c>
      <c r="F346" s="37">
        <v>91.565380997177797</v>
      </c>
      <c r="G346" s="35" t="s">
        <v>2657</v>
      </c>
      <c r="H346" s="37">
        <v>95.458137347130759</v>
      </c>
      <c r="I346" s="37" t="s">
        <v>2657</v>
      </c>
      <c r="J346" s="35">
        <v>2011</v>
      </c>
      <c r="K346" s="35" t="s">
        <v>1950</v>
      </c>
      <c r="L346" s="35" t="s">
        <v>1950</v>
      </c>
      <c r="M346" s="36">
        <v>1063</v>
      </c>
      <c r="N346" s="52">
        <v>887</v>
      </c>
      <c r="O346" s="38">
        <v>0.83443085606773282</v>
      </c>
      <c r="P346" s="35">
        <v>0</v>
      </c>
      <c r="Q346" s="35" t="s">
        <v>28</v>
      </c>
      <c r="R346" s="53">
        <v>0</v>
      </c>
      <c r="S346" s="53">
        <v>0</v>
      </c>
    </row>
    <row r="347" spans="1:19" x14ac:dyDescent="0.3">
      <c r="A347" s="35" t="s">
        <v>1586</v>
      </c>
      <c r="B347" s="35" t="s">
        <v>14</v>
      </c>
      <c r="C347" s="35" t="s">
        <v>1588</v>
      </c>
      <c r="D347" s="37">
        <v>85.557023301378479</v>
      </c>
      <c r="E347" s="35" t="s">
        <v>2657</v>
      </c>
      <c r="F347" s="37">
        <v>94.024853404240432</v>
      </c>
      <c r="G347" s="35" t="s">
        <v>2657</v>
      </c>
      <c r="H347" s="37">
        <v>93.435769365334835</v>
      </c>
      <c r="I347" s="37" t="s">
        <v>2657</v>
      </c>
      <c r="J347" s="35">
        <v>2018</v>
      </c>
      <c r="K347" s="35" t="s">
        <v>1950</v>
      </c>
      <c r="L347" s="35" t="s">
        <v>1950</v>
      </c>
      <c r="M347" s="36">
        <v>14291</v>
      </c>
      <c r="N347" s="52">
        <v>10245</v>
      </c>
      <c r="O347" s="38">
        <v>0.71688475264152263</v>
      </c>
      <c r="P347" s="35">
        <v>0</v>
      </c>
      <c r="Q347" s="35" t="s">
        <v>28</v>
      </c>
      <c r="R347" s="53">
        <v>0</v>
      </c>
      <c r="S347" s="53">
        <v>0</v>
      </c>
    </row>
    <row r="348" spans="1:19" x14ac:dyDescent="0.3">
      <c r="A348" s="35" t="s">
        <v>1586</v>
      </c>
      <c r="B348" s="35" t="s">
        <v>14</v>
      </c>
      <c r="C348" s="35" t="s">
        <v>1588</v>
      </c>
      <c r="D348" s="37">
        <v>135.84196948561464</v>
      </c>
      <c r="E348" s="35" t="s">
        <v>2656</v>
      </c>
      <c r="F348" s="37">
        <v>154.89880122057542</v>
      </c>
      <c r="G348" s="35" t="s">
        <v>2655</v>
      </c>
      <c r="H348" s="37">
        <v>92.429634699215342</v>
      </c>
      <c r="I348" s="37" t="s">
        <v>2657</v>
      </c>
      <c r="J348" s="35">
        <v>1999</v>
      </c>
      <c r="K348" s="35" t="s">
        <v>1950</v>
      </c>
      <c r="L348" s="35" t="s">
        <v>1950</v>
      </c>
      <c r="M348" s="36">
        <v>11470</v>
      </c>
      <c r="N348" s="52">
        <v>4500</v>
      </c>
      <c r="O348" s="38">
        <v>0.39232781168265041</v>
      </c>
      <c r="P348" s="35">
        <v>0</v>
      </c>
      <c r="Q348" s="35" t="s">
        <v>1590</v>
      </c>
      <c r="R348" s="53">
        <v>0</v>
      </c>
      <c r="S348" s="53">
        <v>0</v>
      </c>
    </row>
    <row r="349" spans="1:19" x14ac:dyDescent="0.3">
      <c r="A349" s="35" t="s">
        <v>1586</v>
      </c>
      <c r="B349" s="35" t="s">
        <v>14</v>
      </c>
      <c r="C349" s="35" t="s">
        <v>1588</v>
      </c>
      <c r="D349" s="37">
        <v>62.693162757127389</v>
      </c>
      <c r="E349" s="35" t="s">
        <v>2657</v>
      </c>
      <c r="F349" s="37">
        <v>100.03952002887044</v>
      </c>
      <c r="G349" s="35" t="s">
        <v>2657</v>
      </c>
      <c r="H349" s="37">
        <v>91.780203536629372</v>
      </c>
      <c r="I349" s="37" t="s">
        <v>2657</v>
      </c>
      <c r="J349" s="35">
        <v>2019</v>
      </c>
      <c r="K349" s="35" t="s">
        <v>25</v>
      </c>
      <c r="L349" s="35" t="s">
        <v>1601</v>
      </c>
      <c r="M349" s="36">
        <v>13855</v>
      </c>
      <c r="N349" s="52">
        <v>1200</v>
      </c>
      <c r="O349" s="38">
        <v>8.6611331649224105E-2</v>
      </c>
      <c r="P349" s="35">
        <v>0</v>
      </c>
      <c r="Q349" s="35" t="s">
        <v>28</v>
      </c>
      <c r="R349" s="53">
        <v>0</v>
      </c>
      <c r="S349" s="53">
        <v>0</v>
      </c>
    </row>
    <row r="350" spans="1:19" x14ac:dyDescent="0.3">
      <c r="A350" s="35" t="s">
        <v>1586</v>
      </c>
      <c r="B350" s="35" t="s">
        <v>14</v>
      </c>
      <c r="C350" s="35" t="s">
        <v>1588</v>
      </c>
      <c r="D350" s="37">
        <v>84.562081107814052</v>
      </c>
      <c r="E350" s="35" t="s">
        <v>2657</v>
      </c>
      <c r="F350" s="37">
        <v>86.971501483679532</v>
      </c>
      <c r="G350" s="35" t="s">
        <v>2657</v>
      </c>
      <c r="H350" s="37">
        <v>91.01416221562809</v>
      </c>
      <c r="I350" s="37" t="s">
        <v>2657</v>
      </c>
      <c r="J350" s="35">
        <v>1983</v>
      </c>
      <c r="K350" s="35" t="s">
        <v>25</v>
      </c>
      <c r="L350" s="35" t="s">
        <v>1603</v>
      </c>
      <c r="M350" s="36">
        <v>5055</v>
      </c>
      <c r="N350" s="52">
        <v>4044</v>
      </c>
      <c r="O350" s="38">
        <v>0.8</v>
      </c>
      <c r="P350" s="35">
        <v>0</v>
      </c>
      <c r="Q350" s="35" t="s">
        <v>28</v>
      </c>
      <c r="R350" s="53">
        <v>0</v>
      </c>
      <c r="S350" s="53">
        <v>0</v>
      </c>
    </row>
    <row r="351" spans="1:19" x14ac:dyDescent="0.3">
      <c r="A351" s="35" t="s">
        <v>1586</v>
      </c>
      <c r="B351" s="35" t="s">
        <v>14</v>
      </c>
      <c r="C351" s="35" t="s">
        <v>1588</v>
      </c>
      <c r="D351" s="37">
        <v>82.203665480427034</v>
      </c>
      <c r="E351" s="35" t="s">
        <v>2657</v>
      </c>
      <c r="F351" s="37">
        <v>82.730893068971355</v>
      </c>
      <c r="G351" s="35" t="s">
        <v>2657</v>
      </c>
      <c r="H351" s="37">
        <v>84.467149635654977</v>
      </c>
      <c r="I351" s="37" t="s">
        <v>2657</v>
      </c>
      <c r="J351" s="35">
        <v>2010</v>
      </c>
      <c r="K351" s="35" t="s">
        <v>47</v>
      </c>
      <c r="L351" s="35" t="s">
        <v>1608</v>
      </c>
      <c r="M351" s="36">
        <v>5901</v>
      </c>
      <c r="N351" s="52">
        <v>297</v>
      </c>
      <c r="O351" s="38">
        <v>5.0330452465683781E-2</v>
      </c>
      <c r="P351" s="35">
        <v>0</v>
      </c>
      <c r="Q351" s="35" t="s">
        <v>28</v>
      </c>
      <c r="R351" s="53">
        <v>0</v>
      </c>
      <c r="S351" s="53">
        <v>0</v>
      </c>
    </row>
    <row r="352" spans="1:19" x14ac:dyDescent="0.3">
      <c r="A352" s="35" t="s">
        <v>1586</v>
      </c>
      <c r="B352" s="35" t="s">
        <v>14</v>
      </c>
      <c r="C352" s="35" t="s">
        <v>1588</v>
      </c>
      <c r="D352" s="37">
        <v>82.839123952860987</v>
      </c>
      <c r="E352" s="35" t="s">
        <v>2657</v>
      </c>
      <c r="F352" s="37">
        <v>81.819771404231162</v>
      </c>
      <c r="G352" s="35" t="s">
        <v>2657</v>
      </c>
      <c r="H352" s="37">
        <v>83.397422973164851</v>
      </c>
      <c r="I352" s="37" t="s">
        <v>2657</v>
      </c>
      <c r="J352" s="35">
        <v>2014</v>
      </c>
      <c r="K352" s="35" t="s">
        <v>1950</v>
      </c>
      <c r="L352" s="35" t="s">
        <v>1950</v>
      </c>
      <c r="M352" s="36">
        <v>7043</v>
      </c>
      <c r="N352" s="52">
        <v>5200</v>
      </c>
      <c r="O352" s="38">
        <v>0.73832173789578304</v>
      </c>
      <c r="P352" s="35">
        <v>0</v>
      </c>
      <c r="Q352" s="35" t="s">
        <v>28</v>
      </c>
      <c r="R352" s="53">
        <v>0</v>
      </c>
      <c r="S352" s="53">
        <v>0</v>
      </c>
    </row>
    <row r="353" spans="1:19" x14ac:dyDescent="0.3">
      <c r="A353" s="35" t="s">
        <v>1586</v>
      </c>
      <c r="B353" s="35" t="s">
        <v>14</v>
      </c>
      <c r="C353" s="35" t="s">
        <v>1588</v>
      </c>
      <c r="D353" s="37">
        <v>75.121058426966286</v>
      </c>
      <c r="E353" s="35" t="s">
        <v>2657</v>
      </c>
      <c r="F353" s="37">
        <v>86.210120224719105</v>
      </c>
      <c r="G353" s="35" t="s">
        <v>2657</v>
      </c>
      <c r="H353" s="37">
        <v>82.960017977528096</v>
      </c>
      <c r="I353" s="37" t="s">
        <v>2657</v>
      </c>
      <c r="J353" s="35">
        <v>1930</v>
      </c>
      <c r="K353" s="35" t="s">
        <v>1950</v>
      </c>
      <c r="L353" s="35" t="s">
        <v>1950</v>
      </c>
      <c r="M353" s="36">
        <v>8900</v>
      </c>
      <c r="N353" s="52">
        <v>4000</v>
      </c>
      <c r="O353" s="38">
        <v>0.449438202247191</v>
      </c>
      <c r="P353" s="35">
        <v>0</v>
      </c>
      <c r="Q353" s="35" t="s">
        <v>28</v>
      </c>
      <c r="R353" s="53">
        <v>0</v>
      </c>
      <c r="S353" s="53">
        <v>0</v>
      </c>
    </row>
    <row r="354" spans="1:19" x14ac:dyDescent="0.3">
      <c r="A354" s="35" t="s">
        <v>1586</v>
      </c>
      <c r="B354" s="35" t="s">
        <v>14</v>
      </c>
      <c r="C354" s="35" t="s">
        <v>1588</v>
      </c>
      <c r="D354" s="37">
        <v>92.240517998244073</v>
      </c>
      <c r="E354" s="35" t="s">
        <v>2657</v>
      </c>
      <c r="F354" s="37">
        <v>83.747124670763824</v>
      </c>
      <c r="G354" s="35" t="s">
        <v>2657</v>
      </c>
      <c r="H354" s="37">
        <v>78.924363476733973</v>
      </c>
      <c r="I354" s="37" t="s">
        <v>2657</v>
      </c>
      <c r="J354" s="35">
        <v>2006</v>
      </c>
      <c r="K354" s="35" t="s">
        <v>1950</v>
      </c>
      <c r="L354" s="35" t="s">
        <v>1950</v>
      </c>
      <c r="M354" s="36">
        <v>11390</v>
      </c>
      <c r="N354" s="52">
        <v>5900</v>
      </c>
      <c r="O354" s="38">
        <v>0.51799824407374895</v>
      </c>
      <c r="P354" s="35">
        <v>0</v>
      </c>
      <c r="Q354" s="35" t="s">
        <v>28</v>
      </c>
      <c r="R354" s="53">
        <v>0</v>
      </c>
      <c r="S354" s="53">
        <v>0</v>
      </c>
    </row>
    <row r="355" spans="1:19" x14ac:dyDescent="0.3">
      <c r="A355" s="35" t="s">
        <v>1586</v>
      </c>
      <c r="B355" s="35" t="s">
        <v>14</v>
      </c>
      <c r="C355" s="35" t="s">
        <v>1588</v>
      </c>
      <c r="D355" s="37">
        <v>66.238601387449179</v>
      </c>
      <c r="E355" s="35" t="s">
        <v>2657</v>
      </c>
      <c r="F355" s="37">
        <v>76.838724982058864</v>
      </c>
      <c r="G355" s="35" t="s">
        <v>2657</v>
      </c>
      <c r="H355" s="37">
        <v>76.702352284506816</v>
      </c>
      <c r="I355" s="37" t="s">
        <v>2657</v>
      </c>
      <c r="J355" s="35">
        <v>2012</v>
      </c>
      <c r="K355" s="35" t="s">
        <v>1950</v>
      </c>
      <c r="L355" s="35" t="s">
        <v>1950</v>
      </c>
      <c r="M355" s="36">
        <v>2508.1999999999998</v>
      </c>
      <c r="N355" s="52">
        <v>2513</v>
      </c>
      <c r="O355" s="38">
        <v>1.0019137229885975</v>
      </c>
      <c r="P355" s="35">
        <v>0</v>
      </c>
      <c r="Q355" s="35" t="s">
        <v>28</v>
      </c>
      <c r="R355" s="53">
        <v>0</v>
      </c>
      <c r="S355" s="53">
        <v>0</v>
      </c>
    </row>
    <row r="356" spans="1:19" x14ac:dyDescent="0.3">
      <c r="A356" s="35" t="s">
        <v>1586</v>
      </c>
      <c r="B356" s="35" t="s">
        <v>14</v>
      </c>
      <c r="C356" s="35" t="s">
        <v>1588</v>
      </c>
      <c r="D356" s="37">
        <v>87.274351193298557</v>
      </c>
      <c r="E356" s="35" t="s">
        <v>2657</v>
      </c>
      <c r="F356" s="37">
        <v>79.954074600916698</v>
      </c>
      <c r="G356" s="35" t="s">
        <v>2657</v>
      </c>
      <c r="H356" s="37">
        <v>75.691778093883357</v>
      </c>
      <c r="I356" s="37" t="s">
        <v>2657</v>
      </c>
      <c r="J356" s="35">
        <v>2000</v>
      </c>
      <c r="K356" s="35" t="s">
        <v>25</v>
      </c>
      <c r="L356" s="35" t="s">
        <v>1599</v>
      </c>
      <c r="M356" s="36">
        <v>6327</v>
      </c>
      <c r="N356" s="52">
        <v>5400</v>
      </c>
      <c r="O356" s="38">
        <v>0.8534850640113798</v>
      </c>
      <c r="P356" s="35">
        <v>33</v>
      </c>
      <c r="Q356" s="35" t="s">
        <v>28</v>
      </c>
      <c r="R356" s="53">
        <v>0</v>
      </c>
      <c r="S356" s="53">
        <v>0</v>
      </c>
    </row>
    <row r="357" spans="1:19" x14ac:dyDescent="0.3">
      <c r="A357" s="35" t="s">
        <v>1586</v>
      </c>
      <c r="B357" s="35" t="s">
        <v>14</v>
      </c>
      <c r="C357" s="35" t="s">
        <v>1588</v>
      </c>
      <c r="D357" s="37">
        <v>62.034559643255292</v>
      </c>
      <c r="E357" s="35" t="s">
        <v>2657</v>
      </c>
      <c r="F357" s="37">
        <v>69.81605351170569</v>
      </c>
      <c r="G357" s="35" t="s">
        <v>2657</v>
      </c>
      <c r="H357" s="37">
        <v>73.938127090301009</v>
      </c>
      <c r="I357" s="37" t="s">
        <v>2657</v>
      </c>
      <c r="J357" s="35">
        <v>2017</v>
      </c>
      <c r="K357" s="35" t="s">
        <v>19</v>
      </c>
      <c r="L357" s="35" t="s">
        <v>1598</v>
      </c>
      <c r="M357" s="36">
        <v>5382</v>
      </c>
      <c r="N357" s="52">
        <v>3438</v>
      </c>
      <c r="O357" s="38">
        <v>0.6387959866220736</v>
      </c>
      <c r="P357" s="35">
        <v>0</v>
      </c>
      <c r="Q357" s="35" t="s">
        <v>1589</v>
      </c>
      <c r="R357" s="53">
        <v>11</v>
      </c>
      <c r="S357" s="53">
        <v>0</v>
      </c>
    </row>
    <row r="358" spans="1:19" x14ac:dyDescent="0.3">
      <c r="A358" s="35" t="s">
        <v>1586</v>
      </c>
      <c r="B358" s="35" t="s">
        <v>14</v>
      </c>
      <c r="C358" s="35" t="s">
        <v>1588</v>
      </c>
      <c r="D358" s="37">
        <v>64.54537003932785</v>
      </c>
      <c r="E358" s="35" t="s">
        <v>2657</v>
      </c>
      <c r="F358" s="37">
        <v>67.557509831962818</v>
      </c>
      <c r="G358" s="35" t="s">
        <v>2657</v>
      </c>
      <c r="H358" s="37">
        <v>70.283212370396853</v>
      </c>
      <c r="I358" s="37" t="s">
        <v>2657</v>
      </c>
      <c r="J358" s="35">
        <v>2017</v>
      </c>
      <c r="K358" s="35" t="s">
        <v>1950</v>
      </c>
      <c r="L358" s="35" t="s">
        <v>1950</v>
      </c>
      <c r="M358" s="36">
        <v>5594</v>
      </c>
      <c r="N358" s="52">
        <v>5594</v>
      </c>
      <c r="O358" s="38">
        <v>1</v>
      </c>
      <c r="P358" s="35">
        <v>0</v>
      </c>
      <c r="Q358" s="35" t="s">
        <v>1589</v>
      </c>
      <c r="R358" s="53">
        <v>1</v>
      </c>
      <c r="S358" s="53">
        <v>0</v>
      </c>
    </row>
    <row r="359" spans="1:19" x14ac:dyDescent="0.3">
      <c r="A359" s="35" t="s">
        <v>1586</v>
      </c>
      <c r="B359" s="35" t="s">
        <v>14</v>
      </c>
      <c r="C359" s="35" t="s">
        <v>1588</v>
      </c>
      <c r="D359" s="37">
        <v>52.954921351814356</v>
      </c>
      <c r="E359" s="35" t="s">
        <v>2657</v>
      </c>
      <c r="F359" s="37">
        <v>55.098012770596476</v>
      </c>
      <c r="G359" s="35" t="s">
        <v>2657</v>
      </c>
      <c r="H359" s="37">
        <v>69.362904532004364</v>
      </c>
      <c r="I359" s="37" t="s">
        <v>2657</v>
      </c>
      <c r="J359" s="35">
        <v>1979</v>
      </c>
      <c r="K359" s="35" t="s">
        <v>1950</v>
      </c>
      <c r="L359" s="35" t="s">
        <v>1950</v>
      </c>
      <c r="M359" s="36">
        <v>6421</v>
      </c>
      <c r="N359" s="52">
        <v>5821</v>
      </c>
      <c r="O359" s="38">
        <v>0.90655661111976327</v>
      </c>
      <c r="P359" s="35">
        <v>0</v>
      </c>
      <c r="Q359" s="35" t="s">
        <v>1787</v>
      </c>
      <c r="R359" s="53">
        <v>0</v>
      </c>
      <c r="S359" s="53">
        <v>0</v>
      </c>
    </row>
    <row r="360" spans="1:19" x14ac:dyDescent="0.3">
      <c r="A360" s="35" t="s">
        <v>1586</v>
      </c>
      <c r="B360" s="35" t="s">
        <v>14</v>
      </c>
      <c r="C360" s="35" t="s">
        <v>1588</v>
      </c>
      <c r="D360" s="37">
        <v>56.068978231025689</v>
      </c>
      <c r="E360" s="35" t="s">
        <v>2657</v>
      </c>
      <c r="F360" s="37">
        <v>62.16589919592078</v>
      </c>
      <c r="G360" s="35" t="s">
        <v>2657</v>
      </c>
      <c r="H360" s="37">
        <v>64.110462835850171</v>
      </c>
      <c r="I360" s="37" t="s">
        <v>2657</v>
      </c>
      <c r="J360" s="35">
        <v>1976</v>
      </c>
      <c r="K360" s="35" t="s">
        <v>1950</v>
      </c>
      <c r="L360" s="35" t="s">
        <v>1950</v>
      </c>
      <c r="M360" s="36">
        <v>5099</v>
      </c>
      <c r="N360" s="52">
        <v>3570</v>
      </c>
      <c r="O360" s="38">
        <v>0.70013728181996471</v>
      </c>
      <c r="P360" s="35">
        <v>0</v>
      </c>
      <c r="Q360" s="35" t="s">
        <v>28</v>
      </c>
      <c r="R360" s="53">
        <v>0</v>
      </c>
      <c r="S360" s="53">
        <v>0</v>
      </c>
    </row>
    <row r="361" spans="1:19" x14ac:dyDescent="0.3">
      <c r="A361" s="35" t="s">
        <v>1586</v>
      </c>
      <c r="B361" s="35" t="s">
        <v>14</v>
      </c>
      <c r="C361" s="35" t="s">
        <v>1588</v>
      </c>
      <c r="D361" s="37">
        <v>53.705720006160476</v>
      </c>
      <c r="E361" s="35" t="s">
        <v>2657</v>
      </c>
      <c r="F361" s="37">
        <v>66.243935006930542</v>
      </c>
      <c r="G361" s="35" t="s">
        <v>2657</v>
      </c>
      <c r="H361" s="37">
        <v>63.733143385184043</v>
      </c>
      <c r="I361" s="37" t="s">
        <v>2657</v>
      </c>
      <c r="J361" s="35">
        <v>2017</v>
      </c>
      <c r="K361" s="35" t="s">
        <v>1950</v>
      </c>
      <c r="L361" s="35" t="s">
        <v>1950</v>
      </c>
      <c r="M361" s="36">
        <v>6493</v>
      </c>
      <c r="N361" s="52">
        <v>4142</v>
      </c>
      <c r="O361" s="38">
        <v>0.63791775758509162</v>
      </c>
      <c r="P361" s="35">
        <v>0</v>
      </c>
      <c r="Q361" s="35" t="s">
        <v>28</v>
      </c>
      <c r="R361" s="53">
        <v>0</v>
      </c>
      <c r="S361" s="53">
        <v>0</v>
      </c>
    </row>
    <row r="362" spans="1:19" x14ac:dyDescent="0.3">
      <c r="A362" s="35" t="s">
        <v>1586</v>
      </c>
      <c r="B362" s="35" t="s">
        <v>14</v>
      </c>
      <c r="C362" s="35" t="s">
        <v>1588</v>
      </c>
      <c r="D362" s="37">
        <v>53.72459009192044</v>
      </c>
      <c r="E362" s="39" t="s">
        <v>1950</v>
      </c>
      <c r="F362" s="37">
        <v>86.529316801563851</v>
      </c>
      <c r="G362" s="35" t="s">
        <v>1950</v>
      </c>
      <c r="H362" s="37">
        <v>54.206705689842622</v>
      </c>
      <c r="I362" s="37" t="s">
        <v>1950</v>
      </c>
      <c r="J362" s="35">
        <v>1989</v>
      </c>
      <c r="K362" s="35" t="s">
        <v>1950</v>
      </c>
      <c r="L362" s="35" t="s">
        <v>1950</v>
      </c>
      <c r="M362" s="36">
        <v>4552.8500000000004</v>
      </c>
      <c r="N362" s="52">
        <v>4118</v>
      </c>
      <c r="O362" s="38">
        <v>0.90448839737746678</v>
      </c>
      <c r="P362" s="35">
        <v>0</v>
      </c>
      <c r="Q362" s="35" t="s">
        <v>1821</v>
      </c>
      <c r="R362" s="53">
        <v>0</v>
      </c>
      <c r="S362" s="53">
        <v>0</v>
      </c>
    </row>
    <row r="363" spans="1:19" x14ac:dyDescent="0.3">
      <c r="A363" s="35" t="s">
        <v>1586</v>
      </c>
      <c r="B363" s="35" t="s">
        <v>14</v>
      </c>
      <c r="C363" s="35" t="s">
        <v>1588</v>
      </c>
      <c r="D363" s="37">
        <v>25.077632570997736</v>
      </c>
      <c r="E363" s="35" t="s">
        <v>2657</v>
      </c>
      <c r="F363" s="37">
        <v>45.811158582558434</v>
      </c>
      <c r="G363" s="35" t="s">
        <v>2657</v>
      </c>
      <c r="H363" s="37">
        <v>51.954888162854992</v>
      </c>
      <c r="I363" s="37" t="s">
        <v>2657</v>
      </c>
      <c r="J363" s="35">
        <v>2020</v>
      </c>
      <c r="K363" s="35" t="s">
        <v>25</v>
      </c>
      <c r="L363" s="35" t="s">
        <v>1818</v>
      </c>
      <c r="M363" s="36">
        <v>7958</v>
      </c>
      <c r="N363" s="52">
        <v>7724</v>
      </c>
      <c r="O363" s="38">
        <v>0.97059562704197033</v>
      </c>
      <c r="P363" s="35">
        <v>0</v>
      </c>
      <c r="Q363" s="35" t="s">
        <v>1787</v>
      </c>
      <c r="R363" s="53">
        <v>0</v>
      </c>
      <c r="S363" s="53">
        <v>0</v>
      </c>
    </row>
    <row r="364" spans="1:19" x14ac:dyDescent="0.3">
      <c r="A364" s="35" t="s">
        <v>1586</v>
      </c>
      <c r="B364" s="35" t="s">
        <v>14</v>
      </c>
      <c r="C364" s="35" t="s">
        <v>1588</v>
      </c>
      <c r="D364" s="37">
        <v>0</v>
      </c>
      <c r="E364" s="39" t="s">
        <v>1950</v>
      </c>
      <c r="F364" s="37">
        <v>0</v>
      </c>
      <c r="G364" s="35" t="s">
        <v>1950</v>
      </c>
      <c r="H364" s="37">
        <v>48.793561316900508</v>
      </c>
      <c r="I364" s="37" t="s">
        <v>2657</v>
      </c>
      <c r="J364" s="35">
        <v>2023</v>
      </c>
      <c r="K364" s="35" t="s">
        <v>19</v>
      </c>
      <c r="L364" s="35" t="s">
        <v>1924</v>
      </c>
      <c r="M364" s="36">
        <v>5568.53</v>
      </c>
      <c r="N364" s="52">
        <v>4900</v>
      </c>
      <c r="O364" s="38">
        <v>0.87994497650187753</v>
      </c>
      <c r="P364" s="35">
        <v>0</v>
      </c>
      <c r="Q364" s="35" t="s">
        <v>28</v>
      </c>
      <c r="R364" s="53">
        <v>0</v>
      </c>
      <c r="S364" s="53">
        <v>0</v>
      </c>
    </row>
    <row r="365" spans="1:19" x14ac:dyDescent="0.3">
      <c r="A365" s="35" t="s">
        <v>1586</v>
      </c>
      <c r="B365" s="35" t="s">
        <v>14</v>
      </c>
      <c r="C365" s="35" t="s">
        <v>1588</v>
      </c>
      <c r="D365" s="37">
        <v>41.083785488958995</v>
      </c>
      <c r="E365" s="35" t="s">
        <v>2657</v>
      </c>
      <c r="F365" s="37">
        <v>30.980785138450752</v>
      </c>
      <c r="G365" s="35" t="s">
        <v>2657</v>
      </c>
      <c r="H365" s="37">
        <v>47.333683841570277</v>
      </c>
      <c r="I365" s="37" t="s">
        <v>2657</v>
      </c>
      <c r="J365" s="35">
        <v>2011</v>
      </c>
      <c r="K365" s="35" t="s">
        <v>1950</v>
      </c>
      <c r="L365" s="35" t="s">
        <v>1950</v>
      </c>
      <c r="M365" s="36">
        <v>2853</v>
      </c>
      <c r="N365" s="52">
        <v>2125</v>
      </c>
      <c r="O365" s="38">
        <v>0.74483000350508233</v>
      </c>
      <c r="P365" s="35">
        <v>0</v>
      </c>
      <c r="Q365" s="35" t="s">
        <v>28</v>
      </c>
      <c r="R365" s="53">
        <v>0</v>
      </c>
      <c r="S365" s="53">
        <v>0</v>
      </c>
    </row>
    <row r="366" spans="1:19" x14ac:dyDescent="0.3">
      <c r="A366" s="35" t="s">
        <v>1586</v>
      </c>
      <c r="B366" s="35" t="s">
        <v>14</v>
      </c>
      <c r="C366" s="35" t="s">
        <v>1588</v>
      </c>
      <c r="D366" s="37">
        <v>51.216135915955356</v>
      </c>
      <c r="E366" s="35" t="s">
        <v>2657</v>
      </c>
      <c r="F366" s="37">
        <v>45.793933026920556</v>
      </c>
      <c r="G366" s="35" t="s">
        <v>2657</v>
      </c>
      <c r="H366" s="37">
        <v>44.482042022324357</v>
      </c>
      <c r="I366" s="37" t="s">
        <v>2657</v>
      </c>
      <c r="J366" s="35">
        <v>2001</v>
      </c>
      <c r="K366" s="35" t="s">
        <v>1950</v>
      </c>
      <c r="L366" s="35" t="s">
        <v>1950</v>
      </c>
      <c r="M366" s="36">
        <v>6092</v>
      </c>
      <c r="N366" s="52">
        <v>3802</v>
      </c>
      <c r="O366" s="38">
        <v>0.62409717662508213</v>
      </c>
      <c r="P366" s="35">
        <v>0</v>
      </c>
      <c r="Q366" s="35" t="s">
        <v>28</v>
      </c>
      <c r="R366" s="53">
        <v>0</v>
      </c>
      <c r="S366" s="53">
        <v>0.99</v>
      </c>
    </row>
    <row r="367" spans="1:19" x14ac:dyDescent="0.3">
      <c r="A367" s="35" t="s">
        <v>1586</v>
      </c>
      <c r="B367" s="35" t="s">
        <v>14</v>
      </c>
      <c r="C367" s="35" t="s">
        <v>1588</v>
      </c>
      <c r="D367" s="37">
        <v>45.211046181437752</v>
      </c>
      <c r="E367" s="35" t="s">
        <v>2657</v>
      </c>
      <c r="F367" s="37">
        <v>47.812983111642502</v>
      </c>
      <c r="G367" s="35" t="s">
        <v>2657</v>
      </c>
      <c r="H367" s="37">
        <v>43.761345090419965</v>
      </c>
      <c r="I367" s="37" t="s">
        <v>2657</v>
      </c>
      <c r="J367" s="35">
        <v>2009</v>
      </c>
      <c r="K367" s="35" t="s">
        <v>1950</v>
      </c>
      <c r="L367" s="35" t="s">
        <v>1950</v>
      </c>
      <c r="M367" s="36">
        <v>6691</v>
      </c>
      <c r="N367" s="52">
        <v>3316</v>
      </c>
      <c r="O367" s="38">
        <v>0.49559109251233002</v>
      </c>
      <c r="P367" s="35">
        <v>0</v>
      </c>
      <c r="Q367" s="35" t="s">
        <v>28</v>
      </c>
      <c r="R367" s="53">
        <v>0</v>
      </c>
      <c r="S367" s="53">
        <v>0</v>
      </c>
    </row>
    <row r="368" spans="1:19" x14ac:dyDescent="0.3">
      <c r="A368" s="35" t="s">
        <v>1586</v>
      </c>
      <c r="B368" s="35" t="s">
        <v>14</v>
      </c>
      <c r="C368" s="35" t="s">
        <v>1588</v>
      </c>
      <c r="D368" s="37">
        <v>46.217094615384617</v>
      </c>
      <c r="E368" s="35" t="s">
        <v>2657</v>
      </c>
      <c r="F368" s="37">
        <v>39.48430384615385</v>
      </c>
      <c r="G368" s="35" t="s">
        <v>2657</v>
      </c>
      <c r="H368" s="37">
        <v>42.64066230769231</v>
      </c>
      <c r="I368" s="37" t="s">
        <v>2657</v>
      </c>
      <c r="J368" s="35">
        <v>2014</v>
      </c>
      <c r="K368" s="35" t="s">
        <v>1950</v>
      </c>
      <c r="L368" s="35" t="s">
        <v>1950</v>
      </c>
      <c r="M368" s="36">
        <v>13000</v>
      </c>
      <c r="N368" s="52">
        <v>6000</v>
      </c>
      <c r="O368" s="38">
        <v>0.46153846153846156</v>
      </c>
      <c r="P368" s="35">
        <v>0</v>
      </c>
      <c r="Q368" s="35" t="s">
        <v>1590</v>
      </c>
      <c r="R368" s="53">
        <v>0</v>
      </c>
      <c r="S368" s="53">
        <v>0</v>
      </c>
    </row>
    <row r="369" spans="1:19" x14ac:dyDescent="0.3">
      <c r="A369" s="35" t="s">
        <v>1586</v>
      </c>
      <c r="B369" s="35" t="s">
        <v>14</v>
      </c>
      <c r="C369" s="35" t="s">
        <v>1588</v>
      </c>
      <c r="D369" s="37">
        <v>2.0021139923654072</v>
      </c>
      <c r="E369" s="35" t="s">
        <v>2657</v>
      </c>
      <c r="F369" s="37">
        <v>29.856390680531788</v>
      </c>
      <c r="G369" s="35" t="s">
        <v>2657</v>
      </c>
      <c r="H369" s="37">
        <v>41.776490720021059</v>
      </c>
      <c r="I369" s="37" t="s">
        <v>2657</v>
      </c>
      <c r="J369" s="35">
        <v>1984</v>
      </c>
      <c r="K369" s="35" t="s">
        <v>1950</v>
      </c>
      <c r="L369" s="35" t="s">
        <v>1950</v>
      </c>
      <c r="M369" s="36">
        <v>7597</v>
      </c>
      <c r="N369" s="52">
        <v>2170</v>
      </c>
      <c r="O369" s="38">
        <v>0.2856390680531789</v>
      </c>
      <c r="P369" s="35">
        <v>0</v>
      </c>
      <c r="Q369" s="35" t="s">
        <v>28</v>
      </c>
      <c r="R369" s="53">
        <v>0</v>
      </c>
      <c r="S369" s="53">
        <v>0</v>
      </c>
    </row>
    <row r="370" spans="1:19" x14ac:dyDescent="0.3">
      <c r="A370" s="35" t="s">
        <v>1586</v>
      </c>
      <c r="B370" s="35" t="s">
        <v>14</v>
      </c>
      <c r="C370" s="35" t="s">
        <v>1588</v>
      </c>
      <c r="D370" s="37">
        <v>50.116790226294604</v>
      </c>
      <c r="E370" s="35" t="s">
        <v>2657</v>
      </c>
      <c r="F370" s="37">
        <v>41.236849229487717</v>
      </c>
      <c r="G370" s="35" t="s">
        <v>2657</v>
      </c>
      <c r="H370" s="37">
        <v>41.413343051506317</v>
      </c>
      <c r="I370" s="37" t="s">
        <v>2657</v>
      </c>
      <c r="J370" s="35">
        <v>1992</v>
      </c>
      <c r="K370" s="35" t="s">
        <v>1950</v>
      </c>
      <c r="L370" s="35" t="s">
        <v>1950</v>
      </c>
      <c r="M370" s="36">
        <v>14406</v>
      </c>
      <c r="N370" s="52">
        <v>0</v>
      </c>
      <c r="O370" s="38">
        <v>0</v>
      </c>
      <c r="P370" s="35">
        <v>0</v>
      </c>
      <c r="Q370" s="35" t="s">
        <v>28</v>
      </c>
      <c r="R370" s="53">
        <v>0</v>
      </c>
      <c r="S370" s="53">
        <v>0</v>
      </c>
    </row>
    <row r="371" spans="1:19" x14ac:dyDescent="0.3">
      <c r="A371" s="35" t="s">
        <v>1586</v>
      </c>
      <c r="B371" s="35" t="s">
        <v>14</v>
      </c>
      <c r="C371" s="35" t="s">
        <v>1588</v>
      </c>
      <c r="D371" s="37">
        <v>38.824394213381552</v>
      </c>
      <c r="E371" s="35" t="s">
        <v>2657</v>
      </c>
      <c r="F371" s="37">
        <v>43.074390596745026</v>
      </c>
      <c r="G371" s="35" t="s">
        <v>2657</v>
      </c>
      <c r="H371" s="37">
        <v>40.094115732368898</v>
      </c>
      <c r="I371" s="37" t="s">
        <v>2657</v>
      </c>
      <c r="J371" s="35">
        <v>2016</v>
      </c>
      <c r="K371" s="35" t="s">
        <v>1950</v>
      </c>
      <c r="L371" s="35" t="s">
        <v>1950</v>
      </c>
      <c r="M371" s="36">
        <v>5530</v>
      </c>
      <c r="N371" s="52">
        <v>689</v>
      </c>
      <c r="O371" s="38">
        <v>0.12459312839059675</v>
      </c>
      <c r="P371" s="35">
        <v>0</v>
      </c>
      <c r="Q371" s="35" t="s">
        <v>28</v>
      </c>
      <c r="R371" s="53">
        <v>0</v>
      </c>
      <c r="S371" s="53">
        <v>0</v>
      </c>
    </row>
    <row r="372" spans="1:19" x14ac:dyDescent="0.3">
      <c r="A372" s="35" t="s">
        <v>1586</v>
      </c>
      <c r="B372" s="35" t="s">
        <v>14</v>
      </c>
      <c r="C372" s="35" t="s">
        <v>1588</v>
      </c>
      <c r="D372" s="37">
        <v>55.195208105147863</v>
      </c>
      <c r="E372" s="35" t="s">
        <v>2657</v>
      </c>
      <c r="F372" s="37">
        <v>48.824746714129247</v>
      </c>
      <c r="G372" s="35" t="s">
        <v>2657</v>
      </c>
      <c r="H372" s="37">
        <v>39.158064074479739</v>
      </c>
      <c r="I372" s="37" t="s">
        <v>2657</v>
      </c>
      <c r="J372" s="35">
        <v>2001</v>
      </c>
      <c r="K372" s="35" t="s">
        <v>1950</v>
      </c>
      <c r="L372" s="35" t="s">
        <v>1950</v>
      </c>
      <c r="M372" s="36">
        <v>7304</v>
      </c>
      <c r="N372" s="52">
        <v>2658</v>
      </c>
      <c r="O372" s="38">
        <v>0.36391018619934284</v>
      </c>
      <c r="P372" s="35">
        <v>0</v>
      </c>
      <c r="Q372" s="35" t="s">
        <v>28</v>
      </c>
      <c r="R372" s="53">
        <v>0</v>
      </c>
      <c r="S372" s="53">
        <v>1.1100000000000001</v>
      </c>
    </row>
    <row r="373" spans="1:19" x14ac:dyDescent="0.3">
      <c r="A373" s="35" t="s">
        <v>1586</v>
      </c>
      <c r="B373" s="35" t="s">
        <v>14</v>
      </c>
      <c r="C373" s="35" t="s">
        <v>1588</v>
      </c>
      <c r="D373" s="37">
        <v>0</v>
      </c>
      <c r="E373" s="39" t="s">
        <v>1950</v>
      </c>
      <c r="F373" s="37">
        <v>0</v>
      </c>
      <c r="G373" s="35" t="s">
        <v>1950</v>
      </c>
      <c r="H373" s="37">
        <v>35.264772030259664</v>
      </c>
      <c r="I373" s="37" t="s">
        <v>2657</v>
      </c>
      <c r="J373" s="35">
        <v>2022</v>
      </c>
      <c r="K373" s="35" t="s">
        <v>1950</v>
      </c>
      <c r="L373" s="35" t="s">
        <v>1950</v>
      </c>
      <c r="M373" s="36">
        <v>14673</v>
      </c>
      <c r="N373" s="52">
        <v>11262</v>
      </c>
      <c r="O373" s="38">
        <v>0.76753220200368022</v>
      </c>
      <c r="P373" s="35">
        <v>0</v>
      </c>
      <c r="Q373" s="35" t="s">
        <v>1589</v>
      </c>
      <c r="R373" s="53">
        <v>1</v>
      </c>
      <c r="S373" s="53">
        <v>0</v>
      </c>
    </row>
    <row r="374" spans="1:19" x14ac:dyDescent="0.3">
      <c r="A374" s="35" t="s">
        <v>1586</v>
      </c>
      <c r="B374" s="35" t="s">
        <v>14</v>
      </c>
      <c r="C374" s="35" t="s">
        <v>1588</v>
      </c>
      <c r="D374" s="37">
        <v>27.177702955480733</v>
      </c>
      <c r="E374" s="35" t="s">
        <v>2657</v>
      </c>
      <c r="F374" s="37">
        <v>29.617283950617285</v>
      </c>
      <c r="G374" s="35" t="s">
        <v>2657</v>
      </c>
      <c r="H374" s="37">
        <v>33.548447437336328</v>
      </c>
      <c r="I374" s="37" t="s">
        <v>2657</v>
      </c>
      <c r="J374" s="35">
        <v>2011</v>
      </c>
      <c r="K374" s="35" t="s">
        <v>1950</v>
      </c>
      <c r="L374" s="35" t="s">
        <v>1950</v>
      </c>
      <c r="M374" s="36">
        <v>2673</v>
      </c>
      <c r="N374" s="52">
        <v>1980</v>
      </c>
      <c r="O374" s="38">
        <v>0.7407407407407407</v>
      </c>
      <c r="P374" s="35">
        <v>0</v>
      </c>
      <c r="Q374" s="35" t="s">
        <v>28</v>
      </c>
      <c r="R374" s="53">
        <v>0</v>
      </c>
      <c r="S374" s="53">
        <v>0</v>
      </c>
    </row>
    <row r="375" spans="1:19" x14ac:dyDescent="0.3">
      <c r="A375" s="35" t="s">
        <v>1586</v>
      </c>
      <c r="B375" s="35" t="s">
        <v>14</v>
      </c>
      <c r="C375" s="35" t="s">
        <v>1588</v>
      </c>
      <c r="D375" s="37">
        <v>4.9812922822035066</v>
      </c>
      <c r="E375" s="35" t="s">
        <v>2657</v>
      </c>
      <c r="F375" s="37">
        <v>9.3262460306502835</v>
      </c>
      <c r="G375" s="35" t="s">
        <v>2657</v>
      </c>
      <c r="H375" s="37">
        <v>10.780753831285379</v>
      </c>
      <c r="I375" s="37" t="s">
        <v>2657</v>
      </c>
      <c r="J375" s="35">
        <v>1976</v>
      </c>
      <c r="K375" s="35" t="s">
        <v>47</v>
      </c>
      <c r="L375" s="35" t="s">
        <v>1599</v>
      </c>
      <c r="M375" s="36">
        <v>14486</v>
      </c>
      <c r="N375" s="52">
        <v>10888</v>
      </c>
      <c r="O375" s="38">
        <v>0.75162225597128263</v>
      </c>
      <c r="P375" s="35">
        <v>0</v>
      </c>
      <c r="Q375" s="35" t="s">
        <v>1589</v>
      </c>
      <c r="R375" s="53">
        <v>6</v>
      </c>
      <c r="S375" s="53">
        <v>0.67</v>
      </c>
    </row>
    <row r="376" spans="1:19" x14ac:dyDescent="0.3">
      <c r="A376" s="35" t="s">
        <v>1586</v>
      </c>
      <c r="B376" s="35" t="s">
        <v>14</v>
      </c>
      <c r="C376" s="35" t="s">
        <v>1588</v>
      </c>
      <c r="D376" s="37">
        <v>0</v>
      </c>
      <c r="E376" s="39" t="s">
        <v>1950</v>
      </c>
      <c r="F376" s="37">
        <v>0</v>
      </c>
      <c r="G376" s="35" t="s">
        <v>1950</v>
      </c>
      <c r="H376" s="37">
        <v>0</v>
      </c>
      <c r="I376" s="37" t="s">
        <v>1950</v>
      </c>
      <c r="J376" s="35">
        <v>2013</v>
      </c>
      <c r="K376" s="35" t="s">
        <v>19</v>
      </c>
      <c r="L376" s="35" t="s">
        <v>1599</v>
      </c>
      <c r="M376" s="36">
        <v>9606</v>
      </c>
      <c r="N376" s="52">
        <v>6077</v>
      </c>
      <c r="O376" s="38">
        <v>0.6326254424318134</v>
      </c>
      <c r="P376" s="35">
        <v>0</v>
      </c>
      <c r="Q376" s="35" t="s">
        <v>1589</v>
      </c>
      <c r="R376" s="53">
        <v>11</v>
      </c>
      <c r="S376" s="53">
        <v>0</v>
      </c>
    </row>
    <row r="377" spans="1:19" x14ac:dyDescent="0.3">
      <c r="A377" s="35" t="s">
        <v>1586</v>
      </c>
      <c r="B377" s="35" t="s">
        <v>14</v>
      </c>
      <c r="C377" s="35" t="s">
        <v>1950</v>
      </c>
      <c r="D377" s="35">
        <v>0</v>
      </c>
      <c r="E377" s="39" t="s">
        <v>1950</v>
      </c>
      <c r="F377" s="37">
        <v>0</v>
      </c>
      <c r="G377" s="35" t="s">
        <v>1950</v>
      </c>
      <c r="H377" s="37">
        <v>0</v>
      </c>
      <c r="I377" s="37" t="s">
        <v>1950</v>
      </c>
      <c r="J377" s="35">
        <v>2017</v>
      </c>
      <c r="K377" s="35" t="s">
        <v>19</v>
      </c>
      <c r="L377" s="35" t="s">
        <v>1601</v>
      </c>
      <c r="M377" s="36">
        <v>128557</v>
      </c>
      <c r="N377" s="52">
        <v>110438</v>
      </c>
      <c r="O377" s="38">
        <v>0.85905862769044083</v>
      </c>
      <c r="P377" s="35">
        <v>0</v>
      </c>
      <c r="Q377" s="35" t="s">
        <v>1589</v>
      </c>
      <c r="R377" s="53">
        <v>13</v>
      </c>
      <c r="S377" s="53">
        <v>0.61</v>
      </c>
    </row>
    <row r="378" spans="1:19" x14ac:dyDescent="0.3">
      <c r="A378" s="35" t="s">
        <v>1586</v>
      </c>
      <c r="B378" s="35" t="s">
        <v>14</v>
      </c>
      <c r="C378" s="35" t="s">
        <v>1950</v>
      </c>
      <c r="D378" s="35">
        <v>0</v>
      </c>
      <c r="E378" s="39" t="s">
        <v>1950</v>
      </c>
      <c r="F378" s="37">
        <v>0</v>
      </c>
      <c r="G378" s="35" t="s">
        <v>1950</v>
      </c>
      <c r="H378" s="37">
        <v>0</v>
      </c>
      <c r="I378" s="37" t="s">
        <v>1950</v>
      </c>
      <c r="J378" s="35">
        <v>2000</v>
      </c>
      <c r="K378" s="35" t="s">
        <v>21</v>
      </c>
      <c r="L378" s="35" t="s">
        <v>1601</v>
      </c>
      <c r="M378" s="36">
        <v>33837</v>
      </c>
      <c r="N378" s="52">
        <v>32589</v>
      </c>
      <c r="O378" s="38">
        <v>0.96311729763276888</v>
      </c>
      <c r="P378" s="35">
        <v>0</v>
      </c>
      <c r="Q378" s="35" t="s">
        <v>1589</v>
      </c>
      <c r="R378" s="53">
        <v>4</v>
      </c>
      <c r="S378" s="53">
        <v>0.65</v>
      </c>
    </row>
    <row r="379" spans="1:19" x14ac:dyDescent="0.3">
      <c r="A379" s="35" t="s">
        <v>1586</v>
      </c>
      <c r="B379" s="35" t="s">
        <v>14</v>
      </c>
      <c r="C379" s="35" t="s">
        <v>1950</v>
      </c>
      <c r="D379" s="35">
        <v>0</v>
      </c>
      <c r="E379" s="39" t="s">
        <v>1950</v>
      </c>
      <c r="F379" s="37">
        <v>0</v>
      </c>
      <c r="G379" s="35" t="s">
        <v>1950</v>
      </c>
      <c r="H379" s="37">
        <v>0</v>
      </c>
      <c r="I379" s="37" t="s">
        <v>1950</v>
      </c>
      <c r="J379" s="35">
        <v>2000</v>
      </c>
      <c r="K379" s="35" t="s">
        <v>21</v>
      </c>
      <c r="L379" s="35" t="s">
        <v>1601</v>
      </c>
      <c r="M379" s="36">
        <v>13951</v>
      </c>
      <c r="N379" s="52">
        <v>11465</v>
      </c>
      <c r="O379" s="38">
        <v>0.82180488853845601</v>
      </c>
      <c r="P379" s="35">
        <v>0</v>
      </c>
      <c r="Q379" s="35" t="s">
        <v>1589</v>
      </c>
      <c r="R379" s="53">
        <v>4</v>
      </c>
      <c r="S379" s="53">
        <v>0.65</v>
      </c>
    </row>
    <row r="380" spans="1:19" x14ac:dyDescent="0.3">
      <c r="A380" s="35" t="s">
        <v>1586</v>
      </c>
      <c r="B380" s="35" t="s">
        <v>14</v>
      </c>
      <c r="C380" s="35" t="s">
        <v>1950</v>
      </c>
      <c r="D380" s="35">
        <v>0</v>
      </c>
      <c r="E380" s="39" t="s">
        <v>1950</v>
      </c>
      <c r="F380" s="37">
        <v>0</v>
      </c>
      <c r="G380" s="35" t="s">
        <v>1950</v>
      </c>
      <c r="H380" s="37">
        <v>0</v>
      </c>
      <c r="I380" s="37" t="s">
        <v>1950</v>
      </c>
      <c r="J380" s="35">
        <v>2013</v>
      </c>
      <c r="K380" s="35" t="s">
        <v>19</v>
      </c>
      <c r="L380" s="35" t="s">
        <v>1601</v>
      </c>
      <c r="M380" s="36">
        <v>7251</v>
      </c>
      <c r="N380" s="52">
        <v>7251</v>
      </c>
      <c r="O380" s="38">
        <v>1</v>
      </c>
      <c r="P380" s="35">
        <v>0</v>
      </c>
      <c r="Q380" s="35" t="s">
        <v>1589</v>
      </c>
      <c r="R380" s="53">
        <v>10</v>
      </c>
      <c r="S380" s="53">
        <v>0.65</v>
      </c>
    </row>
    <row r="381" spans="1:19" x14ac:dyDescent="0.3">
      <c r="A381" s="35" t="s">
        <v>1586</v>
      </c>
      <c r="B381" s="35" t="s">
        <v>14</v>
      </c>
      <c r="C381" s="35" t="s">
        <v>1950</v>
      </c>
      <c r="D381" s="35">
        <v>0</v>
      </c>
      <c r="E381" s="39" t="s">
        <v>1950</v>
      </c>
      <c r="F381" s="37">
        <v>0</v>
      </c>
      <c r="G381" s="35" t="s">
        <v>1950</v>
      </c>
      <c r="H381" s="37">
        <v>0</v>
      </c>
      <c r="I381" s="37" t="s">
        <v>1950</v>
      </c>
      <c r="J381" s="35">
        <v>1996</v>
      </c>
      <c r="K381" s="35" t="s">
        <v>19</v>
      </c>
      <c r="L381" s="35" t="s">
        <v>1601</v>
      </c>
      <c r="M381" s="36">
        <v>18784</v>
      </c>
      <c r="N381" s="52">
        <v>18784</v>
      </c>
      <c r="O381" s="38">
        <v>1</v>
      </c>
      <c r="P381" s="35">
        <v>0</v>
      </c>
      <c r="Q381" s="35" t="s">
        <v>1589</v>
      </c>
      <c r="R381" s="53">
        <v>6</v>
      </c>
      <c r="S381" s="53">
        <v>0.57899999999999996</v>
      </c>
    </row>
    <row r="382" spans="1:19" x14ac:dyDescent="0.3">
      <c r="A382" s="35" t="s">
        <v>1586</v>
      </c>
      <c r="B382" s="35" t="s">
        <v>14</v>
      </c>
      <c r="C382" s="35" t="s">
        <v>1950</v>
      </c>
      <c r="D382" s="35">
        <v>0</v>
      </c>
      <c r="E382" s="39" t="s">
        <v>1950</v>
      </c>
      <c r="F382" s="37">
        <v>0</v>
      </c>
      <c r="G382" s="35" t="s">
        <v>1950</v>
      </c>
      <c r="H382" s="37">
        <v>0</v>
      </c>
      <c r="I382" s="37" t="s">
        <v>1950</v>
      </c>
      <c r="J382" s="35">
        <v>2010</v>
      </c>
      <c r="K382" s="35" t="s">
        <v>1950</v>
      </c>
      <c r="L382" s="35" t="s">
        <v>1950</v>
      </c>
      <c r="M382" s="36">
        <v>4605</v>
      </c>
      <c r="N382" s="52">
        <v>4134</v>
      </c>
      <c r="O382" s="38">
        <v>0.89771986970684037</v>
      </c>
      <c r="P382" s="35">
        <v>0</v>
      </c>
      <c r="Q382" s="35" t="s">
        <v>28</v>
      </c>
      <c r="R382" s="53">
        <v>0</v>
      </c>
      <c r="S382" s="53">
        <v>0</v>
      </c>
    </row>
    <row r="383" spans="1:19" x14ac:dyDescent="0.3">
      <c r="A383" s="35" t="s">
        <v>1586</v>
      </c>
      <c r="B383" s="35" t="s">
        <v>14</v>
      </c>
      <c r="C383" s="35" t="s">
        <v>1950</v>
      </c>
      <c r="D383" s="35">
        <v>0</v>
      </c>
      <c r="E383" s="39" t="s">
        <v>1950</v>
      </c>
      <c r="F383" s="37">
        <v>0</v>
      </c>
      <c r="G383" s="35" t="s">
        <v>1950</v>
      </c>
      <c r="H383" s="37">
        <v>0</v>
      </c>
      <c r="I383" s="37" t="s">
        <v>1950</v>
      </c>
      <c r="J383" s="35">
        <v>2011</v>
      </c>
      <c r="K383" s="35" t="s">
        <v>25</v>
      </c>
      <c r="L383" s="35" t="s">
        <v>1603</v>
      </c>
      <c r="M383" s="36">
        <v>9518</v>
      </c>
      <c r="N383" s="52">
        <v>7660</v>
      </c>
      <c r="O383" s="38">
        <v>0.80479092246270223</v>
      </c>
      <c r="P383" s="35">
        <v>0</v>
      </c>
      <c r="Q383" s="35" t="s">
        <v>1821</v>
      </c>
      <c r="R383" s="53">
        <v>0</v>
      </c>
      <c r="S383" s="53">
        <v>0</v>
      </c>
    </row>
    <row r="384" spans="1:19" x14ac:dyDescent="0.3">
      <c r="A384" s="35" t="s">
        <v>1586</v>
      </c>
      <c r="B384" s="35" t="s">
        <v>14</v>
      </c>
      <c r="C384" s="35" t="s">
        <v>1950</v>
      </c>
      <c r="D384" s="35">
        <v>0</v>
      </c>
      <c r="E384" s="39" t="s">
        <v>1950</v>
      </c>
      <c r="F384" s="37">
        <v>0</v>
      </c>
      <c r="G384" s="35" t="s">
        <v>1950</v>
      </c>
      <c r="H384" s="37">
        <v>0</v>
      </c>
      <c r="I384" s="37" t="s">
        <v>1950</v>
      </c>
      <c r="J384" s="35">
        <v>2001</v>
      </c>
      <c r="K384" s="35" t="s">
        <v>1950</v>
      </c>
      <c r="L384" s="35" t="s">
        <v>1950</v>
      </c>
      <c r="M384" s="36">
        <v>4228</v>
      </c>
      <c r="N384" s="52">
        <v>3580</v>
      </c>
      <c r="O384" s="38">
        <v>0.84673604541154213</v>
      </c>
      <c r="P384" s="35">
        <v>0</v>
      </c>
      <c r="Q384" s="35" t="s">
        <v>1787</v>
      </c>
      <c r="R384" s="53">
        <v>0</v>
      </c>
      <c r="S384" s="53">
        <v>0</v>
      </c>
    </row>
    <row r="385" spans="1:19" x14ac:dyDescent="0.3">
      <c r="A385" s="35" t="s">
        <v>1586</v>
      </c>
      <c r="B385" s="35" t="s">
        <v>14</v>
      </c>
      <c r="C385" s="35" t="s">
        <v>1950</v>
      </c>
      <c r="D385" s="35">
        <v>0</v>
      </c>
      <c r="E385" s="39" t="s">
        <v>1950</v>
      </c>
      <c r="F385" s="37">
        <v>0</v>
      </c>
      <c r="G385" s="35" t="s">
        <v>1950</v>
      </c>
      <c r="H385" s="37">
        <v>0</v>
      </c>
      <c r="I385" s="37" t="s">
        <v>1950</v>
      </c>
      <c r="J385" s="35">
        <v>2002</v>
      </c>
      <c r="K385" s="35" t="s">
        <v>25</v>
      </c>
      <c r="L385" s="35" t="s">
        <v>1597</v>
      </c>
      <c r="M385" s="36">
        <v>19190</v>
      </c>
      <c r="N385" s="52">
        <v>14313</v>
      </c>
      <c r="O385" s="38">
        <v>0.74585721730067744</v>
      </c>
      <c r="P385" s="35">
        <v>0</v>
      </c>
      <c r="Q385" s="35" t="s">
        <v>1589</v>
      </c>
      <c r="R385" s="53">
        <v>9</v>
      </c>
      <c r="S385" s="53">
        <v>0.80900000000000005</v>
      </c>
    </row>
    <row r="386" spans="1:19" x14ac:dyDescent="0.3">
      <c r="A386" s="35" t="s">
        <v>1586</v>
      </c>
      <c r="B386" s="35" t="s">
        <v>14</v>
      </c>
      <c r="C386" s="35" t="s">
        <v>1950</v>
      </c>
      <c r="D386" s="35">
        <v>0</v>
      </c>
      <c r="E386" s="39" t="s">
        <v>1950</v>
      </c>
      <c r="F386" s="37">
        <v>0</v>
      </c>
      <c r="G386" s="35" t="s">
        <v>1950</v>
      </c>
      <c r="H386" s="37">
        <v>0</v>
      </c>
      <c r="I386" s="37" t="s">
        <v>1950</v>
      </c>
      <c r="J386" s="35">
        <v>2002</v>
      </c>
      <c r="K386" s="35" t="s">
        <v>19</v>
      </c>
      <c r="L386" s="35" t="s">
        <v>1601</v>
      </c>
      <c r="M386" s="36">
        <v>16986</v>
      </c>
      <c r="N386" s="52">
        <v>14936</v>
      </c>
      <c r="O386" s="38">
        <v>0.879312374896974</v>
      </c>
      <c r="P386" s="35">
        <v>0</v>
      </c>
      <c r="Q386" s="35" t="s">
        <v>1589</v>
      </c>
      <c r="R386" s="53">
        <v>2</v>
      </c>
      <c r="S386" s="53">
        <v>0</v>
      </c>
    </row>
    <row r="387" spans="1:19" x14ac:dyDescent="0.3">
      <c r="A387" s="35" t="s">
        <v>1586</v>
      </c>
      <c r="B387" s="35" t="s">
        <v>14</v>
      </c>
      <c r="C387" s="35" t="s">
        <v>1950</v>
      </c>
      <c r="D387" s="35">
        <v>0</v>
      </c>
      <c r="E387" s="39" t="s">
        <v>1950</v>
      </c>
      <c r="F387" s="37">
        <v>0</v>
      </c>
      <c r="G387" s="35" t="s">
        <v>1950</v>
      </c>
      <c r="H387" s="37">
        <v>0</v>
      </c>
      <c r="I387" s="37" t="s">
        <v>1950</v>
      </c>
      <c r="J387" s="35">
        <v>2008</v>
      </c>
      <c r="K387" s="35" t="s">
        <v>21</v>
      </c>
      <c r="L387" s="35" t="s">
        <v>1601</v>
      </c>
      <c r="M387" s="36">
        <v>21087</v>
      </c>
      <c r="N387" s="52">
        <v>17180</v>
      </c>
      <c r="O387" s="38">
        <v>0.81471996964954707</v>
      </c>
      <c r="P387" s="35">
        <v>0</v>
      </c>
      <c r="Q387" s="35" t="s">
        <v>1821</v>
      </c>
      <c r="R387" s="53">
        <v>0</v>
      </c>
      <c r="S387" s="53">
        <v>0.05</v>
      </c>
    </row>
    <row r="388" spans="1:19" x14ac:dyDescent="0.3">
      <c r="A388" s="35" t="s">
        <v>1586</v>
      </c>
      <c r="B388" s="35" t="s">
        <v>14</v>
      </c>
      <c r="C388" s="35" t="s">
        <v>1950</v>
      </c>
      <c r="D388" s="35">
        <v>0</v>
      </c>
      <c r="E388" s="39" t="s">
        <v>1950</v>
      </c>
      <c r="F388" s="37">
        <v>0</v>
      </c>
      <c r="G388" s="35" t="s">
        <v>1950</v>
      </c>
      <c r="H388" s="37">
        <v>0</v>
      </c>
      <c r="I388" s="37" t="s">
        <v>1950</v>
      </c>
      <c r="J388" s="35">
        <v>2008</v>
      </c>
      <c r="K388" s="35" t="s">
        <v>21</v>
      </c>
      <c r="L388" s="35" t="s">
        <v>1601</v>
      </c>
      <c r="M388" s="36">
        <v>15141</v>
      </c>
      <c r="N388" s="52">
        <v>13134</v>
      </c>
      <c r="O388" s="38">
        <v>0.86744600752922529</v>
      </c>
      <c r="P388" s="35">
        <v>0</v>
      </c>
      <c r="Q388" s="35" t="s">
        <v>1821</v>
      </c>
      <c r="R388" s="53">
        <v>0</v>
      </c>
      <c r="S388" s="53">
        <v>0.05</v>
      </c>
    </row>
    <row r="389" spans="1:19" x14ac:dyDescent="0.3">
      <c r="A389" s="35" t="s">
        <v>1586</v>
      </c>
      <c r="B389" s="35" t="s">
        <v>14</v>
      </c>
      <c r="C389" s="35" t="s">
        <v>1950</v>
      </c>
      <c r="D389" s="35">
        <v>0</v>
      </c>
      <c r="E389" s="39" t="s">
        <v>1950</v>
      </c>
      <c r="F389" s="37">
        <v>0</v>
      </c>
      <c r="G389" s="35" t="s">
        <v>1950</v>
      </c>
      <c r="H389" s="37">
        <v>0</v>
      </c>
      <c r="I389" s="37" t="s">
        <v>1950</v>
      </c>
      <c r="J389" s="35">
        <v>2008</v>
      </c>
      <c r="K389" s="35" t="s">
        <v>21</v>
      </c>
      <c r="L389" s="35" t="s">
        <v>1601</v>
      </c>
      <c r="M389" s="36">
        <v>17652</v>
      </c>
      <c r="N389" s="52">
        <v>11887</v>
      </c>
      <c r="O389" s="38">
        <v>0.67340811239519605</v>
      </c>
      <c r="P389" s="35">
        <v>0</v>
      </c>
      <c r="Q389" s="35" t="s">
        <v>1821</v>
      </c>
      <c r="R389" s="53">
        <v>0</v>
      </c>
      <c r="S389" s="53">
        <v>0.05</v>
      </c>
    </row>
    <row r="390" spans="1:19" x14ac:dyDescent="0.3">
      <c r="A390" s="35" t="s">
        <v>1586</v>
      </c>
      <c r="B390" s="35" t="s">
        <v>14</v>
      </c>
      <c r="C390" s="35" t="s">
        <v>1950</v>
      </c>
      <c r="D390" s="35">
        <v>0</v>
      </c>
      <c r="E390" s="39" t="s">
        <v>1950</v>
      </c>
      <c r="F390" s="37">
        <v>0</v>
      </c>
      <c r="G390" s="35" t="s">
        <v>1950</v>
      </c>
      <c r="H390" s="37">
        <v>0</v>
      </c>
      <c r="I390" s="37" t="s">
        <v>1950</v>
      </c>
      <c r="J390" s="35">
        <v>2008</v>
      </c>
      <c r="K390" s="35" t="s">
        <v>21</v>
      </c>
      <c r="L390" s="35" t="s">
        <v>1818</v>
      </c>
      <c r="M390" s="36">
        <v>27611</v>
      </c>
      <c r="N390" s="52">
        <v>26341</v>
      </c>
      <c r="O390" s="38">
        <v>0.95400383904965413</v>
      </c>
      <c r="P390" s="35">
        <v>0</v>
      </c>
      <c r="Q390" s="35" t="s">
        <v>1821</v>
      </c>
      <c r="R390" s="53">
        <v>0</v>
      </c>
      <c r="S390" s="53">
        <v>0.05</v>
      </c>
    </row>
    <row r="391" spans="1:19" x14ac:dyDescent="0.3">
      <c r="A391" s="35" t="s">
        <v>1586</v>
      </c>
      <c r="B391" s="35" t="s">
        <v>14</v>
      </c>
      <c r="C391" s="35" t="s">
        <v>1950</v>
      </c>
      <c r="D391" s="35">
        <v>0</v>
      </c>
      <c r="E391" s="39" t="s">
        <v>1950</v>
      </c>
      <c r="F391" s="37">
        <v>0</v>
      </c>
      <c r="G391" s="35" t="s">
        <v>1950</v>
      </c>
      <c r="H391" s="37">
        <v>0</v>
      </c>
      <c r="I391" s="37" t="s">
        <v>1950</v>
      </c>
      <c r="J391" s="35">
        <v>2008</v>
      </c>
      <c r="K391" s="35" t="s">
        <v>21</v>
      </c>
      <c r="L391" s="35" t="s">
        <v>1601</v>
      </c>
      <c r="M391" s="36">
        <v>19872</v>
      </c>
      <c r="N391" s="52">
        <v>19872</v>
      </c>
      <c r="O391" s="38">
        <v>1</v>
      </c>
      <c r="P391" s="35">
        <v>0</v>
      </c>
      <c r="Q391" s="35" t="s">
        <v>1821</v>
      </c>
      <c r="R391" s="53">
        <v>0</v>
      </c>
      <c r="S391" s="53">
        <v>0.05</v>
      </c>
    </row>
    <row r="392" spans="1:19" x14ac:dyDescent="0.3">
      <c r="A392" s="35" t="s">
        <v>1586</v>
      </c>
      <c r="B392" s="35" t="s">
        <v>14</v>
      </c>
      <c r="C392" s="35" t="s">
        <v>1950</v>
      </c>
      <c r="D392" s="35">
        <v>0</v>
      </c>
      <c r="E392" s="39" t="s">
        <v>1950</v>
      </c>
      <c r="F392" s="37">
        <v>0</v>
      </c>
      <c r="G392" s="35" t="s">
        <v>1950</v>
      </c>
      <c r="H392" s="37">
        <v>0</v>
      </c>
      <c r="I392" s="37" t="s">
        <v>1950</v>
      </c>
      <c r="J392" s="35">
        <v>2008</v>
      </c>
      <c r="K392" s="35" t="s">
        <v>21</v>
      </c>
      <c r="L392" s="35" t="s">
        <v>1601</v>
      </c>
      <c r="M392" s="36">
        <v>33486</v>
      </c>
      <c r="N392" s="52">
        <v>29813</v>
      </c>
      <c r="O392" s="38">
        <v>0.89031236934838442</v>
      </c>
      <c r="P392" s="35">
        <v>0</v>
      </c>
      <c r="Q392" s="35" t="s">
        <v>1821</v>
      </c>
      <c r="R392" s="53">
        <v>0</v>
      </c>
      <c r="S392" s="53">
        <v>0.05</v>
      </c>
    </row>
    <row r="393" spans="1:19" x14ac:dyDescent="0.3">
      <c r="A393" s="35" t="s">
        <v>1586</v>
      </c>
      <c r="B393" s="35" t="s">
        <v>14</v>
      </c>
      <c r="C393" s="35" t="s">
        <v>1950</v>
      </c>
      <c r="D393" s="35">
        <v>0</v>
      </c>
      <c r="E393" s="39" t="s">
        <v>1950</v>
      </c>
      <c r="F393" s="37">
        <v>0</v>
      </c>
      <c r="G393" s="35" t="s">
        <v>1950</v>
      </c>
      <c r="H393" s="37">
        <v>0</v>
      </c>
      <c r="I393" s="37" t="s">
        <v>1950</v>
      </c>
      <c r="J393" s="35">
        <v>2011</v>
      </c>
      <c r="K393" s="35" t="s">
        <v>19</v>
      </c>
      <c r="L393" s="35" t="s">
        <v>1601</v>
      </c>
      <c r="M393" s="36">
        <v>61999</v>
      </c>
      <c r="N393" s="52">
        <v>53783</v>
      </c>
      <c r="O393" s="38">
        <v>0.86748173357634806</v>
      </c>
      <c r="P393" s="35">
        <v>0</v>
      </c>
      <c r="Q393" s="35" t="s">
        <v>1821</v>
      </c>
      <c r="R393" s="53">
        <v>0</v>
      </c>
      <c r="S393" s="53">
        <v>0</v>
      </c>
    </row>
    <row r="394" spans="1:19" x14ac:dyDescent="0.3">
      <c r="A394" s="35" t="s">
        <v>1586</v>
      </c>
      <c r="B394" s="35" t="s">
        <v>14</v>
      </c>
      <c r="C394" s="35" t="s">
        <v>1950</v>
      </c>
      <c r="D394" s="35">
        <v>0</v>
      </c>
      <c r="E394" s="39" t="s">
        <v>1950</v>
      </c>
      <c r="F394" s="37">
        <v>0</v>
      </c>
      <c r="G394" s="35" t="s">
        <v>1950</v>
      </c>
      <c r="H394" s="37">
        <v>0</v>
      </c>
      <c r="I394" s="37" t="s">
        <v>1950</v>
      </c>
      <c r="J394" s="35">
        <v>2012</v>
      </c>
      <c r="K394" s="35" t="s">
        <v>19</v>
      </c>
      <c r="L394" s="35" t="s">
        <v>1601</v>
      </c>
      <c r="M394" s="36">
        <v>151777</v>
      </c>
      <c r="N394" s="52">
        <v>147045</v>
      </c>
      <c r="O394" s="38">
        <v>0.96882268064331223</v>
      </c>
      <c r="P394" s="35">
        <v>0</v>
      </c>
      <c r="Q394" s="35" t="s">
        <v>1821</v>
      </c>
      <c r="R394" s="53">
        <v>0</v>
      </c>
      <c r="S394" s="53">
        <v>0</v>
      </c>
    </row>
    <row r="395" spans="1:19" x14ac:dyDescent="0.3">
      <c r="A395" s="35" t="s">
        <v>1586</v>
      </c>
      <c r="B395" s="35" t="s">
        <v>14</v>
      </c>
      <c r="C395" s="35" t="s">
        <v>1950</v>
      </c>
      <c r="D395" s="35">
        <v>0</v>
      </c>
      <c r="E395" s="39" t="s">
        <v>1950</v>
      </c>
      <c r="F395" s="37">
        <v>0</v>
      </c>
      <c r="G395" s="35" t="s">
        <v>1950</v>
      </c>
      <c r="H395" s="37">
        <v>0</v>
      </c>
      <c r="I395" s="37" t="s">
        <v>1950</v>
      </c>
      <c r="J395" s="35">
        <v>2009</v>
      </c>
      <c r="K395" s="35" t="s">
        <v>19</v>
      </c>
      <c r="L395" s="35" t="s">
        <v>1601</v>
      </c>
      <c r="M395" s="36">
        <v>113150</v>
      </c>
      <c r="N395" s="52">
        <v>108000</v>
      </c>
      <c r="O395" s="38">
        <v>0.95448519664162612</v>
      </c>
      <c r="P395" s="35">
        <v>0</v>
      </c>
      <c r="Q395" s="35" t="s">
        <v>1821</v>
      </c>
      <c r="R395" s="53">
        <v>0</v>
      </c>
      <c r="S395" s="53">
        <v>0</v>
      </c>
    </row>
    <row r="396" spans="1:19" x14ac:dyDescent="0.3">
      <c r="A396" s="35" t="s">
        <v>1586</v>
      </c>
      <c r="B396" s="35" t="s">
        <v>14</v>
      </c>
      <c r="C396" s="35" t="s">
        <v>1950</v>
      </c>
      <c r="D396" s="35">
        <v>0</v>
      </c>
      <c r="E396" s="39" t="s">
        <v>1950</v>
      </c>
      <c r="F396" s="37">
        <v>0</v>
      </c>
      <c r="G396" s="35" t="s">
        <v>1950</v>
      </c>
      <c r="H396" s="37">
        <v>0</v>
      </c>
      <c r="I396" s="37" t="s">
        <v>1950</v>
      </c>
      <c r="J396" s="35">
        <v>1911</v>
      </c>
      <c r="K396" s="35" t="s">
        <v>1950</v>
      </c>
      <c r="L396" s="35" t="s">
        <v>1950</v>
      </c>
      <c r="M396" s="36">
        <v>599</v>
      </c>
      <c r="N396" s="52">
        <v>504</v>
      </c>
      <c r="O396" s="38">
        <v>0.84140233722871449</v>
      </c>
      <c r="P396" s="35">
        <v>0</v>
      </c>
      <c r="Q396" s="35" t="s">
        <v>28</v>
      </c>
      <c r="R396" s="53">
        <v>0</v>
      </c>
      <c r="S396" s="53">
        <v>0</v>
      </c>
    </row>
    <row r="397" spans="1:19" x14ac:dyDescent="0.3">
      <c r="A397" s="35" t="s">
        <v>1586</v>
      </c>
      <c r="B397" s="35" t="s">
        <v>14</v>
      </c>
      <c r="C397" s="35" t="s">
        <v>1950</v>
      </c>
      <c r="D397" s="35">
        <v>0</v>
      </c>
      <c r="E397" s="39" t="s">
        <v>1950</v>
      </c>
      <c r="F397" s="37">
        <v>0</v>
      </c>
      <c r="G397" s="35" t="s">
        <v>1950</v>
      </c>
      <c r="H397" s="37">
        <v>0</v>
      </c>
      <c r="I397" s="37" t="s">
        <v>1950</v>
      </c>
      <c r="J397" s="35">
        <v>2010</v>
      </c>
      <c r="K397" s="35" t="s">
        <v>1950</v>
      </c>
      <c r="L397" s="35" t="s">
        <v>1950</v>
      </c>
      <c r="M397" s="36">
        <v>2105</v>
      </c>
      <c r="N397" s="52">
        <v>2043</v>
      </c>
      <c r="O397" s="38">
        <v>0.97054631828978621</v>
      </c>
      <c r="P397" s="35">
        <v>0</v>
      </c>
      <c r="Q397" s="35" t="s">
        <v>28</v>
      </c>
      <c r="R397" s="53">
        <v>0</v>
      </c>
      <c r="S397" s="53">
        <v>0</v>
      </c>
    </row>
    <row r="398" spans="1:19" x14ac:dyDescent="0.3">
      <c r="A398" s="35" t="s">
        <v>1586</v>
      </c>
      <c r="B398" s="35" t="s">
        <v>14</v>
      </c>
      <c r="C398" s="35" t="s">
        <v>1950</v>
      </c>
      <c r="D398" s="35">
        <v>0</v>
      </c>
      <c r="E398" s="39" t="s">
        <v>1950</v>
      </c>
      <c r="F398" s="37">
        <v>0</v>
      </c>
      <c r="G398" s="35" t="s">
        <v>1950</v>
      </c>
      <c r="H398" s="37">
        <v>0</v>
      </c>
      <c r="I398" s="37" t="s">
        <v>1950</v>
      </c>
      <c r="J398" s="35">
        <v>1957</v>
      </c>
      <c r="K398" s="35" t="s">
        <v>1950</v>
      </c>
      <c r="L398" s="35" t="s">
        <v>1950</v>
      </c>
      <c r="M398" s="36">
        <v>2126</v>
      </c>
      <c r="N398" s="52">
        <v>1930</v>
      </c>
      <c r="O398" s="38">
        <v>0.90780809031044218</v>
      </c>
      <c r="P398" s="35">
        <v>0</v>
      </c>
      <c r="Q398" s="35" t="s">
        <v>28</v>
      </c>
      <c r="R398" s="53">
        <v>0</v>
      </c>
      <c r="S398" s="53">
        <v>0</v>
      </c>
    </row>
    <row r="399" spans="1:19" x14ac:dyDescent="0.3">
      <c r="A399" s="35" t="s">
        <v>1586</v>
      </c>
      <c r="B399" s="35" t="s">
        <v>14</v>
      </c>
      <c r="C399" s="35" t="s">
        <v>1950</v>
      </c>
      <c r="D399" s="35">
        <v>0</v>
      </c>
      <c r="E399" s="39" t="s">
        <v>1950</v>
      </c>
      <c r="F399" s="37">
        <v>0</v>
      </c>
      <c r="G399" s="35" t="s">
        <v>1950</v>
      </c>
      <c r="H399" s="37">
        <v>0</v>
      </c>
      <c r="I399" s="37" t="s">
        <v>1950</v>
      </c>
      <c r="J399" s="35">
        <v>1931</v>
      </c>
      <c r="K399" s="35" t="s">
        <v>1950</v>
      </c>
      <c r="L399" s="35" t="s">
        <v>1950</v>
      </c>
      <c r="M399" s="36">
        <v>1030</v>
      </c>
      <c r="N399" s="52">
        <v>1024</v>
      </c>
      <c r="O399" s="38">
        <v>0.99417475728155336</v>
      </c>
      <c r="P399" s="35">
        <v>0</v>
      </c>
      <c r="Q399" s="35" t="s">
        <v>28</v>
      </c>
      <c r="R399" s="53">
        <v>0</v>
      </c>
      <c r="S399" s="53">
        <v>0</v>
      </c>
    </row>
    <row r="400" spans="1:19" x14ac:dyDescent="0.3">
      <c r="A400" s="35" t="s">
        <v>1586</v>
      </c>
      <c r="B400" s="35" t="s">
        <v>14</v>
      </c>
      <c r="C400" s="35" t="s">
        <v>1950</v>
      </c>
      <c r="D400" s="35">
        <v>0</v>
      </c>
      <c r="E400" s="39" t="s">
        <v>1950</v>
      </c>
      <c r="F400" s="37">
        <v>0</v>
      </c>
      <c r="G400" s="35" t="s">
        <v>1950</v>
      </c>
      <c r="H400" s="37">
        <v>0</v>
      </c>
      <c r="I400" s="37" t="s">
        <v>1950</v>
      </c>
      <c r="J400" s="35">
        <v>1995</v>
      </c>
      <c r="K400" s="35" t="s">
        <v>21</v>
      </c>
      <c r="L400" s="35" t="s">
        <v>1599</v>
      </c>
      <c r="M400" s="36">
        <v>58854</v>
      </c>
      <c r="N400" s="52">
        <v>48484</v>
      </c>
      <c r="O400" s="38">
        <v>0.82380127094165223</v>
      </c>
      <c r="P400" s="35">
        <v>0</v>
      </c>
      <c r="Q400" s="35" t="s">
        <v>1589</v>
      </c>
      <c r="R400" s="53">
        <v>9</v>
      </c>
      <c r="S400" s="53">
        <v>0.61</v>
      </c>
    </row>
    <row r="401" spans="1:19" x14ac:dyDescent="0.3">
      <c r="A401" s="35" t="s">
        <v>1586</v>
      </c>
      <c r="B401" s="35" t="s">
        <v>14</v>
      </c>
      <c r="C401" s="35" t="s">
        <v>1950</v>
      </c>
      <c r="D401" s="35">
        <v>0</v>
      </c>
      <c r="E401" s="39" t="s">
        <v>1950</v>
      </c>
      <c r="F401" s="37">
        <v>0</v>
      </c>
      <c r="G401" s="35" t="s">
        <v>1950</v>
      </c>
      <c r="H401" s="37">
        <v>0</v>
      </c>
      <c r="I401" s="37" t="s">
        <v>1950</v>
      </c>
      <c r="J401" s="35">
        <v>1995</v>
      </c>
      <c r="K401" s="35" t="s">
        <v>21</v>
      </c>
      <c r="L401" s="35" t="s">
        <v>1599</v>
      </c>
      <c r="M401" s="36">
        <v>58854</v>
      </c>
      <c r="N401" s="52">
        <v>48484</v>
      </c>
      <c r="O401" s="38">
        <v>0.82380127094165223</v>
      </c>
      <c r="P401" s="35">
        <v>0</v>
      </c>
      <c r="Q401" s="35" t="s">
        <v>1589</v>
      </c>
      <c r="R401" s="53">
        <v>9</v>
      </c>
      <c r="S401" s="53">
        <v>0.61</v>
      </c>
    </row>
    <row r="402" spans="1:19" x14ac:dyDescent="0.3">
      <c r="A402" s="35" t="s">
        <v>1586</v>
      </c>
      <c r="B402" s="35" t="s">
        <v>14</v>
      </c>
      <c r="C402" s="35" t="s">
        <v>1950</v>
      </c>
      <c r="D402" s="35">
        <v>0</v>
      </c>
      <c r="E402" s="39" t="s">
        <v>1950</v>
      </c>
      <c r="F402" s="37">
        <v>0</v>
      </c>
      <c r="G402" s="35" t="s">
        <v>1950</v>
      </c>
      <c r="H402" s="37">
        <v>0</v>
      </c>
      <c r="I402" s="37" t="s">
        <v>1950</v>
      </c>
      <c r="J402" s="35">
        <v>1997</v>
      </c>
      <c r="K402" s="35" t="s">
        <v>21</v>
      </c>
      <c r="L402" s="35" t="s">
        <v>1599</v>
      </c>
      <c r="M402" s="36">
        <v>58854</v>
      </c>
      <c r="N402" s="52">
        <v>48484</v>
      </c>
      <c r="O402" s="38">
        <v>0.82380127094165223</v>
      </c>
      <c r="P402" s="35">
        <v>0</v>
      </c>
      <c r="Q402" s="35" t="s">
        <v>1589</v>
      </c>
      <c r="R402" s="53">
        <v>9</v>
      </c>
      <c r="S402" s="53">
        <v>0.61</v>
      </c>
    </row>
    <row r="403" spans="1:19" x14ac:dyDescent="0.3">
      <c r="A403" s="35" t="s">
        <v>1586</v>
      </c>
      <c r="B403" s="35" t="s">
        <v>14</v>
      </c>
      <c r="C403" s="35" t="s">
        <v>1950</v>
      </c>
      <c r="D403" s="35">
        <v>0</v>
      </c>
      <c r="E403" s="39" t="s">
        <v>1950</v>
      </c>
      <c r="F403" s="37">
        <v>0</v>
      </c>
      <c r="G403" s="35" t="s">
        <v>1950</v>
      </c>
      <c r="H403" s="37">
        <v>0</v>
      </c>
      <c r="I403" s="37" t="s">
        <v>1950</v>
      </c>
      <c r="J403" s="35">
        <v>1997</v>
      </c>
      <c r="K403" s="35" t="s">
        <v>21</v>
      </c>
      <c r="L403" s="35" t="s">
        <v>1599</v>
      </c>
      <c r="M403" s="36">
        <v>58854</v>
      </c>
      <c r="N403" s="52">
        <v>48484</v>
      </c>
      <c r="O403" s="38">
        <v>0.82380127094165223</v>
      </c>
      <c r="P403" s="35">
        <v>0</v>
      </c>
      <c r="Q403" s="35" t="s">
        <v>1589</v>
      </c>
      <c r="R403" s="53">
        <v>9</v>
      </c>
      <c r="S403" s="53">
        <v>0.61</v>
      </c>
    </row>
    <row r="404" spans="1:19" x14ac:dyDescent="0.3">
      <c r="A404" s="35" t="s">
        <v>1586</v>
      </c>
      <c r="B404" s="35" t="s">
        <v>14</v>
      </c>
      <c r="C404" s="35" t="s">
        <v>1950</v>
      </c>
      <c r="D404" s="35">
        <v>0</v>
      </c>
      <c r="E404" s="39" t="s">
        <v>1950</v>
      </c>
      <c r="F404" s="37">
        <v>0</v>
      </c>
      <c r="G404" s="35" t="s">
        <v>1950</v>
      </c>
      <c r="H404" s="37">
        <v>0</v>
      </c>
      <c r="I404" s="37" t="s">
        <v>1950</v>
      </c>
      <c r="J404" s="35">
        <v>1994</v>
      </c>
      <c r="K404" s="35" t="s">
        <v>21</v>
      </c>
      <c r="L404" s="35" t="s">
        <v>1599</v>
      </c>
      <c r="M404" s="36">
        <v>48792</v>
      </c>
      <c r="N404" s="52">
        <v>37672</v>
      </c>
      <c r="O404" s="38">
        <v>0.77209378586653554</v>
      </c>
      <c r="P404" s="35">
        <v>0</v>
      </c>
      <c r="Q404" s="35" t="s">
        <v>1589</v>
      </c>
      <c r="R404" s="53">
        <v>9</v>
      </c>
      <c r="S404" s="53">
        <v>0.61</v>
      </c>
    </row>
    <row r="405" spans="1:19" x14ac:dyDescent="0.3">
      <c r="A405" s="35" t="s">
        <v>1586</v>
      </c>
      <c r="B405" s="35" t="s">
        <v>14</v>
      </c>
      <c r="C405" s="35" t="s">
        <v>1950</v>
      </c>
      <c r="D405" s="35">
        <v>0</v>
      </c>
      <c r="E405" s="39" t="s">
        <v>1950</v>
      </c>
      <c r="F405" s="37">
        <v>0</v>
      </c>
      <c r="G405" s="35" t="s">
        <v>1950</v>
      </c>
      <c r="H405" s="37">
        <v>0</v>
      </c>
      <c r="I405" s="37" t="s">
        <v>1950</v>
      </c>
      <c r="J405" s="35">
        <v>2003</v>
      </c>
      <c r="K405" s="35" t="s">
        <v>1950</v>
      </c>
      <c r="L405" s="35" t="s">
        <v>1950</v>
      </c>
      <c r="M405" s="36">
        <v>16180</v>
      </c>
      <c r="N405" s="52">
        <v>13980</v>
      </c>
      <c r="O405" s="38">
        <v>0.8640296662546354</v>
      </c>
      <c r="P405" s="35">
        <v>0</v>
      </c>
      <c r="Q405" s="35" t="s">
        <v>1589</v>
      </c>
      <c r="R405" s="53">
        <v>1</v>
      </c>
      <c r="S405" s="53">
        <v>0</v>
      </c>
    </row>
    <row r="406" spans="1:19" x14ac:dyDescent="0.3">
      <c r="A406" s="35" t="s">
        <v>1586</v>
      </c>
      <c r="B406" s="35" t="s">
        <v>14</v>
      </c>
      <c r="C406" s="35" t="s">
        <v>1950</v>
      </c>
      <c r="D406" s="35">
        <v>0</v>
      </c>
      <c r="E406" s="39" t="s">
        <v>1950</v>
      </c>
      <c r="F406" s="37">
        <v>0</v>
      </c>
      <c r="G406" s="35" t="s">
        <v>1950</v>
      </c>
      <c r="H406" s="37">
        <v>0</v>
      </c>
      <c r="I406" s="37" t="s">
        <v>1950</v>
      </c>
      <c r="J406" s="35">
        <v>1986</v>
      </c>
      <c r="K406" s="35" t="s">
        <v>1950</v>
      </c>
      <c r="L406" s="35" t="s">
        <v>1950</v>
      </c>
      <c r="M406" s="36">
        <v>4316.07</v>
      </c>
      <c r="N406" s="52">
        <v>44615</v>
      </c>
      <c r="O406" s="38">
        <v>10.336950049466298</v>
      </c>
      <c r="P406" s="35">
        <v>0</v>
      </c>
      <c r="Q406" s="35" t="s">
        <v>1589</v>
      </c>
      <c r="R406" s="53">
        <v>16</v>
      </c>
      <c r="S406" s="53">
        <v>-3.32</v>
      </c>
    </row>
    <row r="407" spans="1:19" x14ac:dyDescent="0.3">
      <c r="A407" s="35" t="s">
        <v>1586</v>
      </c>
      <c r="B407" s="35" t="s">
        <v>14</v>
      </c>
      <c r="C407" s="35" t="s">
        <v>1950</v>
      </c>
      <c r="D407" s="35">
        <v>0</v>
      </c>
      <c r="E407" s="39" t="s">
        <v>1950</v>
      </c>
      <c r="F407" s="37">
        <v>0</v>
      </c>
      <c r="G407" s="35" t="s">
        <v>1950</v>
      </c>
      <c r="H407" s="37">
        <v>0</v>
      </c>
      <c r="I407" s="37" t="s">
        <v>1950</v>
      </c>
      <c r="J407" s="35">
        <v>1998</v>
      </c>
      <c r="K407" s="35" t="s">
        <v>25</v>
      </c>
      <c r="L407" s="35" t="s">
        <v>1601</v>
      </c>
      <c r="M407" s="36">
        <v>73019</v>
      </c>
      <c r="N407" s="52">
        <v>62802</v>
      </c>
      <c r="O407" s="38">
        <v>0.86007751407167998</v>
      </c>
      <c r="P407" s="35">
        <v>0</v>
      </c>
      <c r="Q407" s="35" t="s">
        <v>1821</v>
      </c>
      <c r="R407" s="53">
        <v>0</v>
      </c>
      <c r="S407" s="53">
        <v>0.67</v>
      </c>
    </row>
    <row r="408" spans="1:19" x14ac:dyDescent="0.3">
      <c r="A408" s="35" t="s">
        <v>1586</v>
      </c>
      <c r="B408" s="35" t="s">
        <v>14</v>
      </c>
      <c r="C408" s="35" t="s">
        <v>1950</v>
      </c>
      <c r="D408" s="35">
        <v>0</v>
      </c>
      <c r="E408" s="39" t="s">
        <v>1950</v>
      </c>
      <c r="F408" s="37">
        <v>0</v>
      </c>
      <c r="G408" s="35" t="s">
        <v>1950</v>
      </c>
      <c r="H408" s="37">
        <v>0</v>
      </c>
      <c r="I408" s="37" t="s">
        <v>1950</v>
      </c>
      <c r="J408" s="35">
        <v>1994</v>
      </c>
      <c r="K408" s="35" t="s">
        <v>21</v>
      </c>
      <c r="L408" s="35" t="s">
        <v>1818</v>
      </c>
      <c r="M408" s="36">
        <v>8394</v>
      </c>
      <c r="N408" s="52">
        <v>10962</v>
      </c>
      <c r="O408" s="38">
        <v>1.3059328091493925</v>
      </c>
      <c r="P408" s="35">
        <v>0</v>
      </c>
      <c r="Q408" s="35" t="s">
        <v>1589</v>
      </c>
      <c r="R408" s="53">
        <v>9</v>
      </c>
      <c r="S408" s="53">
        <v>0.6</v>
      </c>
    </row>
    <row r="409" spans="1:19" x14ac:dyDescent="0.3">
      <c r="A409" s="35" t="s">
        <v>1586</v>
      </c>
      <c r="B409" s="35" t="s">
        <v>14</v>
      </c>
      <c r="C409" s="35" t="s">
        <v>1950</v>
      </c>
      <c r="D409" s="35">
        <v>0</v>
      </c>
      <c r="E409" s="39" t="s">
        <v>1950</v>
      </c>
      <c r="F409" s="37">
        <v>0</v>
      </c>
      <c r="G409" s="35" t="s">
        <v>1950</v>
      </c>
      <c r="H409" s="37">
        <v>0</v>
      </c>
      <c r="I409" s="37" t="s">
        <v>1950</v>
      </c>
      <c r="J409" s="35">
        <v>1988</v>
      </c>
      <c r="K409" s="35" t="s">
        <v>47</v>
      </c>
      <c r="L409" s="35" t="s">
        <v>1818</v>
      </c>
      <c r="M409" s="36">
        <v>15192</v>
      </c>
      <c r="N409" s="52">
        <v>14693</v>
      </c>
      <c r="O409" s="38">
        <v>0.96715376513954709</v>
      </c>
      <c r="P409" s="35">
        <v>0</v>
      </c>
      <c r="Q409" s="35" t="s">
        <v>1589</v>
      </c>
      <c r="R409" s="53">
        <v>8</v>
      </c>
      <c r="S409" s="53">
        <v>0.59</v>
      </c>
    </row>
    <row r="410" spans="1:19" x14ac:dyDescent="0.3">
      <c r="A410" s="35" t="s">
        <v>1586</v>
      </c>
      <c r="B410" s="35" t="s">
        <v>14</v>
      </c>
      <c r="C410" s="35" t="s">
        <v>1950</v>
      </c>
      <c r="D410" s="35">
        <v>0</v>
      </c>
      <c r="E410" s="39" t="s">
        <v>1950</v>
      </c>
      <c r="F410" s="37">
        <v>0</v>
      </c>
      <c r="G410" s="35" t="s">
        <v>1950</v>
      </c>
      <c r="H410" s="37">
        <v>0</v>
      </c>
      <c r="I410" s="37" t="s">
        <v>1950</v>
      </c>
      <c r="J410" s="35">
        <v>2009</v>
      </c>
      <c r="K410" s="35" t="s">
        <v>21</v>
      </c>
      <c r="L410" s="35" t="s">
        <v>1818</v>
      </c>
      <c r="M410" s="36">
        <v>12110</v>
      </c>
      <c r="N410" s="52">
        <v>10380</v>
      </c>
      <c r="O410" s="38">
        <v>0.8571428571428571</v>
      </c>
      <c r="P410" s="35">
        <v>0</v>
      </c>
      <c r="Q410" s="35" t="s">
        <v>1589</v>
      </c>
      <c r="R410" s="53">
        <v>8</v>
      </c>
      <c r="S410" s="53">
        <v>0.63</v>
      </c>
    </row>
    <row r="411" spans="1:19" x14ac:dyDescent="0.3">
      <c r="A411" s="35" t="s">
        <v>1586</v>
      </c>
      <c r="B411" s="35" t="s">
        <v>14</v>
      </c>
      <c r="C411" s="35" t="s">
        <v>1950</v>
      </c>
      <c r="D411" s="35">
        <v>0</v>
      </c>
      <c r="E411" s="39" t="s">
        <v>1950</v>
      </c>
      <c r="F411" s="37">
        <v>0</v>
      </c>
      <c r="G411" s="35" t="s">
        <v>1950</v>
      </c>
      <c r="H411" s="37">
        <v>0</v>
      </c>
      <c r="I411" s="37" t="s">
        <v>1950</v>
      </c>
      <c r="J411" s="35">
        <v>2006</v>
      </c>
      <c r="K411" s="35" t="s">
        <v>1950</v>
      </c>
      <c r="L411" s="35" t="s">
        <v>1950</v>
      </c>
      <c r="M411" s="36">
        <v>22604</v>
      </c>
      <c r="N411" s="52">
        <v>20000</v>
      </c>
      <c r="O411" s="38">
        <v>0.88479915059281544</v>
      </c>
      <c r="P411" s="35">
        <v>0</v>
      </c>
      <c r="Q411" s="35" t="s">
        <v>1821</v>
      </c>
      <c r="R411" s="53">
        <v>0</v>
      </c>
      <c r="S411" s="53">
        <v>0</v>
      </c>
    </row>
    <row r="412" spans="1:19" x14ac:dyDescent="0.3">
      <c r="A412" s="35" t="s">
        <v>1586</v>
      </c>
      <c r="B412" s="35" t="s">
        <v>14</v>
      </c>
      <c r="C412" s="35" t="s">
        <v>1950</v>
      </c>
      <c r="D412" s="35">
        <v>0</v>
      </c>
      <c r="E412" s="39" t="s">
        <v>1950</v>
      </c>
      <c r="F412" s="37">
        <v>0</v>
      </c>
      <c r="G412" s="35" t="s">
        <v>1950</v>
      </c>
      <c r="H412" s="37">
        <v>0</v>
      </c>
      <c r="I412" s="37" t="s">
        <v>1950</v>
      </c>
      <c r="J412" s="35">
        <v>2013</v>
      </c>
      <c r="K412" s="35" t="s">
        <v>21</v>
      </c>
      <c r="L412" s="35" t="s">
        <v>1600</v>
      </c>
      <c r="M412" s="36">
        <v>23379</v>
      </c>
      <c r="N412" s="52">
        <v>14451</v>
      </c>
      <c r="O412" s="38">
        <v>0.61811882458616707</v>
      </c>
      <c r="P412" s="35">
        <v>0</v>
      </c>
      <c r="Q412" s="35" t="s">
        <v>1589</v>
      </c>
      <c r="R412" s="53">
        <v>10</v>
      </c>
      <c r="S412" s="53">
        <v>0.65</v>
      </c>
    </row>
    <row r="413" spans="1:19" x14ac:dyDescent="0.3">
      <c r="A413" s="35" t="s">
        <v>1586</v>
      </c>
      <c r="B413" s="35" t="s">
        <v>14</v>
      </c>
      <c r="C413" s="35" t="s">
        <v>1950</v>
      </c>
      <c r="D413" s="35">
        <v>0</v>
      </c>
      <c r="E413" s="39" t="s">
        <v>1950</v>
      </c>
      <c r="F413" s="37">
        <v>0</v>
      </c>
      <c r="G413" s="35" t="s">
        <v>1950</v>
      </c>
      <c r="H413" s="37">
        <v>0</v>
      </c>
      <c r="I413" s="37" t="s">
        <v>1950</v>
      </c>
      <c r="J413" s="35">
        <v>2015</v>
      </c>
      <c r="K413" s="35" t="s">
        <v>19</v>
      </c>
      <c r="L413" s="35" t="s">
        <v>1603</v>
      </c>
      <c r="M413" s="36">
        <v>71830.399999999994</v>
      </c>
      <c r="N413" s="52">
        <v>67523</v>
      </c>
      <c r="O413" s="38">
        <v>0.94003374615761581</v>
      </c>
      <c r="P413" s="35">
        <v>0</v>
      </c>
      <c r="Q413" s="35" t="s">
        <v>1589</v>
      </c>
      <c r="R413" s="53">
        <v>7</v>
      </c>
      <c r="S413" s="53">
        <v>0.85</v>
      </c>
    </row>
    <row r="414" spans="1:19" x14ac:dyDescent="0.3">
      <c r="A414" s="35" t="s">
        <v>1586</v>
      </c>
      <c r="B414" s="35" t="s">
        <v>14</v>
      </c>
      <c r="C414" s="35" t="s">
        <v>1950</v>
      </c>
      <c r="D414" s="35">
        <v>0</v>
      </c>
      <c r="E414" s="39" t="s">
        <v>1950</v>
      </c>
      <c r="F414" s="37">
        <v>0</v>
      </c>
      <c r="G414" s="35" t="s">
        <v>1950</v>
      </c>
      <c r="H414" s="37">
        <v>0</v>
      </c>
      <c r="I414" s="37" t="s">
        <v>1950</v>
      </c>
      <c r="J414" s="35">
        <v>1970</v>
      </c>
      <c r="K414" s="35" t="s">
        <v>19</v>
      </c>
      <c r="L414" s="35" t="s">
        <v>1599</v>
      </c>
      <c r="M414" s="36">
        <v>28366</v>
      </c>
      <c r="N414" s="52">
        <v>4695</v>
      </c>
      <c r="O414" s="38">
        <v>0.16551505323274343</v>
      </c>
      <c r="P414" s="35">
        <v>0</v>
      </c>
      <c r="Q414" s="35" t="s">
        <v>1589</v>
      </c>
      <c r="R414" s="53">
        <v>2</v>
      </c>
      <c r="S414" s="53">
        <v>0.57999999999999996</v>
      </c>
    </row>
    <row r="415" spans="1:19" x14ac:dyDescent="0.3">
      <c r="A415" s="35" t="s">
        <v>1586</v>
      </c>
      <c r="B415" s="35" t="s">
        <v>14</v>
      </c>
      <c r="C415" s="35" t="s">
        <v>1950</v>
      </c>
      <c r="D415" s="35">
        <v>0</v>
      </c>
      <c r="E415" s="39" t="s">
        <v>1950</v>
      </c>
      <c r="F415" s="37">
        <v>0</v>
      </c>
      <c r="G415" s="35" t="s">
        <v>1950</v>
      </c>
      <c r="H415" s="37">
        <v>0</v>
      </c>
      <c r="I415" s="37" t="s">
        <v>1950</v>
      </c>
      <c r="J415" s="35">
        <v>1983</v>
      </c>
      <c r="K415" s="35" t="s">
        <v>19</v>
      </c>
      <c r="L415" s="35" t="s">
        <v>1599</v>
      </c>
      <c r="M415" s="36">
        <v>12176</v>
      </c>
      <c r="N415" s="52">
        <v>5383</v>
      </c>
      <c r="O415" s="38">
        <v>0.44209921156373194</v>
      </c>
      <c r="P415" s="35">
        <v>0</v>
      </c>
      <c r="Q415" s="35" t="s">
        <v>28</v>
      </c>
      <c r="R415" s="53">
        <v>0</v>
      </c>
      <c r="S415" s="53">
        <v>0.57999999999999996</v>
      </c>
    </row>
    <row r="416" spans="1:19" x14ac:dyDescent="0.3">
      <c r="A416" s="35" t="s">
        <v>1586</v>
      </c>
      <c r="B416" s="35" t="s">
        <v>14</v>
      </c>
      <c r="C416" s="35" t="s">
        <v>1950</v>
      </c>
      <c r="D416" s="35">
        <v>0</v>
      </c>
      <c r="E416" s="39" t="s">
        <v>1950</v>
      </c>
      <c r="F416" s="37">
        <v>0</v>
      </c>
      <c r="G416" s="35" t="s">
        <v>1950</v>
      </c>
      <c r="H416" s="37">
        <v>0</v>
      </c>
      <c r="I416" s="37" t="s">
        <v>1950</v>
      </c>
      <c r="J416" s="35">
        <v>2008</v>
      </c>
      <c r="K416" s="35" t="s">
        <v>1950</v>
      </c>
      <c r="L416" s="35" t="s">
        <v>1950</v>
      </c>
      <c r="M416" s="36">
        <v>31412</v>
      </c>
      <c r="N416" s="52">
        <v>29843</v>
      </c>
      <c r="O416" s="38">
        <v>0.95005093594804535</v>
      </c>
      <c r="P416" s="35">
        <v>0</v>
      </c>
      <c r="Q416" s="35" t="s">
        <v>1589</v>
      </c>
      <c r="R416" s="53">
        <v>13</v>
      </c>
      <c r="S416" s="53">
        <v>0</v>
      </c>
    </row>
    <row r="417" spans="1:19" x14ac:dyDescent="0.3">
      <c r="A417" s="35" t="s">
        <v>1586</v>
      </c>
      <c r="B417" s="35" t="s">
        <v>14</v>
      </c>
      <c r="C417" s="35" t="s">
        <v>1950</v>
      </c>
      <c r="D417" s="35">
        <v>0</v>
      </c>
      <c r="E417" s="39" t="s">
        <v>1950</v>
      </c>
      <c r="F417" s="37">
        <v>0</v>
      </c>
      <c r="G417" s="35" t="s">
        <v>1950</v>
      </c>
      <c r="H417" s="37">
        <v>0</v>
      </c>
      <c r="I417" s="37" t="s">
        <v>1950</v>
      </c>
      <c r="J417" s="35">
        <v>2008</v>
      </c>
      <c r="K417" s="35" t="s">
        <v>1950</v>
      </c>
      <c r="L417" s="35" t="s">
        <v>1950</v>
      </c>
      <c r="M417" s="36">
        <v>4292</v>
      </c>
      <c r="N417" s="52">
        <v>3523</v>
      </c>
      <c r="O417" s="38">
        <v>0.82082945013979491</v>
      </c>
      <c r="P417" s="35">
        <v>0</v>
      </c>
      <c r="Q417" s="35" t="s">
        <v>28</v>
      </c>
      <c r="R417" s="53">
        <v>0</v>
      </c>
      <c r="S417" s="53">
        <v>0</v>
      </c>
    </row>
    <row r="418" spans="1:19" x14ac:dyDescent="0.3">
      <c r="A418" s="35" t="s">
        <v>1586</v>
      </c>
      <c r="B418" s="35" t="s">
        <v>14</v>
      </c>
      <c r="C418" s="35" t="s">
        <v>1950</v>
      </c>
      <c r="D418" s="35">
        <v>0</v>
      </c>
      <c r="E418" s="39" t="s">
        <v>1950</v>
      </c>
      <c r="F418" s="37">
        <v>0</v>
      </c>
      <c r="G418" s="35" t="s">
        <v>1950</v>
      </c>
      <c r="H418" s="37">
        <v>0</v>
      </c>
      <c r="I418" s="37" t="s">
        <v>1950</v>
      </c>
      <c r="J418" s="35">
        <v>1986</v>
      </c>
      <c r="K418" s="35" t="s">
        <v>1950</v>
      </c>
      <c r="L418" s="35" t="s">
        <v>1950</v>
      </c>
      <c r="M418" s="36">
        <v>44934</v>
      </c>
      <c r="N418" s="52">
        <v>41000</v>
      </c>
      <c r="O418" s="38">
        <v>0.91244937018738592</v>
      </c>
      <c r="P418" s="35">
        <v>0</v>
      </c>
      <c r="Q418" s="35" t="s">
        <v>1589</v>
      </c>
      <c r="R418" s="53">
        <v>15</v>
      </c>
      <c r="S418" s="53">
        <v>0.75</v>
      </c>
    </row>
    <row r="419" spans="1:19" x14ac:dyDescent="0.3">
      <c r="A419" s="35" t="s">
        <v>1586</v>
      </c>
      <c r="B419" s="35" t="s">
        <v>14</v>
      </c>
      <c r="C419" s="35" t="s">
        <v>1950</v>
      </c>
      <c r="D419" s="35">
        <v>0</v>
      </c>
      <c r="E419" s="39" t="s">
        <v>1950</v>
      </c>
      <c r="F419" s="37">
        <v>0</v>
      </c>
      <c r="G419" s="35" t="s">
        <v>1950</v>
      </c>
      <c r="H419" s="37">
        <v>0</v>
      </c>
      <c r="I419" s="37" t="s">
        <v>1950</v>
      </c>
      <c r="J419" s="35">
        <v>2008</v>
      </c>
      <c r="K419" s="35" t="s">
        <v>1950</v>
      </c>
      <c r="L419" s="35" t="s">
        <v>1950</v>
      </c>
      <c r="M419" s="36">
        <v>1</v>
      </c>
      <c r="N419" s="52">
        <v>1</v>
      </c>
      <c r="O419" s="38">
        <v>1</v>
      </c>
      <c r="P419" s="35">
        <v>0</v>
      </c>
      <c r="Q419" s="35" t="s">
        <v>1821</v>
      </c>
      <c r="R419" s="53">
        <v>0</v>
      </c>
      <c r="S419" s="53">
        <v>0</v>
      </c>
    </row>
    <row r="420" spans="1:19" x14ac:dyDescent="0.3">
      <c r="A420" s="35" t="s">
        <v>1586</v>
      </c>
      <c r="B420" s="35" t="s">
        <v>29</v>
      </c>
      <c r="C420" s="35" t="s">
        <v>1950</v>
      </c>
      <c r="D420" s="37">
        <v>509.62366294271453</v>
      </c>
      <c r="E420" s="39" t="s">
        <v>1950</v>
      </c>
      <c r="F420" s="37">
        <v>527.93962443546468</v>
      </c>
      <c r="G420" s="35" t="s">
        <v>1950</v>
      </c>
      <c r="H420" s="37">
        <v>603.4870454005229</v>
      </c>
      <c r="I420" s="37" t="s">
        <v>1950</v>
      </c>
      <c r="J420" s="35">
        <v>2015</v>
      </c>
      <c r="K420" s="35" t="s">
        <v>1950</v>
      </c>
      <c r="L420" s="35" t="s">
        <v>1950</v>
      </c>
      <c r="M420" s="36">
        <v>12621</v>
      </c>
      <c r="N420" s="52">
        <v>12210</v>
      </c>
      <c r="O420" s="38">
        <v>0.96743522700261464</v>
      </c>
      <c r="P420" s="35">
        <v>157</v>
      </c>
      <c r="Q420" s="35" t="s">
        <v>1821</v>
      </c>
      <c r="R420" s="53">
        <v>0</v>
      </c>
      <c r="S420" s="53">
        <v>0</v>
      </c>
    </row>
    <row r="421" spans="1:19" x14ac:dyDescent="0.3">
      <c r="A421" s="35" t="s">
        <v>1586</v>
      </c>
      <c r="B421" s="35" t="s">
        <v>29</v>
      </c>
      <c r="C421" s="35" t="s">
        <v>1950</v>
      </c>
      <c r="D421" s="37">
        <v>523.02237500000001</v>
      </c>
      <c r="E421" s="35" t="s">
        <v>2654</v>
      </c>
      <c r="F421" s="37">
        <v>575.52592968750002</v>
      </c>
      <c r="G421" s="35" t="s">
        <v>2654</v>
      </c>
      <c r="H421" s="37">
        <v>529.61853125000005</v>
      </c>
      <c r="I421" s="37" t="s">
        <v>2654</v>
      </c>
      <c r="J421" s="35">
        <v>2009</v>
      </c>
      <c r="K421" s="35" t="s">
        <v>1950</v>
      </c>
      <c r="L421" s="35" t="s">
        <v>1950</v>
      </c>
      <c r="M421" s="36">
        <v>6400</v>
      </c>
      <c r="N421" s="52">
        <v>6310</v>
      </c>
      <c r="O421" s="38">
        <v>0.98593750000000002</v>
      </c>
      <c r="P421" s="35">
        <v>366</v>
      </c>
      <c r="Q421" s="35" t="s">
        <v>28</v>
      </c>
      <c r="R421" s="53">
        <v>0</v>
      </c>
      <c r="S421" s="53">
        <v>0</v>
      </c>
    </row>
    <row r="422" spans="1:19" x14ac:dyDescent="0.3">
      <c r="A422" s="35" t="s">
        <v>1586</v>
      </c>
      <c r="B422" s="35" t="s">
        <v>29</v>
      </c>
      <c r="C422" s="35" t="s">
        <v>1950</v>
      </c>
      <c r="D422" s="37">
        <v>363.3336060209424</v>
      </c>
      <c r="E422" s="35" t="s">
        <v>2654</v>
      </c>
      <c r="F422" s="37">
        <v>410.12418266433974</v>
      </c>
      <c r="G422" s="35" t="s">
        <v>2654</v>
      </c>
      <c r="H422" s="37">
        <v>445.96515052356023</v>
      </c>
      <c r="I422" s="37" t="s">
        <v>2654</v>
      </c>
      <c r="J422" s="35">
        <v>1990</v>
      </c>
      <c r="K422" s="35" t="s">
        <v>1950</v>
      </c>
      <c r="L422" s="35" t="s">
        <v>1950</v>
      </c>
      <c r="M422" s="36">
        <v>13752</v>
      </c>
      <c r="N422" s="52">
        <v>12790</v>
      </c>
      <c r="O422" s="38">
        <v>0.93004653868528209</v>
      </c>
      <c r="P422" s="35">
        <v>215</v>
      </c>
      <c r="Q422" s="35" t="s">
        <v>1589</v>
      </c>
      <c r="R422" s="53">
        <v>11</v>
      </c>
      <c r="S422" s="53">
        <v>0</v>
      </c>
    </row>
    <row r="423" spans="1:19" x14ac:dyDescent="0.3">
      <c r="A423" s="35" t="s">
        <v>1586</v>
      </c>
      <c r="B423" s="35" t="s">
        <v>29</v>
      </c>
      <c r="C423" s="35" t="s">
        <v>1950</v>
      </c>
      <c r="D423" s="37">
        <v>305.92673873529128</v>
      </c>
      <c r="E423" s="39" t="s">
        <v>1950</v>
      </c>
      <c r="F423" s="37">
        <v>214.34177748014926</v>
      </c>
      <c r="G423" s="35" t="s">
        <v>1950</v>
      </c>
      <c r="H423" s="37">
        <v>431.69406868841475</v>
      </c>
      <c r="I423" s="37" t="s">
        <v>1950</v>
      </c>
      <c r="J423" s="35">
        <v>2011</v>
      </c>
      <c r="K423" s="35" t="s">
        <v>1950</v>
      </c>
      <c r="L423" s="35" t="s">
        <v>1950</v>
      </c>
      <c r="M423" s="36">
        <v>10453</v>
      </c>
      <c r="N423" s="52">
        <v>6998</v>
      </c>
      <c r="O423" s="38">
        <v>0.66947287859944515</v>
      </c>
      <c r="P423" s="35">
        <v>191</v>
      </c>
      <c r="Q423" s="35" t="s">
        <v>1821</v>
      </c>
      <c r="R423" s="53">
        <v>0</v>
      </c>
      <c r="S423" s="53">
        <v>0</v>
      </c>
    </row>
    <row r="424" spans="1:19" x14ac:dyDescent="0.3">
      <c r="A424" s="35" t="s">
        <v>1586</v>
      </c>
      <c r="B424" s="35" t="s">
        <v>29</v>
      </c>
      <c r="C424" s="35" t="s">
        <v>1950</v>
      </c>
      <c r="D424" s="37">
        <v>364.82681475996549</v>
      </c>
      <c r="E424" s="35" t="s">
        <v>2654</v>
      </c>
      <c r="F424" s="37">
        <v>298.75243490065407</v>
      </c>
      <c r="G424" s="35" t="s">
        <v>2654</v>
      </c>
      <c r="H424" s="37">
        <v>421.55671973343209</v>
      </c>
      <c r="I424" s="37" t="s">
        <v>2654</v>
      </c>
      <c r="J424" s="35">
        <v>2010</v>
      </c>
      <c r="K424" s="35" t="s">
        <v>25</v>
      </c>
      <c r="L424" s="35" t="s">
        <v>1601</v>
      </c>
      <c r="M424" s="36">
        <v>8103</v>
      </c>
      <c r="N424" s="52">
        <v>8103</v>
      </c>
      <c r="O424" s="38">
        <v>1</v>
      </c>
      <c r="P424" s="35">
        <v>360</v>
      </c>
      <c r="Q424" s="35" t="s">
        <v>28</v>
      </c>
      <c r="R424" s="53">
        <v>0</v>
      </c>
      <c r="S424" s="53">
        <v>1</v>
      </c>
    </row>
    <row r="425" spans="1:19" x14ac:dyDescent="0.3">
      <c r="A425" s="35" t="s">
        <v>1586</v>
      </c>
      <c r="B425" s="35" t="s">
        <v>29</v>
      </c>
      <c r="C425" s="35" t="s">
        <v>1950</v>
      </c>
      <c r="D425" s="37">
        <v>340.02834250064598</v>
      </c>
      <c r="E425" s="35" t="s">
        <v>2654</v>
      </c>
      <c r="F425" s="37">
        <v>358.50493595186242</v>
      </c>
      <c r="G425" s="35" t="s">
        <v>2654</v>
      </c>
      <c r="H425" s="37">
        <v>406.1484399571782</v>
      </c>
      <c r="I425" s="37" t="s">
        <v>2654</v>
      </c>
      <c r="J425" s="35">
        <v>2006</v>
      </c>
      <c r="K425" s="35" t="s">
        <v>21</v>
      </c>
      <c r="L425" s="35" t="s">
        <v>1606</v>
      </c>
      <c r="M425" s="36">
        <v>27089</v>
      </c>
      <c r="N425" s="52">
        <v>6940</v>
      </c>
      <c r="O425" s="38">
        <v>0.25619255048174538</v>
      </c>
      <c r="P425" s="35">
        <v>298</v>
      </c>
      <c r="Q425" s="35" t="s">
        <v>1589</v>
      </c>
      <c r="R425" s="53">
        <v>16</v>
      </c>
      <c r="S425" s="53">
        <v>0.3</v>
      </c>
    </row>
    <row r="426" spans="1:19" x14ac:dyDescent="0.3">
      <c r="A426" s="35" t="s">
        <v>1586</v>
      </c>
      <c r="B426" s="35" t="s">
        <v>29</v>
      </c>
      <c r="C426" s="35" t="s">
        <v>1950</v>
      </c>
      <c r="D426" s="37">
        <v>334.49351593625499</v>
      </c>
      <c r="E426" s="35" t="s">
        <v>2654</v>
      </c>
      <c r="F426" s="37">
        <v>373.7397609561753</v>
      </c>
      <c r="G426" s="35" t="s">
        <v>2654</v>
      </c>
      <c r="H426" s="37">
        <v>386.95610557768924</v>
      </c>
      <c r="I426" s="37" t="s">
        <v>2654</v>
      </c>
      <c r="J426" s="35">
        <v>2008</v>
      </c>
      <c r="K426" s="35" t="s">
        <v>1950</v>
      </c>
      <c r="L426" s="35" t="s">
        <v>1950</v>
      </c>
      <c r="M426" s="36">
        <v>5020</v>
      </c>
      <c r="N426" s="52">
        <v>5021</v>
      </c>
      <c r="O426" s="38">
        <v>1.0001992031872511</v>
      </c>
      <c r="P426" s="35">
        <v>235</v>
      </c>
      <c r="Q426" s="35" t="s">
        <v>28</v>
      </c>
      <c r="R426" s="53">
        <v>0</v>
      </c>
      <c r="S426" s="53">
        <v>0</v>
      </c>
    </row>
    <row r="427" spans="1:19" x14ac:dyDescent="0.3">
      <c r="A427" s="35" t="s">
        <v>1586</v>
      </c>
      <c r="B427" s="35" t="s">
        <v>29</v>
      </c>
      <c r="C427" s="35" t="s">
        <v>1950</v>
      </c>
      <c r="D427" s="37">
        <v>323.81933907247986</v>
      </c>
      <c r="E427" s="35" t="s">
        <v>2654</v>
      </c>
      <c r="F427" s="37">
        <v>313.3960122188281</v>
      </c>
      <c r="G427" s="35" t="s">
        <v>2654</v>
      </c>
      <c r="H427" s="37">
        <v>385.23185041192261</v>
      </c>
      <c r="I427" s="37" t="s">
        <v>2654</v>
      </c>
      <c r="J427" s="35">
        <v>2015</v>
      </c>
      <c r="K427" s="35" t="s">
        <v>1950</v>
      </c>
      <c r="L427" s="35" t="s">
        <v>1950</v>
      </c>
      <c r="M427" s="36">
        <v>10803</v>
      </c>
      <c r="N427" s="52">
        <v>8964</v>
      </c>
      <c r="O427" s="38">
        <v>0.82976950846986952</v>
      </c>
      <c r="P427" s="35">
        <v>328</v>
      </c>
      <c r="Q427" s="35" t="s">
        <v>28</v>
      </c>
      <c r="R427" s="53">
        <v>0</v>
      </c>
      <c r="S427" s="53">
        <v>0</v>
      </c>
    </row>
    <row r="428" spans="1:19" x14ac:dyDescent="0.3">
      <c r="A428" s="35" t="s">
        <v>1586</v>
      </c>
      <c r="B428" s="35" t="s">
        <v>29</v>
      </c>
      <c r="C428" s="35" t="s">
        <v>1950</v>
      </c>
      <c r="D428" s="37">
        <v>377.75658078969474</v>
      </c>
      <c r="E428" s="35" t="s">
        <v>2654</v>
      </c>
      <c r="F428" s="37">
        <v>363.16985788294596</v>
      </c>
      <c r="G428" s="35" t="s">
        <v>2654</v>
      </c>
      <c r="H428" s="37">
        <v>380.74760221226546</v>
      </c>
      <c r="I428" s="37" t="s">
        <v>2654</v>
      </c>
      <c r="J428" s="35">
        <v>2017</v>
      </c>
      <c r="K428" s="35" t="s">
        <v>1950</v>
      </c>
      <c r="L428" s="35" t="s">
        <v>1950</v>
      </c>
      <c r="M428" s="36">
        <v>14284</v>
      </c>
      <c r="N428" s="52">
        <v>12367</v>
      </c>
      <c r="O428" s="38">
        <v>0.86579389526743211</v>
      </c>
      <c r="P428" s="35">
        <v>225</v>
      </c>
      <c r="Q428" s="35" t="s">
        <v>1589</v>
      </c>
      <c r="R428" s="53">
        <v>7</v>
      </c>
      <c r="S428" s="53">
        <v>0.68200000000000005</v>
      </c>
    </row>
    <row r="429" spans="1:19" x14ac:dyDescent="0.3">
      <c r="A429" s="35" t="s">
        <v>1586</v>
      </c>
      <c r="B429" s="35" t="s">
        <v>29</v>
      </c>
      <c r="C429" s="35" t="s">
        <v>1950</v>
      </c>
      <c r="D429" s="37">
        <v>335.26718487394959</v>
      </c>
      <c r="E429" s="35" t="s">
        <v>2654</v>
      </c>
      <c r="F429" s="37">
        <v>348.08420168067227</v>
      </c>
      <c r="G429" s="35" t="s">
        <v>2654</v>
      </c>
      <c r="H429" s="37">
        <v>369.72537815126049</v>
      </c>
      <c r="I429" s="37" t="s">
        <v>2654</v>
      </c>
      <c r="J429" s="35">
        <v>2012</v>
      </c>
      <c r="K429" s="35" t="s">
        <v>1950</v>
      </c>
      <c r="L429" s="35" t="s">
        <v>1950</v>
      </c>
      <c r="M429" s="36">
        <v>23800</v>
      </c>
      <c r="N429" s="52">
        <v>13296</v>
      </c>
      <c r="O429" s="38">
        <v>0.55865546218487394</v>
      </c>
      <c r="P429" s="35">
        <v>240</v>
      </c>
      <c r="Q429" s="35" t="s">
        <v>1589</v>
      </c>
      <c r="R429" s="53">
        <v>10</v>
      </c>
      <c r="S429" s="53">
        <v>0</v>
      </c>
    </row>
    <row r="430" spans="1:19" x14ac:dyDescent="0.3">
      <c r="A430" s="35" t="s">
        <v>1586</v>
      </c>
      <c r="B430" s="35" t="s">
        <v>29</v>
      </c>
      <c r="C430" s="35" t="s">
        <v>1950</v>
      </c>
      <c r="D430" s="37">
        <v>323.80303887631476</v>
      </c>
      <c r="E430" s="35" t="s">
        <v>2654</v>
      </c>
      <c r="F430" s="37">
        <v>315.73921581680202</v>
      </c>
      <c r="G430" s="35" t="s">
        <v>2654</v>
      </c>
      <c r="H430" s="37">
        <v>364.58609905471974</v>
      </c>
      <c r="I430" s="37" t="s">
        <v>2654</v>
      </c>
      <c r="J430" s="35">
        <v>2017</v>
      </c>
      <c r="K430" s="35" t="s">
        <v>1950</v>
      </c>
      <c r="L430" s="35" t="s">
        <v>1950</v>
      </c>
      <c r="M430" s="36">
        <v>15022</v>
      </c>
      <c r="N430" s="52">
        <v>12568</v>
      </c>
      <c r="O430" s="38">
        <v>0.83663959526028486</v>
      </c>
      <c r="P430" s="35">
        <v>537</v>
      </c>
      <c r="Q430" s="35" t="s">
        <v>1590</v>
      </c>
      <c r="R430" s="53">
        <v>0</v>
      </c>
      <c r="S430" s="53">
        <v>1.55</v>
      </c>
    </row>
    <row r="431" spans="1:19" x14ac:dyDescent="0.3">
      <c r="A431" s="35" t="s">
        <v>1586</v>
      </c>
      <c r="B431" s="35" t="s">
        <v>29</v>
      </c>
      <c r="C431" s="35" t="s">
        <v>1950</v>
      </c>
      <c r="D431" s="37">
        <v>289.22777038585821</v>
      </c>
      <c r="E431" s="35" t="s">
        <v>2654</v>
      </c>
      <c r="F431" s="37">
        <v>323.32874928720776</v>
      </c>
      <c r="G431" s="35" t="s">
        <v>2654</v>
      </c>
      <c r="H431" s="37">
        <v>348.91471203193311</v>
      </c>
      <c r="I431" s="37" t="s">
        <v>2654</v>
      </c>
      <c r="J431" s="35">
        <v>2013</v>
      </c>
      <c r="K431" s="35" t="s">
        <v>21</v>
      </c>
      <c r="L431" s="35" t="s">
        <v>1600</v>
      </c>
      <c r="M431" s="36">
        <v>5261</v>
      </c>
      <c r="N431" s="52">
        <v>5000</v>
      </c>
      <c r="O431" s="38">
        <v>0.95038965976050183</v>
      </c>
      <c r="P431" s="35">
        <v>273</v>
      </c>
      <c r="Q431" s="35" t="s">
        <v>1590</v>
      </c>
      <c r="R431" s="53">
        <v>0</v>
      </c>
      <c r="S431" s="53">
        <v>0</v>
      </c>
    </row>
    <row r="432" spans="1:19" x14ac:dyDescent="0.3">
      <c r="A432" s="35" t="s">
        <v>1586</v>
      </c>
      <c r="B432" s="35" t="s">
        <v>29</v>
      </c>
      <c r="C432" s="35" t="s">
        <v>1950</v>
      </c>
      <c r="D432" s="37">
        <v>330.75861160855368</v>
      </c>
      <c r="E432" s="35" t="s">
        <v>2654</v>
      </c>
      <c r="F432" s="37">
        <v>311.46460549878856</v>
      </c>
      <c r="G432" s="35" t="s">
        <v>2654</v>
      </c>
      <c r="H432" s="37">
        <v>346.72111029179393</v>
      </c>
      <c r="I432" s="37" t="s">
        <v>2654</v>
      </c>
      <c r="J432" s="35">
        <v>2011</v>
      </c>
      <c r="K432" s="35" t="s">
        <v>21</v>
      </c>
      <c r="L432" s="35" t="s">
        <v>1603</v>
      </c>
      <c r="M432" s="36">
        <v>18986</v>
      </c>
      <c r="N432" s="52">
        <v>18000</v>
      </c>
      <c r="O432" s="38">
        <v>0.94806699673443595</v>
      </c>
      <c r="P432" s="35">
        <v>888</v>
      </c>
      <c r="Q432" s="35" t="s">
        <v>1589</v>
      </c>
      <c r="R432" s="53">
        <v>11</v>
      </c>
      <c r="S432" s="53">
        <v>0.7</v>
      </c>
    </row>
    <row r="433" spans="1:19" x14ac:dyDescent="0.3">
      <c r="A433" s="35" t="s">
        <v>1586</v>
      </c>
      <c r="B433" s="35" t="s">
        <v>29</v>
      </c>
      <c r="C433" s="35" t="s">
        <v>1950</v>
      </c>
      <c r="D433" s="37">
        <v>321.82263055172086</v>
      </c>
      <c r="E433" s="35" t="s">
        <v>2654</v>
      </c>
      <c r="F433" s="37">
        <v>318.06867948778978</v>
      </c>
      <c r="G433" s="35" t="s">
        <v>2654</v>
      </c>
      <c r="H433" s="37">
        <v>344.06095587185223</v>
      </c>
      <c r="I433" s="37" t="s">
        <v>2654</v>
      </c>
      <c r="J433" s="35">
        <v>2012</v>
      </c>
      <c r="K433" s="35" t="s">
        <v>25</v>
      </c>
      <c r="L433" s="35" t="s">
        <v>1818</v>
      </c>
      <c r="M433" s="36">
        <v>14304</v>
      </c>
      <c r="N433" s="52">
        <v>13715</v>
      </c>
      <c r="O433" s="38">
        <v>0.95882270693512306</v>
      </c>
      <c r="P433" s="35">
        <v>382</v>
      </c>
      <c r="Q433" s="35" t="s">
        <v>28</v>
      </c>
      <c r="R433" s="53">
        <v>0</v>
      </c>
      <c r="S433" s="53">
        <v>0.95</v>
      </c>
    </row>
    <row r="434" spans="1:19" x14ac:dyDescent="0.3">
      <c r="A434" s="35" t="s">
        <v>1586</v>
      </c>
      <c r="B434" s="35" t="s">
        <v>29</v>
      </c>
      <c r="C434" s="35" t="s">
        <v>1950</v>
      </c>
      <c r="D434" s="37">
        <v>271.89157574761748</v>
      </c>
      <c r="E434" s="35" t="s">
        <v>2654</v>
      </c>
      <c r="F434" s="37">
        <v>323.28019224449554</v>
      </c>
      <c r="G434" s="35" t="s">
        <v>2654</v>
      </c>
      <c r="H434" s="37">
        <v>343.22393197502464</v>
      </c>
      <c r="I434" s="37" t="s">
        <v>2654</v>
      </c>
      <c r="J434" s="35">
        <v>2008</v>
      </c>
      <c r="K434" s="35" t="s">
        <v>47</v>
      </c>
      <c r="L434" s="35" t="s">
        <v>1597</v>
      </c>
      <c r="M434" s="36">
        <v>6086</v>
      </c>
      <c r="N434" s="52">
        <v>5400</v>
      </c>
      <c r="O434" s="38">
        <v>0.88728228721656255</v>
      </c>
      <c r="P434" s="35">
        <v>140</v>
      </c>
      <c r="Q434" s="35" t="s">
        <v>1787</v>
      </c>
      <c r="R434" s="53">
        <v>0</v>
      </c>
      <c r="S434" s="53">
        <v>0</v>
      </c>
    </row>
    <row r="435" spans="1:19" x14ac:dyDescent="0.3">
      <c r="A435" s="35" t="s">
        <v>1586</v>
      </c>
      <c r="B435" s="35" t="s">
        <v>29</v>
      </c>
      <c r="C435" s="35" t="s">
        <v>1950</v>
      </c>
      <c r="D435" s="37">
        <v>327.08294171220399</v>
      </c>
      <c r="E435" s="35" t="s">
        <v>2654</v>
      </c>
      <c r="F435" s="37">
        <v>312.64549180327867</v>
      </c>
      <c r="G435" s="35" t="s">
        <v>2654</v>
      </c>
      <c r="H435" s="37">
        <v>338.33960837887071</v>
      </c>
      <c r="I435" s="37" t="s">
        <v>2654</v>
      </c>
      <c r="J435" s="35">
        <v>2013</v>
      </c>
      <c r="K435" s="35" t="s">
        <v>1950</v>
      </c>
      <c r="L435" s="35" t="s">
        <v>1950</v>
      </c>
      <c r="M435" s="36">
        <v>8784</v>
      </c>
      <c r="N435" s="52">
        <v>8702</v>
      </c>
      <c r="O435" s="38">
        <v>0.99066484517304187</v>
      </c>
      <c r="P435" s="35">
        <v>306</v>
      </c>
      <c r="Q435" s="35" t="s">
        <v>28</v>
      </c>
      <c r="R435" s="53">
        <v>0</v>
      </c>
      <c r="S435" s="53">
        <v>0</v>
      </c>
    </row>
    <row r="436" spans="1:19" x14ac:dyDescent="0.3">
      <c r="A436" s="35" t="s">
        <v>1586</v>
      </c>
      <c r="B436" s="35" t="s">
        <v>29</v>
      </c>
      <c r="C436" s="35" t="s">
        <v>1950</v>
      </c>
      <c r="D436" s="37">
        <v>295.67560543414061</v>
      </c>
      <c r="E436" s="35" t="s">
        <v>2654</v>
      </c>
      <c r="F436" s="37">
        <v>313.24268556802519</v>
      </c>
      <c r="G436" s="35" t="s">
        <v>2654</v>
      </c>
      <c r="H436" s="37">
        <v>338.15073833431779</v>
      </c>
      <c r="I436" s="37" t="s">
        <v>2654</v>
      </c>
      <c r="J436" s="35">
        <v>2014</v>
      </c>
      <c r="K436" s="35" t="s">
        <v>19</v>
      </c>
      <c r="L436" s="35" t="s">
        <v>1783</v>
      </c>
      <c r="M436" s="36">
        <v>15237</v>
      </c>
      <c r="N436" s="52">
        <v>15237</v>
      </c>
      <c r="O436" s="38">
        <v>1</v>
      </c>
      <c r="P436" s="35">
        <v>386</v>
      </c>
      <c r="Q436" s="35" t="s">
        <v>1589</v>
      </c>
      <c r="R436" s="53">
        <v>10</v>
      </c>
      <c r="S436" s="53">
        <v>0.622</v>
      </c>
    </row>
    <row r="437" spans="1:19" x14ac:dyDescent="0.3">
      <c r="A437" s="35" t="s">
        <v>1586</v>
      </c>
      <c r="B437" s="35" t="s">
        <v>29</v>
      </c>
      <c r="C437" s="35" t="s">
        <v>1950</v>
      </c>
      <c r="D437" s="37">
        <v>308.29312988964301</v>
      </c>
      <c r="E437" s="35" t="s">
        <v>2654</v>
      </c>
      <c r="F437" s="37">
        <v>317.23007098077818</v>
      </c>
      <c r="G437" s="35" t="s">
        <v>2654</v>
      </c>
      <c r="H437" s="37">
        <v>329.91605305424588</v>
      </c>
      <c r="I437" s="37" t="s">
        <v>2654</v>
      </c>
      <c r="J437" s="35">
        <v>1983</v>
      </c>
      <c r="K437" s="35" t="s">
        <v>21</v>
      </c>
      <c r="L437" s="35" t="s">
        <v>1601</v>
      </c>
      <c r="M437" s="36">
        <v>19301</v>
      </c>
      <c r="N437" s="52">
        <v>11520</v>
      </c>
      <c r="O437" s="38">
        <v>0.59686026630744526</v>
      </c>
      <c r="P437" s="35">
        <v>393</v>
      </c>
      <c r="Q437" s="35" t="s">
        <v>1589</v>
      </c>
      <c r="R437" s="53">
        <v>4</v>
      </c>
      <c r="S437" s="53">
        <v>0.60299999999999998</v>
      </c>
    </row>
    <row r="438" spans="1:19" x14ac:dyDescent="0.3">
      <c r="A438" s="35" t="s">
        <v>1586</v>
      </c>
      <c r="B438" s="35" t="s">
        <v>29</v>
      </c>
      <c r="C438" s="35" t="s">
        <v>1950</v>
      </c>
      <c r="D438" s="37">
        <v>264.73595202549274</v>
      </c>
      <c r="E438" s="35" t="s">
        <v>2655</v>
      </c>
      <c r="F438" s="37">
        <v>285.47155277321258</v>
      </c>
      <c r="G438" s="35" t="s">
        <v>2654</v>
      </c>
      <c r="H438" s="37">
        <v>326.30209888469307</v>
      </c>
      <c r="I438" s="37" t="s">
        <v>2654</v>
      </c>
      <c r="J438" s="35">
        <v>1971</v>
      </c>
      <c r="K438" s="35" t="s">
        <v>25</v>
      </c>
      <c r="L438" s="35" t="s">
        <v>1818</v>
      </c>
      <c r="M438" s="36">
        <v>79709</v>
      </c>
      <c r="N438" s="52">
        <v>67101</v>
      </c>
      <c r="O438" s="38">
        <v>0.84182463711751498</v>
      </c>
      <c r="P438" s="35">
        <v>792</v>
      </c>
      <c r="Q438" s="35" t="s">
        <v>1589</v>
      </c>
      <c r="R438" s="53">
        <v>25</v>
      </c>
      <c r="S438" s="53">
        <v>0.7</v>
      </c>
    </row>
    <row r="439" spans="1:19" x14ac:dyDescent="0.3">
      <c r="A439" s="35" t="s">
        <v>1586</v>
      </c>
      <c r="B439" s="35" t="s">
        <v>29</v>
      </c>
      <c r="C439" s="35" t="s">
        <v>1950</v>
      </c>
      <c r="D439" s="37">
        <v>326.72907447686191</v>
      </c>
      <c r="E439" s="35" t="s">
        <v>2654</v>
      </c>
      <c r="F439" s="37">
        <v>303.10207755193881</v>
      </c>
      <c r="G439" s="35" t="s">
        <v>2654</v>
      </c>
      <c r="H439" s="37">
        <v>310.07947073676843</v>
      </c>
      <c r="I439" s="37" t="s">
        <v>2654</v>
      </c>
      <c r="J439" s="35">
        <v>2016</v>
      </c>
      <c r="K439" s="35" t="s">
        <v>2571</v>
      </c>
      <c r="L439" s="35" t="s">
        <v>2572</v>
      </c>
      <c r="M439" s="36">
        <v>7999.8</v>
      </c>
      <c r="N439" s="52">
        <v>7669</v>
      </c>
      <c r="O439" s="38">
        <v>0.95864896622415563</v>
      </c>
      <c r="P439" s="35">
        <v>293</v>
      </c>
      <c r="Q439" s="35" t="s">
        <v>1589</v>
      </c>
      <c r="R439" s="53">
        <v>0</v>
      </c>
      <c r="S439" s="53">
        <v>0</v>
      </c>
    </row>
    <row r="440" spans="1:19" x14ac:dyDescent="0.3">
      <c r="A440" s="35" t="s">
        <v>1586</v>
      </c>
      <c r="B440" s="35" t="s">
        <v>29</v>
      </c>
      <c r="C440" s="35" t="s">
        <v>1950</v>
      </c>
      <c r="D440" s="37">
        <v>264.79581362584281</v>
      </c>
      <c r="E440" s="35" t="s">
        <v>2655</v>
      </c>
      <c r="F440" s="37">
        <v>280.52664284995473</v>
      </c>
      <c r="G440" s="35" t="s">
        <v>2654</v>
      </c>
      <c r="H440" s="37">
        <v>308.9318707859515</v>
      </c>
      <c r="I440" s="37" t="s">
        <v>2654</v>
      </c>
      <c r="J440" s="35">
        <v>2012</v>
      </c>
      <c r="K440" s="35" t="s">
        <v>19</v>
      </c>
      <c r="L440" s="35" t="s">
        <v>1603</v>
      </c>
      <c r="M440" s="36">
        <v>29811</v>
      </c>
      <c r="N440" s="52">
        <v>22438</v>
      </c>
      <c r="O440" s="38">
        <v>0.75267518701150582</v>
      </c>
      <c r="P440" s="35">
        <v>367</v>
      </c>
      <c r="Q440" s="35" t="s">
        <v>1589</v>
      </c>
      <c r="R440" s="53">
        <v>11</v>
      </c>
      <c r="S440" s="53">
        <v>0.64600000000000002</v>
      </c>
    </row>
    <row r="441" spans="1:19" x14ac:dyDescent="0.3">
      <c r="A441" s="35" t="s">
        <v>1586</v>
      </c>
      <c r="B441" s="35" t="s">
        <v>29</v>
      </c>
      <c r="C441" s="35" t="s">
        <v>1950</v>
      </c>
      <c r="D441" s="35">
        <v>0</v>
      </c>
      <c r="E441" s="35" t="s">
        <v>2654</v>
      </c>
      <c r="F441" s="37">
        <v>0</v>
      </c>
      <c r="G441" s="35" t="s">
        <v>2654</v>
      </c>
      <c r="H441" s="37">
        <v>307.99111020073741</v>
      </c>
      <c r="I441" s="37" t="s">
        <v>2654</v>
      </c>
      <c r="J441" s="35">
        <v>2023</v>
      </c>
      <c r="K441" s="35" t="s">
        <v>1950</v>
      </c>
      <c r="L441" s="35" t="s">
        <v>1950</v>
      </c>
      <c r="M441" s="36">
        <v>7323</v>
      </c>
      <c r="N441" s="52">
        <v>7017</v>
      </c>
      <c r="O441" s="38">
        <v>0.95821384678410493</v>
      </c>
      <c r="P441" s="35">
        <v>328</v>
      </c>
      <c r="Q441" s="35" t="s">
        <v>28</v>
      </c>
      <c r="R441" s="53">
        <v>0</v>
      </c>
      <c r="S441" s="53">
        <v>0</v>
      </c>
    </row>
    <row r="442" spans="1:19" x14ac:dyDescent="0.3">
      <c r="A442" s="35" t="s">
        <v>1586</v>
      </c>
      <c r="B442" s="35" t="s">
        <v>29</v>
      </c>
      <c r="C442" s="35" t="s">
        <v>1950</v>
      </c>
      <c r="D442" s="37">
        <v>246.82689979825153</v>
      </c>
      <c r="E442" s="35" t="s">
        <v>2655</v>
      </c>
      <c r="F442" s="37">
        <v>258.58760143465594</v>
      </c>
      <c r="G442" s="35" t="s">
        <v>2655</v>
      </c>
      <c r="H442" s="37">
        <v>300.9817753866846</v>
      </c>
      <c r="I442" s="37" t="s">
        <v>2654</v>
      </c>
      <c r="J442" s="35">
        <v>2012</v>
      </c>
      <c r="K442" s="35" t="s">
        <v>21</v>
      </c>
      <c r="L442" s="35" t="s">
        <v>1601</v>
      </c>
      <c r="M442" s="36">
        <v>8922</v>
      </c>
      <c r="N442" s="52">
        <v>8922</v>
      </c>
      <c r="O442" s="38">
        <v>1</v>
      </c>
      <c r="P442" s="35">
        <v>86</v>
      </c>
      <c r="Q442" s="35" t="s">
        <v>1589</v>
      </c>
      <c r="R442" s="53">
        <v>8</v>
      </c>
      <c r="S442" s="53">
        <v>0.65</v>
      </c>
    </row>
    <row r="443" spans="1:19" x14ac:dyDescent="0.3">
      <c r="A443" s="35" t="s">
        <v>1586</v>
      </c>
      <c r="B443" s="35" t="s">
        <v>29</v>
      </c>
      <c r="C443" s="35" t="s">
        <v>1950</v>
      </c>
      <c r="D443" s="37">
        <v>254.89115747920485</v>
      </c>
      <c r="E443" s="35" t="s">
        <v>2655</v>
      </c>
      <c r="F443" s="37">
        <v>276.46253207387565</v>
      </c>
      <c r="G443" s="35" t="s">
        <v>2654</v>
      </c>
      <c r="H443" s="37">
        <v>290.9781418299732</v>
      </c>
      <c r="I443" s="37" t="s">
        <v>2654</v>
      </c>
      <c r="J443" s="35">
        <v>2016</v>
      </c>
      <c r="K443" s="35" t="s">
        <v>1950</v>
      </c>
      <c r="L443" s="35" t="s">
        <v>1950</v>
      </c>
      <c r="M443" s="36">
        <v>7093</v>
      </c>
      <c r="N443" s="52">
        <v>7093</v>
      </c>
      <c r="O443" s="38">
        <v>1</v>
      </c>
      <c r="P443" s="35">
        <v>300</v>
      </c>
      <c r="Q443" s="35" t="s">
        <v>28</v>
      </c>
      <c r="R443" s="53">
        <v>0</v>
      </c>
      <c r="S443" s="53">
        <v>0</v>
      </c>
    </row>
    <row r="444" spans="1:19" x14ac:dyDescent="0.3">
      <c r="A444" s="35" t="s">
        <v>1586</v>
      </c>
      <c r="B444" s="35" t="s">
        <v>29</v>
      </c>
      <c r="C444" s="35" t="s">
        <v>1950</v>
      </c>
      <c r="D444" s="37">
        <v>268.65041277859632</v>
      </c>
      <c r="E444" s="35" t="s">
        <v>2655</v>
      </c>
      <c r="F444" s="37">
        <v>248.94010617647746</v>
      </c>
      <c r="G444" s="35" t="s">
        <v>2655</v>
      </c>
      <c r="H444" s="37">
        <v>287.30011927313552</v>
      </c>
      <c r="I444" s="37" t="s">
        <v>2654</v>
      </c>
      <c r="J444" s="35">
        <v>1970</v>
      </c>
      <c r="K444" s="35" t="s">
        <v>25</v>
      </c>
      <c r="L444" s="35" t="s">
        <v>1597</v>
      </c>
      <c r="M444" s="36">
        <v>67268</v>
      </c>
      <c r="N444" s="52">
        <v>67169</v>
      </c>
      <c r="O444" s="38">
        <v>0.99852827495986207</v>
      </c>
      <c r="P444" s="35">
        <v>1080</v>
      </c>
      <c r="Q444" s="35" t="s">
        <v>1589</v>
      </c>
      <c r="R444" s="53">
        <v>15</v>
      </c>
      <c r="S444" s="53">
        <v>0</v>
      </c>
    </row>
    <row r="445" spans="1:19" x14ac:dyDescent="0.3">
      <c r="A445" s="35" t="s">
        <v>1586</v>
      </c>
      <c r="B445" s="35" t="s">
        <v>29</v>
      </c>
      <c r="C445" s="35" t="s">
        <v>1950</v>
      </c>
      <c r="D445" s="37">
        <v>240.22021516989284</v>
      </c>
      <c r="E445" s="35" t="s">
        <v>2655</v>
      </c>
      <c r="F445" s="37">
        <v>220.7880310708648</v>
      </c>
      <c r="G445" s="35" t="s">
        <v>2655</v>
      </c>
      <c r="H445" s="37">
        <v>284.57792639361969</v>
      </c>
      <c r="I445" s="37" t="s">
        <v>2654</v>
      </c>
      <c r="J445" s="35">
        <v>2010</v>
      </c>
      <c r="K445" s="35" t="s">
        <v>1950</v>
      </c>
      <c r="L445" s="35" t="s">
        <v>1950</v>
      </c>
      <c r="M445" s="36">
        <v>7432</v>
      </c>
      <c r="N445" s="52">
        <v>6890</v>
      </c>
      <c r="O445" s="38">
        <v>0.92707212055974164</v>
      </c>
      <c r="P445" s="35">
        <v>202</v>
      </c>
      <c r="Q445" s="35" t="s">
        <v>28</v>
      </c>
      <c r="R445" s="53">
        <v>0</v>
      </c>
      <c r="S445" s="53">
        <v>0</v>
      </c>
    </row>
    <row r="446" spans="1:19" x14ac:dyDescent="0.3">
      <c r="A446" s="35" t="s">
        <v>1586</v>
      </c>
      <c r="B446" s="35" t="s">
        <v>29</v>
      </c>
      <c r="C446" s="35" t="s">
        <v>1950</v>
      </c>
      <c r="D446" s="37">
        <v>335.74257207699418</v>
      </c>
      <c r="E446" s="35" t="s">
        <v>2654</v>
      </c>
      <c r="F446" s="37">
        <v>313.68045557703624</v>
      </c>
      <c r="G446" s="35" t="s">
        <v>2654</v>
      </c>
      <c r="H446" s="37">
        <v>283.79880221904682</v>
      </c>
      <c r="I446" s="37" t="s">
        <v>2655</v>
      </c>
      <c r="J446" s="35">
        <v>2016</v>
      </c>
      <c r="K446" s="35" t="s">
        <v>1950</v>
      </c>
      <c r="L446" s="35" t="s">
        <v>1950</v>
      </c>
      <c r="M446" s="36">
        <v>11897</v>
      </c>
      <c r="N446" s="52">
        <v>11526</v>
      </c>
      <c r="O446" s="38">
        <v>0.96881566781541562</v>
      </c>
      <c r="P446" s="35">
        <v>395</v>
      </c>
      <c r="Q446" s="35" t="s">
        <v>28</v>
      </c>
      <c r="R446" s="53">
        <v>0</v>
      </c>
      <c r="S446" s="53">
        <v>0</v>
      </c>
    </row>
    <row r="447" spans="1:19" x14ac:dyDescent="0.3">
      <c r="A447" s="35" t="s">
        <v>1586</v>
      </c>
      <c r="B447" s="35" t="s">
        <v>29</v>
      </c>
      <c r="C447" s="35" t="s">
        <v>1950</v>
      </c>
      <c r="D447" s="37">
        <v>221.95150810089947</v>
      </c>
      <c r="E447" s="35" t="s">
        <v>2655</v>
      </c>
      <c r="F447" s="37">
        <v>242.34035127543058</v>
      </c>
      <c r="G447" s="35" t="s">
        <v>2655</v>
      </c>
      <c r="H447" s="37">
        <v>283.66479868342651</v>
      </c>
      <c r="I447" s="37" t="s">
        <v>2655</v>
      </c>
      <c r="J447" s="35">
        <v>1994</v>
      </c>
      <c r="K447" s="35" t="s">
        <v>47</v>
      </c>
      <c r="L447" s="35" t="s">
        <v>1599</v>
      </c>
      <c r="M447" s="36">
        <v>35243</v>
      </c>
      <c r="N447" s="52">
        <v>34020</v>
      </c>
      <c r="O447" s="38">
        <v>0.96529807337627327</v>
      </c>
      <c r="P447" s="35">
        <v>259</v>
      </c>
      <c r="Q447" s="35" t="s">
        <v>1589</v>
      </c>
      <c r="R447" s="53">
        <v>9</v>
      </c>
      <c r="S447" s="53">
        <v>0</v>
      </c>
    </row>
    <row r="448" spans="1:19" x14ac:dyDescent="0.3">
      <c r="A448" s="35" t="s">
        <v>1586</v>
      </c>
      <c r="B448" s="35" t="s">
        <v>29</v>
      </c>
      <c r="C448" s="35" t="s">
        <v>1950</v>
      </c>
      <c r="D448" s="37">
        <v>243.10061169485434</v>
      </c>
      <c r="E448" s="39" t="s">
        <v>1950</v>
      </c>
      <c r="F448" s="37">
        <v>260.80238840318469</v>
      </c>
      <c r="G448" s="35" t="s">
        <v>1950</v>
      </c>
      <c r="H448" s="37">
        <v>283.27218976231552</v>
      </c>
      <c r="I448" s="37" t="s">
        <v>1950</v>
      </c>
      <c r="J448" s="35">
        <v>2010</v>
      </c>
      <c r="K448" s="35" t="s">
        <v>19</v>
      </c>
      <c r="L448" s="35" t="s">
        <v>1601</v>
      </c>
      <c r="M448" s="36">
        <v>260570</v>
      </c>
      <c r="N448" s="52">
        <v>260570</v>
      </c>
      <c r="O448" s="38">
        <v>1</v>
      </c>
      <c r="P448" s="35">
        <v>2561</v>
      </c>
      <c r="Q448" s="35" t="s">
        <v>1821</v>
      </c>
      <c r="R448" s="53">
        <v>0</v>
      </c>
      <c r="S448" s="53">
        <v>0</v>
      </c>
    </row>
    <row r="449" spans="1:19" x14ac:dyDescent="0.3">
      <c r="A449" s="35" t="s">
        <v>1586</v>
      </c>
      <c r="B449" s="35" t="s">
        <v>29</v>
      </c>
      <c r="C449" s="35" t="s">
        <v>1950</v>
      </c>
      <c r="D449" s="37">
        <v>266.64503071253068</v>
      </c>
      <c r="E449" s="35" t="s">
        <v>2655</v>
      </c>
      <c r="F449" s="37">
        <v>259.63511056511055</v>
      </c>
      <c r="G449" s="35" t="s">
        <v>2655</v>
      </c>
      <c r="H449" s="37">
        <v>282.95531941031936</v>
      </c>
      <c r="I449" s="37" t="s">
        <v>2655</v>
      </c>
      <c r="J449" s="35">
        <v>2015</v>
      </c>
      <c r="K449" s="35" t="s">
        <v>1950</v>
      </c>
      <c r="L449" s="35" t="s">
        <v>1950</v>
      </c>
      <c r="M449" s="36">
        <v>8140</v>
      </c>
      <c r="N449" s="52">
        <v>7815</v>
      </c>
      <c r="O449" s="38">
        <v>0.96007371007371012</v>
      </c>
      <c r="P449" s="35">
        <v>263</v>
      </c>
      <c r="Q449" s="35" t="s">
        <v>28</v>
      </c>
      <c r="R449" s="53">
        <v>0</v>
      </c>
      <c r="S449" s="53">
        <v>0</v>
      </c>
    </row>
    <row r="450" spans="1:19" x14ac:dyDescent="0.3">
      <c r="A450" s="35" t="s">
        <v>1586</v>
      </c>
      <c r="B450" s="35" t="s">
        <v>29</v>
      </c>
      <c r="C450" s="35" t="s">
        <v>1950</v>
      </c>
      <c r="D450" s="37">
        <v>228.42455610537039</v>
      </c>
      <c r="E450" s="35" t="s">
        <v>2655</v>
      </c>
      <c r="F450" s="37">
        <v>265.29837359918497</v>
      </c>
      <c r="G450" s="35" t="s">
        <v>2655</v>
      </c>
      <c r="H450" s="37">
        <v>282.93319749672537</v>
      </c>
      <c r="I450" s="37" t="s">
        <v>2655</v>
      </c>
      <c r="J450" s="35">
        <v>2015</v>
      </c>
      <c r="K450" s="35" t="s">
        <v>1950</v>
      </c>
      <c r="L450" s="35" t="s">
        <v>1950</v>
      </c>
      <c r="M450" s="36">
        <v>13742</v>
      </c>
      <c r="N450" s="52">
        <v>12690</v>
      </c>
      <c r="O450" s="38">
        <v>0.92344636879639064</v>
      </c>
      <c r="P450" s="35">
        <v>488</v>
      </c>
      <c r="Q450" s="35" t="s">
        <v>28</v>
      </c>
      <c r="R450" s="53">
        <v>0</v>
      </c>
      <c r="S450" s="53">
        <v>0</v>
      </c>
    </row>
    <row r="451" spans="1:19" x14ac:dyDescent="0.3">
      <c r="A451" s="35" t="s">
        <v>1586</v>
      </c>
      <c r="B451" s="35" t="s">
        <v>29</v>
      </c>
      <c r="C451" s="35" t="s">
        <v>1950</v>
      </c>
      <c r="D451" s="35">
        <v>0</v>
      </c>
      <c r="E451" s="35" t="s">
        <v>2654</v>
      </c>
      <c r="F451" s="37">
        <v>0</v>
      </c>
      <c r="G451" s="35" t="s">
        <v>2654</v>
      </c>
      <c r="H451" s="37">
        <v>280.93410977859776</v>
      </c>
      <c r="I451" s="37" t="s">
        <v>2655</v>
      </c>
      <c r="J451" s="35">
        <v>2022</v>
      </c>
      <c r="K451" s="35" t="s">
        <v>1950</v>
      </c>
      <c r="L451" s="35" t="s">
        <v>1950</v>
      </c>
      <c r="M451" s="36">
        <v>43360</v>
      </c>
      <c r="N451" s="52">
        <v>17612</v>
      </c>
      <c r="O451" s="38">
        <v>0.4061808118081181</v>
      </c>
      <c r="P451" s="35">
        <v>128</v>
      </c>
      <c r="Q451" s="35" t="s">
        <v>1589</v>
      </c>
      <c r="R451" s="53">
        <v>12</v>
      </c>
      <c r="S451" s="53">
        <v>0</v>
      </c>
    </row>
    <row r="452" spans="1:19" x14ac:dyDescent="0.3">
      <c r="A452" s="35" t="s">
        <v>1586</v>
      </c>
      <c r="B452" s="35" t="s">
        <v>29</v>
      </c>
      <c r="C452" s="35" t="s">
        <v>1950</v>
      </c>
      <c r="D452" s="37">
        <v>293.06410562250647</v>
      </c>
      <c r="E452" s="35" t="s">
        <v>2654</v>
      </c>
      <c r="F452" s="37">
        <v>293.32781639452145</v>
      </c>
      <c r="G452" s="35" t="s">
        <v>2654</v>
      </c>
      <c r="H452" s="37">
        <v>279.4985234236828</v>
      </c>
      <c r="I452" s="37" t="s">
        <v>2655</v>
      </c>
      <c r="J452" s="35">
        <v>2011</v>
      </c>
      <c r="K452" s="35" t="s">
        <v>1950</v>
      </c>
      <c r="L452" s="35" t="s">
        <v>1950</v>
      </c>
      <c r="M452" s="36">
        <v>24313</v>
      </c>
      <c r="N452" s="52">
        <v>8397</v>
      </c>
      <c r="O452" s="38">
        <v>0.3453707892896804</v>
      </c>
      <c r="P452" s="35">
        <v>428</v>
      </c>
      <c r="Q452" s="35" t="s">
        <v>28</v>
      </c>
      <c r="R452" s="53">
        <v>0</v>
      </c>
      <c r="S452" s="53">
        <v>0</v>
      </c>
    </row>
    <row r="453" spans="1:19" x14ac:dyDescent="0.3">
      <c r="A453" s="35" t="s">
        <v>1586</v>
      </c>
      <c r="B453" s="35" t="s">
        <v>29</v>
      </c>
      <c r="C453" s="35" t="s">
        <v>1950</v>
      </c>
      <c r="D453" s="37">
        <v>294.16178745644601</v>
      </c>
      <c r="E453" s="35" t="s">
        <v>2654</v>
      </c>
      <c r="F453" s="37">
        <v>308.10326655052268</v>
      </c>
      <c r="G453" s="35" t="s">
        <v>2654</v>
      </c>
      <c r="H453" s="37">
        <v>277.39837108013938</v>
      </c>
      <c r="I453" s="37" t="s">
        <v>2655</v>
      </c>
      <c r="J453" s="35">
        <v>2011</v>
      </c>
      <c r="K453" s="35" t="s">
        <v>19</v>
      </c>
      <c r="L453" s="35" t="s">
        <v>1601</v>
      </c>
      <c r="M453" s="36">
        <v>5740</v>
      </c>
      <c r="N453" s="52">
        <v>17</v>
      </c>
      <c r="O453" s="38">
        <v>2.961672473867596E-3</v>
      </c>
      <c r="P453" s="35">
        <v>251</v>
      </c>
      <c r="Q453" s="35" t="s">
        <v>1787</v>
      </c>
      <c r="R453" s="53">
        <v>0</v>
      </c>
      <c r="S453" s="53">
        <v>0</v>
      </c>
    </row>
    <row r="454" spans="1:19" x14ac:dyDescent="0.3">
      <c r="A454" s="35" t="s">
        <v>1586</v>
      </c>
      <c r="B454" s="35" t="s">
        <v>29</v>
      </c>
      <c r="C454" s="35" t="s">
        <v>1950</v>
      </c>
      <c r="D454" s="37">
        <v>391.19030121922066</v>
      </c>
      <c r="E454" s="35" t="s">
        <v>2654</v>
      </c>
      <c r="F454" s="37">
        <v>256.35176667463543</v>
      </c>
      <c r="G454" s="35" t="s">
        <v>2655</v>
      </c>
      <c r="H454" s="37">
        <v>275.8865455414774</v>
      </c>
      <c r="I454" s="37" t="s">
        <v>2655</v>
      </c>
      <c r="J454" s="35">
        <v>2012</v>
      </c>
      <c r="K454" s="35" t="s">
        <v>1950</v>
      </c>
      <c r="L454" s="35" t="s">
        <v>1950</v>
      </c>
      <c r="M454" s="36">
        <v>12549</v>
      </c>
      <c r="N454" s="52">
        <v>12147</v>
      </c>
      <c r="O454" s="38">
        <v>0.96796557494621083</v>
      </c>
      <c r="P454" s="35">
        <v>272</v>
      </c>
      <c r="Q454" s="35" t="s">
        <v>28</v>
      </c>
      <c r="R454" s="53">
        <v>0</v>
      </c>
      <c r="S454" s="53">
        <v>0</v>
      </c>
    </row>
    <row r="455" spans="1:19" x14ac:dyDescent="0.3">
      <c r="A455" s="35" t="s">
        <v>1586</v>
      </c>
      <c r="B455" s="35" t="s">
        <v>29</v>
      </c>
      <c r="C455" s="35" t="s">
        <v>1950</v>
      </c>
      <c r="D455" s="37">
        <v>276.1335568089313</v>
      </c>
      <c r="E455" s="35" t="s">
        <v>2654</v>
      </c>
      <c r="F455" s="37">
        <v>263.75459879055705</v>
      </c>
      <c r="G455" s="35" t="s">
        <v>2655</v>
      </c>
      <c r="H455" s="37">
        <v>271.81892661937439</v>
      </c>
      <c r="I455" s="37" t="s">
        <v>2655</v>
      </c>
      <c r="J455" s="35">
        <v>2017</v>
      </c>
      <c r="K455" s="35" t="s">
        <v>1950</v>
      </c>
      <c r="L455" s="35" t="s">
        <v>1950</v>
      </c>
      <c r="M455" s="36">
        <v>17198</v>
      </c>
      <c r="N455" s="52">
        <v>15478</v>
      </c>
      <c r="O455" s="38">
        <v>0.89998837074078386</v>
      </c>
      <c r="P455" s="35">
        <v>314</v>
      </c>
      <c r="Q455" s="35" t="s">
        <v>1589</v>
      </c>
      <c r="R455" s="53">
        <v>6</v>
      </c>
      <c r="S455" s="53">
        <v>0</v>
      </c>
    </row>
    <row r="456" spans="1:19" x14ac:dyDescent="0.3">
      <c r="A456" s="35" t="s">
        <v>1586</v>
      </c>
      <c r="B456" s="35" t="s">
        <v>29</v>
      </c>
      <c r="C456" s="35" t="s">
        <v>1950</v>
      </c>
      <c r="D456" s="37">
        <v>249.67204964600995</v>
      </c>
      <c r="E456" s="35" t="s">
        <v>2655</v>
      </c>
      <c r="F456" s="37">
        <v>256.64860763919239</v>
      </c>
      <c r="G456" s="35" t="s">
        <v>2655</v>
      </c>
      <c r="H456" s="37">
        <v>269.44637706494188</v>
      </c>
      <c r="I456" s="37" t="s">
        <v>2655</v>
      </c>
      <c r="J456" s="35">
        <v>2008</v>
      </c>
      <c r="K456" s="35" t="s">
        <v>1950</v>
      </c>
      <c r="L456" s="35" t="s">
        <v>1950</v>
      </c>
      <c r="M456" s="36">
        <v>11441</v>
      </c>
      <c r="N456" s="52">
        <v>9152</v>
      </c>
      <c r="O456" s="38">
        <v>0.79993007604230404</v>
      </c>
      <c r="P456" s="35">
        <v>126</v>
      </c>
      <c r="Q456" s="35" t="s">
        <v>1589</v>
      </c>
      <c r="R456" s="53">
        <v>15</v>
      </c>
      <c r="S456" s="53">
        <v>0</v>
      </c>
    </row>
    <row r="457" spans="1:19" x14ac:dyDescent="0.3">
      <c r="A457" s="35" t="s">
        <v>1586</v>
      </c>
      <c r="B457" s="35" t="s">
        <v>29</v>
      </c>
      <c r="C457" s="35" t="s">
        <v>1950</v>
      </c>
      <c r="D457" s="37">
        <v>244.90137628111273</v>
      </c>
      <c r="E457" s="35" t="s">
        <v>2655</v>
      </c>
      <c r="F457" s="37">
        <v>183.03132259638849</v>
      </c>
      <c r="G457" s="35" t="s">
        <v>2657</v>
      </c>
      <c r="H457" s="37">
        <v>266.86573938506592</v>
      </c>
      <c r="I457" s="37" t="s">
        <v>2655</v>
      </c>
      <c r="J457" s="35">
        <v>2016</v>
      </c>
      <c r="K457" s="35" t="s">
        <v>1950</v>
      </c>
      <c r="L457" s="35" t="s">
        <v>1950</v>
      </c>
      <c r="M457" s="36">
        <v>2049</v>
      </c>
      <c r="N457" s="52">
        <v>1954</v>
      </c>
      <c r="O457" s="38">
        <v>0.95363591996095654</v>
      </c>
      <c r="P457" s="35">
        <v>70</v>
      </c>
      <c r="Q457" s="35" t="s">
        <v>28</v>
      </c>
      <c r="R457" s="53">
        <v>0</v>
      </c>
      <c r="S457" s="53">
        <v>0</v>
      </c>
    </row>
    <row r="458" spans="1:19" x14ac:dyDescent="0.3">
      <c r="A458" s="35" t="s">
        <v>1586</v>
      </c>
      <c r="B458" s="35" t="s">
        <v>29</v>
      </c>
      <c r="C458" s="35" t="s">
        <v>1950</v>
      </c>
      <c r="D458" s="37">
        <v>240.67544410550869</v>
      </c>
      <c r="E458" s="35" t="s">
        <v>2655</v>
      </c>
      <c r="F458" s="37">
        <v>257.39312309348645</v>
      </c>
      <c r="G458" s="35" t="s">
        <v>2655</v>
      </c>
      <c r="H458" s="37">
        <v>257.39083527722948</v>
      </c>
      <c r="I458" s="37" t="s">
        <v>2655</v>
      </c>
      <c r="J458" s="35">
        <v>2009</v>
      </c>
      <c r="K458" s="35" t="s">
        <v>1950</v>
      </c>
      <c r="L458" s="35" t="s">
        <v>1950</v>
      </c>
      <c r="M458" s="36">
        <v>11146</v>
      </c>
      <c r="N458" s="52">
        <v>2950</v>
      </c>
      <c r="O458" s="38">
        <v>0.26466893952987619</v>
      </c>
      <c r="P458" s="35">
        <v>336</v>
      </c>
      <c r="Q458" s="35" t="s">
        <v>1589</v>
      </c>
      <c r="R458" s="53">
        <v>0</v>
      </c>
      <c r="S458" s="53">
        <v>0</v>
      </c>
    </row>
    <row r="459" spans="1:19" x14ac:dyDescent="0.3">
      <c r="A459" s="35" t="s">
        <v>1586</v>
      </c>
      <c r="B459" s="35" t="s">
        <v>29</v>
      </c>
      <c r="C459" s="35" t="s">
        <v>1950</v>
      </c>
      <c r="D459" s="37">
        <v>218.93830907107971</v>
      </c>
      <c r="E459" s="35" t="s">
        <v>2656</v>
      </c>
      <c r="F459" s="37">
        <v>219.42211579496421</v>
      </c>
      <c r="G459" s="35" t="s">
        <v>2655</v>
      </c>
      <c r="H459" s="37">
        <v>255.98985252975484</v>
      </c>
      <c r="I459" s="37" t="s">
        <v>2655</v>
      </c>
      <c r="J459" s="35">
        <v>1985</v>
      </c>
      <c r="K459" s="35" t="s">
        <v>25</v>
      </c>
      <c r="L459" s="35" t="s">
        <v>1597</v>
      </c>
      <c r="M459" s="36">
        <v>21089</v>
      </c>
      <c r="N459" s="52">
        <v>17815</v>
      </c>
      <c r="O459" s="38">
        <v>0.84475318886623363</v>
      </c>
      <c r="P459" s="35">
        <v>476</v>
      </c>
      <c r="Q459" s="35" t="s">
        <v>1589</v>
      </c>
      <c r="R459" s="53">
        <v>0</v>
      </c>
      <c r="S459" s="53">
        <v>0.87</v>
      </c>
    </row>
    <row r="460" spans="1:19" x14ac:dyDescent="0.3">
      <c r="A460" s="35" t="s">
        <v>1586</v>
      </c>
      <c r="B460" s="35" t="s">
        <v>29</v>
      </c>
      <c r="C460" s="35" t="s">
        <v>1950</v>
      </c>
      <c r="D460" s="37">
        <v>203.07229558436015</v>
      </c>
      <c r="E460" s="35" t="s">
        <v>2656</v>
      </c>
      <c r="F460" s="37">
        <v>218.09992963177564</v>
      </c>
      <c r="G460" s="35" t="s">
        <v>2656</v>
      </c>
      <c r="H460" s="37">
        <v>254.89862788715692</v>
      </c>
      <c r="I460" s="37" t="s">
        <v>2655</v>
      </c>
      <c r="J460" s="35">
        <v>1900</v>
      </c>
      <c r="K460" s="35" t="s">
        <v>25</v>
      </c>
      <c r="L460" s="35" t="s">
        <v>1783</v>
      </c>
      <c r="M460" s="36">
        <v>29615.64</v>
      </c>
      <c r="N460" s="52">
        <v>26654</v>
      </c>
      <c r="O460" s="38">
        <v>0.89999743378836317</v>
      </c>
      <c r="P460" s="35">
        <v>233</v>
      </c>
      <c r="Q460" s="35" t="s">
        <v>1589</v>
      </c>
      <c r="R460" s="53">
        <v>7</v>
      </c>
      <c r="S460" s="53">
        <v>0</v>
      </c>
    </row>
    <row r="461" spans="1:19" x14ac:dyDescent="0.3">
      <c r="A461" s="35" t="s">
        <v>1586</v>
      </c>
      <c r="B461" s="35" t="s">
        <v>29</v>
      </c>
      <c r="C461" s="35" t="s">
        <v>1950</v>
      </c>
      <c r="D461" s="37">
        <v>243.9234119553096</v>
      </c>
      <c r="E461" s="35" t="s">
        <v>2655</v>
      </c>
      <c r="F461" s="37">
        <v>250.70760830685717</v>
      </c>
      <c r="G461" s="35" t="s">
        <v>2655</v>
      </c>
      <c r="H461" s="37">
        <v>253.6218412691733</v>
      </c>
      <c r="I461" s="37" t="s">
        <v>2655</v>
      </c>
      <c r="J461" s="35">
        <v>2009</v>
      </c>
      <c r="K461" s="35" t="s">
        <v>25</v>
      </c>
      <c r="L461" s="35" t="s">
        <v>1599</v>
      </c>
      <c r="M461" s="36">
        <v>47527</v>
      </c>
      <c r="N461" s="52">
        <v>38020</v>
      </c>
      <c r="O461" s="38">
        <v>0.7999663349254108</v>
      </c>
      <c r="P461" s="35">
        <v>110</v>
      </c>
      <c r="Q461" s="35" t="s">
        <v>1589</v>
      </c>
      <c r="R461" s="53">
        <v>14</v>
      </c>
      <c r="S461" s="53">
        <v>0.75</v>
      </c>
    </row>
    <row r="462" spans="1:19" x14ac:dyDescent="0.3">
      <c r="A462" s="35" t="s">
        <v>1586</v>
      </c>
      <c r="B462" s="35" t="s">
        <v>29</v>
      </c>
      <c r="C462" s="35" t="s">
        <v>1950</v>
      </c>
      <c r="D462" s="37">
        <v>230.93982976225419</v>
      </c>
      <c r="E462" s="35" t="s">
        <v>2655</v>
      </c>
      <c r="F462" s="37">
        <v>234.46838208916284</v>
      </c>
      <c r="G462" s="35" t="s">
        <v>2655</v>
      </c>
      <c r="H462" s="37">
        <v>245.49721162312886</v>
      </c>
      <c r="I462" s="37" t="s">
        <v>2655</v>
      </c>
      <c r="J462" s="35">
        <v>1999</v>
      </c>
      <c r="K462" s="35" t="s">
        <v>1950</v>
      </c>
      <c r="L462" s="35" t="s">
        <v>1950</v>
      </c>
      <c r="M462" s="36">
        <v>30663</v>
      </c>
      <c r="N462" s="52">
        <v>22118</v>
      </c>
      <c r="O462" s="38">
        <v>0.72132537586015721</v>
      </c>
      <c r="P462" s="35">
        <v>160</v>
      </c>
      <c r="Q462" s="35" t="s">
        <v>1589</v>
      </c>
      <c r="R462" s="53">
        <v>23</v>
      </c>
      <c r="S462" s="53">
        <v>0</v>
      </c>
    </row>
    <row r="463" spans="1:19" x14ac:dyDescent="0.3">
      <c r="A463" s="35" t="s">
        <v>1586</v>
      </c>
      <c r="B463" s="35" t="s">
        <v>29</v>
      </c>
      <c r="C463" s="35" t="s">
        <v>1950</v>
      </c>
      <c r="D463" s="37">
        <v>230.83429730662982</v>
      </c>
      <c r="E463" s="35" t="s">
        <v>2655</v>
      </c>
      <c r="F463" s="37">
        <v>234.44617575966851</v>
      </c>
      <c r="G463" s="35" t="s">
        <v>2655</v>
      </c>
      <c r="H463" s="37">
        <v>243.96382941988949</v>
      </c>
      <c r="I463" s="37" t="s">
        <v>2655</v>
      </c>
      <c r="J463" s="35">
        <v>2012</v>
      </c>
      <c r="K463" s="35" t="s">
        <v>1950</v>
      </c>
      <c r="L463" s="35" t="s">
        <v>1950</v>
      </c>
      <c r="M463" s="36">
        <v>11584</v>
      </c>
      <c r="N463" s="52">
        <v>10227</v>
      </c>
      <c r="O463" s="38">
        <v>0.88285566298342544</v>
      </c>
      <c r="P463" s="35">
        <v>285</v>
      </c>
      <c r="Q463" s="35" t="s">
        <v>1589</v>
      </c>
      <c r="R463" s="53">
        <v>10</v>
      </c>
      <c r="S463" s="53">
        <v>0.8</v>
      </c>
    </row>
    <row r="464" spans="1:19" x14ac:dyDescent="0.3">
      <c r="A464" s="35" t="s">
        <v>1586</v>
      </c>
      <c r="B464" s="35" t="s">
        <v>29</v>
      </c>
      <c r="C464" s="35" t="s">
        <v>1950</v>
      </c>
      <c r="D464" s="37">
        <v>200.17809278964032</v>
      </c>
      <c r="E464" s="35" t="s">
        <v>2656</v>
      </c>
      <c r="F464" s="37">
        <v>220.85445975862316</v>
      </c>
      <c r="G464" s="35" t="s">
        <v>2655</v>
      </c>
      <c r="H464" s="37">
        <v>243.5667833083387</v>
      </c>
      <c r="I464" s="37" t="s">
        <v>2655</v>
      </c>
      <c r="J464" s="35">
        <v>1993</v>
      </c>
      <c r="K464" s="35" t="s">
        <v>1950</v>
      </c>
      <c r="L464" s="35" t="s">
        <v>1950</v>
      </c>
      <c r="M464" s="36">
        <v>42009</v>
      </c>
      <c r="N464" s="52">
        <v>36000</v>
      </c>
      <c r="O464" s="38">
        <v>0.85695922302363781</v>
      </c>
      <c r="P464" s="35">
        <v>454</v>
      </c>
      <c r="Q464" s="35" t="s">
        <v>1589</v>
      </c>
      <c r="R464" s="53">
        <v>10</v>
      </c>
      <c r="S464" s="53">
        <v>0.73</v>
      </c>
    </row>
    <row r="465" spans="1:19" x14ac:dyDescent="0.3">
      <c r="A465" s="35" t="s">
        <v>1586</v>
      </c>
      <c r="B465" s="35" t="s">
        <v>29</v>
      </c>
      <c r="C465" s="35" t="s">
        <v>1950</v>
      </c>
      <c r="D465" s="37">
        <v>228.91327335992531</v>
      </c>
      <c r="E465" s="35" t="s">
        <v>2655</v>
      </c>
      <c r="F465" s="37">
        <v>213.78857676313331</v>
      </c>
      <c r="G465" s="35" t="s">
        <v>2656</v>
      </c>
      <c r="H465" s="37">
        <v>239.16642620724772</v>
      </c>
      <c r="I465" s="37" t="s">
        <v>2655</v>
      </c>
      <c r="J465" s="35">
        <v>2014</v>
      </c>
      <c r="K465" s="35" t="s">
        <v>19</v>
      </c>
      <c r="L465" s="35" t="s">
        <v>1600</v>
      </c>
      <c r="M465" s="36">
        <v>11783</v>
      </c>
      <c r="N465" s="52">
        <v>9351</v>
      </c>
      <c r="O465" s="38">
        <v>0.79360095052193835</v>
      </c>
      <c r="P465" s="35">
        <v>442</v>
      </c>
      <c r="Q465" s="35" t="s">
        <v>1589</v>
      </c>
      <c r="R465" s="53">
        <v>10</v>
      </c>
      <c r="S465" s="53">
        <v>0.55000000000000004</v>
      </c>
    </row>
    <row r="466" spans="1:19" x14ac:dyDescent="0.3">
      <c r="A466" s="35" t="s">
        <v>1586</v>
      </c>
      <c r="B466" s="35" t="s">
        <v>29</v>
      </c>
      <c r="C466" s="35" t="s">
        <v>1950</v>
      </c>
      <c r="D466" s="37">
        <v>206.18938957212401</v>
      </c>
      <c r="E466" s="35" t="s">
        <v>2656</v>
      </c>
      <c r="F466" s="37">
        <v>229.55204330002562</v>
      </c>
      <c r="G466" s="35" t="s">
        <v>2655</v>
      </c>
      <c r="H466" s="37">
        <v>236.43934153215474</v>
      </c>
      <c r="I466" s="37" t="s">
        <v>2655</v>
      </c>
      <c r="J466" s="35">
        <v>1985</v>
      </c>
      <c r="K466" s="35" t="s">
        <v>19</v>
      </c>
      <c r="L466" s="35" t="s">
        <v>1783</v>
      </c>
      <c r="M466" s="36">
        <v>31224</v>
      </c>
      <c r="N466" s="52">
        <v>25000</v>
      </c>
      <c r="O466" s="38">
        <v>0.80066615424032794</v>
      </c>
      <c r="P466" s="35">
        <v>417</v>
      </c>
      <c r="Q466" s="35" t="s">
        <v>1589</v>
      </c>
      <c r="R466" s="53">
        <v>5</v>
      </c>
      <c r="S466" s="53">
        <v>0.60299999999999998</v>
      </c>
    </row>
    <row r="467" spans="1:19" x14ac:dyDescent="0.3">
      <c r="A467" s="35" t="s">
        <v>1586</v>
      </c>
      <c r="B467" s="35" t="s">
        <v>29</v>
      </c>
      <c r="C467" s="35" t="s">
        <v>1950</v>
      </c>
      <c r="D467" s="37">
        <v>202.06616912631168</v>
      </c>
      <c r="E467" s="35" t="s">
        <v>2656</v>
      </c>
      <c r="F467" s="37">
        <v>222.32848886145558</v>
      </c>
      <c r="G467" s="35" t="s">
        <v>2655</v>
      </c>
      <c r="H467" s="37">
        <v>234.05425060322091</v>
      </c>
      <c r="I467" s="37" t="s">
        <v>2655</v>
      </c>
      <c r="J467" s="35">
        <v>2020</v>
      </c>
      <c r="K467" s="35" t="s">
        <v>25</v>
      </c>
      <c r="L467" s="35" t="s">
        <v>1875</v>
      </c>
      <c r="M467" s="36">
        <v>35642</v>
      </c>
      <c r="N467" s="52">
        <v>25000</v>
      </c>
      <c r="O467" s="38">
        <v>0.70141967341900002</v>
      </c>
      <c r="P467" s="35">
        <v>839</v>
      </c>
      <c r="Q467" s="35" t="s">
        <v>1589</v>
      </c>
      <c r="R467" s="53">
        <v>4</v>
      </c>
      <c r="S467" s="53">
        <v>0.67</v>
      </c>
    </row>
    <row r="468" spans="1:19" x14ac:dyDescent="0.3">
      <c r="A468" s="35" t="s">
        <v>1586</v>
      </c>
      <c r="B468" s="35" t="s">
        <v>29</v>
      </c>
      <c r="C468" s="35" t="s">
        <v>1950</v>
      </c>
      <c r="D468" s="37">
        <v>215.38915228807201</v>
      </c>
      <c r="E468" s="35" t="s">
        <v>2656</v>
      </c>
      <c r="F468" s="37">
        <v>222.14285671417852</v>
      </c>
      <c r="G468" s="35" t="s">
        <v>2655</v>
      </c>
      <c r="H468" s="37">
        <v>233.9048912228057</v>
      </c>
      <c r="I468" s="37" t="s">
        <v>2655</v>
      </c>
      <c r="J468" s="35">
        <v>2017</v>
      </c>
      <c r="K468" s="35" t="s">
        <v>21</v>
      </c>
      <c r="L468" s="35" t="s">
        <v>1598</v>
      </c>
      <c r="M468" s="36">
        <v>6665</v>
      </c>
      <c r="N468" s="52">
        <v>6666</v>
      </c>
      <c r="O468" s="38">
        <v>1.0001500375093773</v>
      </c>
      <c r="P468" s="35">
        <v>342</v>
      </c>
      <c r="Q468" s="35" t="s">
        <v>1589</v>
      </c>
      <c r="R468" s="53">
        <v>6</v>
      </c>
      <c r="S468" s="53">
        <v>0.64</v>
      </c>
    </row>
    <row r="469" spans="1:19" x14ac:dyDescent="0.3">
      <c r="A469" s="35" t="s">
        <v>1586</v>
      </c>
      <c r="B469" s="35" t="s">
        <v>29</v>
      </c>
      <c r="C469" s="35" t="s">
        <v>1950</v>
      </c>
      <c r="D469" s="37">
        <v>217.24846260547912</v>
      </c>
      <c r="E469" s="35" t="s">
        <v>2656</v>
      </c>
      <c r="F469" s="37">
        <v>203.83139521442607</v>
      </c>
      <c r="G469" s="35" t="s">
        <v>2656</v>
      </c>
      <c r="H469" s="37">
        <v>231.66502138481101</v>
      </c>
      <c r="I469" s="37" t="s">
        <v>2656</v>
      </c>
      <c r="J469" s="35">
        <v>2006</v>
      </c>
      <c r="K469" s="35" t="s">
        <v>1950</v>
      </c>
      <c r="L469" s="35" t="s">
        <v>1950</v>
      </c>
      <c r="M469" s="36">
        <v>8651</v>
      </c>
      <c r="N469" s="52">
        <v>6728</v>
      </c>
      <c r="O469" s="38">
        <v>0.77771355912611262</v>
      </c>
      <c r="P469" s="35">
        <v>194</v>
      </c>
      <c r="Q469" s="35" t="s">
        <v>1589</v>
      </c>
      <c r="R469" s="53">
        <v>8</v>
      </c>
      <c r="S469" s="53">
        <v>1.05</v>
      </c>
    </row>
    <row r="470" spans="1:19" x14ac:dyDescent="0.3">
      <c r="A470" s="35" t="s">
        <v>1586</v>
      </c>
      <c r="B470" s="35" t="s">
        <v>29</v>
      </c>
      <c r="C470" s="35" t="s">
        <v>1950</v>
      </c>
      <c r="D470" s="37">
        <v>199.27502218278616</v>
      </c>
      <c r="E470" s="35" t="s">
        <v>2656</v>
      </c>
      <c r="F470" s="37">
        <v>197.63984250221827</v>
      </c>
      <c r="G470" s="35" t="s">
        <v>2656</v>
      </c>
      <c r="H470" s="37">
        <v>230.51456965394854</v>
      </c>
      <c r="I470" s="37" t="s">
        <v>2656</v>
      </c>
      <c r="J470" s="35">
        <v>2013</v>
      </c>
      <c r="K470" s="35" t="s">
        <v>1950</v>
      </c>
      <c r="L470" s="35" t="s">
        <v>1950</v>
      </c>
      <c r="M470" s="36">
        <v>22540</v>
      </c>
      <c r="N470" s="52">
        <v>21363</v>
      </c>
      <c r="O470" s="38">
        <v>0.94778172138420591</v>
      </c>
      <c r="P470" s="35">
        <v>229</v>
      </c>
      <c r="Q470" s="35" t="s">
        <v>1589</v>
      </c>
      <c r="R470" s="53">
        <v>9</v>
      </c>
      <c r="S470" s="53">
        <v>0.65</v>
      </c>
    </row>
    <row r="471" spans="1:19" x14ac:dyDescent="0.3">
      <c r="A471" s="35" t="s">
        <v>1586</v>
      </c>
      <c r="B471" s="35" t="s">
        <v>29</v>
      </c>
      <c r="C471" s="35" t="s">
        <v>1950</v>
      </c>
      <c r="D471" s="37">
        <v>219.60178564729713</v>
      </c>
      <c r="E471" s="35" t="s">
        <v>2655</v>
      </c>
      <c r="F471" s="37">
        <v>195.77146715684435</v>
      </c>
      <c r="G471" s="35" t="s">
        <v>2656</v>
      </c>
      <c r="H471" s="37">
        <v>227.10169936602017</v>
      </c>
      <c r="I471" s="37" t="s">
        <v>2656</v>
      </c>
      <c r="J471" s="35">
        <v>1977</v>
      </c>
      <c r="K471" s="35" t="s">
        <v>25</v>
      </c>
      <c r="L471" s="35" t="s">
        <v>1818</v>
      </c>
      <c r="M471" s="36">
        <v>26657</v>
      </c>
      <c r="N471" s="52">
        <v>26307</v>
      </c>
      <c r="O471" s="38">
        <v>0.98687024046216754</v>
      </c>
      <c r="P471" s="35">
        <v>388</v>
      </c>
      <c r="Q471" s="35" t="s">
        <v>1589</v>
      </c>
      <c r="R471" s="53">
        <v>11</v>
      </c>
      <c r="S471" s="53">
        <v>0.78400000000000003</v>
      </c>
    </row>
    <row r="472" spans="1:19" x14ac:dyDescent="0.3">
      <c r="A472" s="35" t="s">
        <v>1586</v>
      </c>
      <c r="B472" s="35" t="s">
        <v>29</v>
      </c>
      <c r="C472" s="35" t="s">
        <v>1950</v>
      </c>
      <c r="D472" s="37">
        <v>269.51972927541362</v>
      </c>
      <c r="E472" s="35" t="s">
        <v>2655</v>
      </c>
      <c r="F472" s="37">
        <v>243.99946916747766</v>
      </c>
      <c r="G472" s="35" t="s">
        <v>2655</v>
      </c>
      <c r="H472" s="37">
        <v>225.09271874723524</v>
      </c>
      <c r="I472" s="37" t="s">
        <v>2656</v>
      </c>
      <c r="J472" s="35">
        <v>2010</v>
      </c>
      <c r="K472" s="35" t="s">
        <v>1950</v>
      </c>
      <c r="L472" s="35" t="s">
        <v>1950</v>
      </c>
      <c r="M472" s="36">
        <v>22606</v>
      </c>
      <c r="N472" s="52">
        <v>22058</v>
      </c>
      <c r="O472" s="38">
        <v>0.97575864814650981</v>
      </c>
      <c r="P472" s="35">
        <v>308</v>
      </c>
      <c r="Q472" s="35" t="s">
        <v>1787</v>
      </c>
      <c r="R472" s="53">
        <v>0</v>
      </c>
      <c r="S472" s="53">
        <v>0</v>
      </c>
    </row>
    <row r="473" spans="1:19" x14ac:dyDescent="0.3">
      <c r="A473" s="35" t="s">
        <v>1586</v>
      </c>
      <c r="B473" s="35" t="s">
        <v>29</v>
      </c>
      <c r="C473" s="35" t="s">
        <v>1950</v>
      </c>
      <c r="D473" s="37">
        <v>224.07443542172959</v>
      </c>
      <c r="E473" s="35" t="s">
        <v>2655</v>
      </c>
      <c r="F473" s="37">
        <v>239.58914112974927</v>
      </c>
      <c r="G473" s="35" t="s">
        <v>2655</v>
      </c>
      <c r="H473" s="37">
        <v>218.89130460553613</v>
      </c>
      <c r="I473" s="37" t="s">
        <v>2656</v>
      </c>
      <c r="J473" s="35">
        <v>1993</v>
      </c>
      <c r="K473" s="35" t="s">
        <v>1950</v>
      </c>
      <c r="L473" s="35" t="s">
        <v>1950</v>
      </c>
      <c r="M473" s="36">
        <v>12052</v>
      </c>
      <c r="N473" s="52">
        <v>12052</v>
      </c>
      <c r="O473" s="38">
        <v>1</v>
      </c>
      <c r="P473" s="35">
        <v>256</v>
      </c>
      <c r="Q473" s="35" t="s">
        <v>1589</v>
      </c>
      <c r="R473" s="53">
        <v>15</v>
      </c>
      <c r="S473" s="53">
        <v>0</v>
      </c>
    </row>
    <row r="474" spans="1:19" x14ac:dyDescent="0.3">
      <c r="A474" s="35" t="s">
        <v>1586</v>
      </c>
      <c r="B474" s="35" t="s">
        <v>29</v>
      </c>
      <c r="C474" s="35" t="s">
        <v>1950</v>
      </c>
      <c r="D474" s="37">
        <v>244.10290307278763</v>
      </c>
      <c r="E474" s="35" t="s">
        <v>2655</v>
      </c>
      <c r="F474" s="37">
        <v>241.29452379697466</v>
      </c>
      <c r="G474" s="35" t="s">
        <v>2655</v>
      </c>
      <c r="H474" s="37">
        <v>217.47361408317082</v>
      </c>
      <c r="I474" s="37" t="s">
        <v>2656</v>
      </c>
      <c r="J474" s="35">
        <v>2012</v>
      </c>
      <c r="K474" s="35" t="s">
        <v>21</v>
      </c>
      <c r="L474" s="35" t="s">
        <v>1818</v>
      </c>
      <c r="M474" s="36">
        <v>18973</v>
      </c>
      <c r="N474" s="52">
        <v>16224</v>
      </c>
      <c r="O474" s="38">
        <v>0.85510989300585039</v>
      </c>
      <c r="P474" s="35">
        <v>313</v>
      </c>
      <c r="Q474" s="35" t="s">
        <v>1589</v>
      </c>
      <c r="R474" s="53">
        <v>11</v>
      </c>
      <c r="S474" s="53">
        <v>0.69699999999999995</v>
      </c>
    </row>
    <row r="475" spans="1:19" x14ac:dyDescent="0.3">
      <c r="A475" s="35" t="s">
        <v>1586</v>
      </c>
      <c r="B475" s="35" t="s">
        <v>29</v>
      </c>
      <c r="C475" s="35" t="s">
        <v>1950</v>
      </c>
      <c r="D475" s="37">
        <v>221.09124297872341</v>
      </c>
      <c r="E475" s="35" t="s">
        <v>2655</v>
      </c>
      <c r="F475" s="37">
        <v>209.78268297872339</v>
      </c>
      <c r="G475" s="35" t="s">
        <v>2656</v>
      </c>
      <c r="H475" s="37">
        <v>217.09955957446809</v>
      </c>
      <c r="I475" s="37" t="s">
        <v>2656</v>
      </c>
      <c r="J475" s="35">
        <v>1971</v>
      </c>
      <c r="K475" s="35" t="s">
        <v>1950</v>
      </c>
      <c r="L475" s="35" t="s">
        <v>1950</v>
      </c>
      <c r="M475" s="36">
        <v>23500</v>
      </c>
      <c r="N475" s="52">
        <v>23354</v>
      </c>
      <c r="O475" s="38">
        <v>0.9937872340425532</v>
      </c>
      <c r="P475" s="35">
        <v>362</v>
      </c>
      <c r="Q475" s="35" t="s">
        <v>1589</v>
      </c>
      <c r="R475" s="53">
        <v>25</v>
      </c>
      <c r="S475" s="53">
        <v>0</v>
      </c>
    </row>
    <row r="476" spans="1:19" x14ac:dyDescent="0.3">
      <c r="A476" s="35" t="s">
        <v>1586</v>
      </c>
      <c r="B476" s="35" t="s">
        <v>29</v>
      </c>
      <c r="C476" s="35" t="s">
        <v>1950</v>
      </c>
      <c r="D476" s="37">
        <v>194.44439697265625</v>
      </c>
      <c r="E476" s="35" t="s">
        <v>2656</v>
      </c>
      <c r="F476" s="37">
        <v>205.02693684895834</v>
      </c>
      <c r="G476" s="35" t="s">
        <v>2656</v>
      </c>
      <c r="H476" s="37">
        <v>215.60577392578125</v>
      </c>
      <c r="I476" s="37" t="s">
        <v>2656</v>
      </c>
      <c r="J476" s="35">
        <v>1985</v>
      </c>
      <c r="K476" s="35" t="s">
        <v>25</v>
      </c>
      <c r="L476" s="35" t="s">
        <v>1601</v>
      </c>
      <c r="M476" s="36">
        <v>24576</v>
      </c>
      <c r="N476" s="52">
        <v>24000</v>
      </c>
      <c r="O476" s="38">
        <v>0.9765625</v>
      </c>
      <c r="P476" s="35">
        <v>324</v>
      </c>
      <c r="Q476" s="35" t="s">
        <v>1589</v>
      </c>
      <c r="R476" s="53">
        <v>4</v>
      </c>
      <c r="S476" s="53">
        <v>0.65</v>
      </c>
    </row>
    <row r="477" spans="1:19" x14ac:dyDescent="0.3">
      <c r="A477" s="35" t="s">
        <v>1586</v>
      </c>
      <c r="B477" s="35" t="s">
        <v>29</v>
      </c>
      <c r="C477" s="35" t="s">
        <v>1950</v>
      </c>
      <c r="D477" s="37">
        <v>237.73025462906344</v>
      </c>
      <c r="E477" s="35" t="s">
        <v>2655</v>
      </c>
      <c r="F477" s="37">
        <v>229.69331996184232</v>
      </c>
      <c r="G477" s="35" t="s">
        <v>2655</v>
      </c>
      <c r="H477" s="37">
        <v>215.18237409192085</v>
      </c>
      <c r="I477" s="37" t="s">
        <v>2656</v>
      </c>
      <c r="J477" s="35">
        <v>1982</v>
      </c>
      <c r="K477" s="35" t="s">
        <v>21</v>
      </c>
      <c r="L477" s="35" t="s">
        <v>1597</v>
      </c>
      <c r="M477" s="36">
        <v>40883</v>
      </c>
      <c r="N477" s="52">
        <v>37160</v>
      </c>
      <c r="O477" s="38">
        <v>0.90893525426216271</v>
      </c>
      <c r="P477" s="35">
        <v>440</v>
      </c>
      <c r="Q477" s="35" t="s">
        <v>1589</v>
      </c>
      <c r="R477" s="53">
        <v>1</v>
      </c>
      <c r="S477" s="53">
        <v>0.55800000000000005</v>
      </c>
    </row>
    <row r="478" spans="1:19" x14ac:dyDescent="0.3">
      <c r="A478" s="35" t="s">
        <v>1586</v>
      </c>
      <c r="B478" s="35" t="s">
        <v>29</v>
      </c>
      <c r="C478" s="35" t="s">
        <v>1950</v>
      </c>
      <c r="D478" s="37">
        <v>179.0201755403472</v>
      </c>
      <c r="E478" s="35" t="s">
        <v>2657</v>
      </c>
      <c r="F478" s="37">
        <v>190.03264895797085</v>
      </c>
      <c r="G478" s="35" t="s">
        <v>2656</v>
      </c>
      <c r="H478" s="37">
        <v>215.0158914279086</v>
      </c>
      <c r="I478" s="37" t="s">
        <v>2656</v>
      </c>
      <c r="J478" s="35">
        <v>1999</v>
      </c>
      <c r="K478" s="35" t="s">
        <v>19</v>
      </c>
      <c r="L478" s="35" t="s">
        <v>1601</v>
      </c>
      <c r="M478" s="36">
        <v>51726</v>
      </c>
      <c r="N478" s="52">
        <v>38713</v>
      </c>
      <c r="O478" s="38">
        <v>0.74842439005529138</v>
      </c>
      <c r="P478" s="35">
        <v>574</v>
      </c>
      <c r="Q478" s="35" t="s">
        <v>1589</v>
      </c>
      <c r="R478" s="53">
        <v>4</v>
      </c>
      <c r="S478" s="53">
        <v>0.6</v>
      </c>
    </row>
    <row r="479" spans="1:19" x14ac:dyDescent="0.3">
      <c r="A479" s="35" t="s">
        <v>1586</v>
      </c>
      <c r="B479" s="35" t="s">
        <v>29</v>
      </c>
      <c r="C479" s="35" t="s">
        <v>1950</v>
      </c>
      <c r="D479" s="37">
        <v>245.60192697768764</v>
      </c>
      <c r="E479" s="35" t="s">
        <v>2655</v>
      </c>
      <c r="F479" s="37">
        <v>241.09355983772821</v>
      </c>
      <c r="G479" s="35" t="s">
        <v>2655</v>
      </c>
      <c r="H479" s="37">
        <v>212.63417849898579</v>
      </c>
      <c r="I479" s="37" t="s">
        <v>2656</v>
      </c>
      <c r="J479" s="35">
        <v>1998</v>
      </c>
      <c r="K479" s="35" t="s">
        <v>21</v>
      </c>
      <c r="L479" s="35" t="s">
        <v>1597</v>
      </c>
      <c r="M479" s="36">
        <v>19720</v>
      </c>
      <c r="N479" s="52">
        <v>12584</v>
      </c>
      <c r="O479" s="38">
        <v>0.63813387423935086</v>
      </c>
      <c r="P479" s="35">
        <v>298</v>
      </c>
      <c r="Q479" s="35" t="s">
        <v>1589</v>
      </c>
      <c r="R479" s="53">
        <v>20</v>
      </c>
      <c r="S479" s="53">
        <v>0</v>
      </c>
    </row>
    <row r="480" spans="1:19" x14ac:dyDescent="0.3">
      <c r="A480" s="35" t="s">
        <v>1586</v>
      </c>
      <c r="B480" s="35" t="s">
        <v>29</v>
      </c>
      <c r="C480" s="35" t="s">
        <v>1950</v>
      </c>
      <c r="D480" s="37">
        <v>209.33640479360852</v>
      </c>
      <c r="E480" s="35" t="s">
        <v>2656</v>
      </c>
      <c r="F480" s="37">
        <v>214.53970705725698</v>
      </c>
      <c r="G480" s="35" t="s">
        <v>2656</v>
      </c>
      <c r="H480" s="37">
        <v>211.51041278295605</v>
      </c>
      <c r="I480" s="37" t="s">
        <v>2656</v>
      </c>
      <c r="J480" s="35">
        <v>2007</v>
      </c>
      <c r="K480" s="35" t="s">
        <v>19</v>
      </c>
      <c r="L480" s="35" t="s">
        <v>1783</v>
      </c>
      <c r="M480" s="36">
        <v>15020</v>
      </c>
      <c r="N480" s="52">
        <v>11092</v>
      </c>
      <c r="O480" s="38">
        <v>0.73848202396804263</v>
      </c>
      <c r="P480" s="35">
        <v>140</v>
      </c>
      <c r="Q480" s="35" t="s">
        <v>1589</v>
      </c>
      <c r="R480" s="53">
        <v>5</v>
      </c>
      <c r="S480" s="53">
        <v>0</v>
      </c>
    </row>
    <row r="481" spans="1:19" x14ac:dyDescent="0.3">
      <c r="A481" s="35" t="s">
        <v>1586</v>
      </c>
      <c r="B481" s="35" t="s">
        <v>29</v>
      </c>
      <c r="C481" s="35" t="s">
        <v>1950</v>
      </c>
      <c r="D481" s="37">
        <v>212.78805980212039</v>
      </c>
      <c r="E481" s="35" t="s">
        <v>2656</v>
      </c>
      <c r="F481" s="37">
        <v>208.60083264508083</v>
      </c>
      <c r="G481" s="35" t="s">
        <v>2656</v>
      </c>
      <c r="H481" s="37">
        <v>208.75222572435067</v>
      </c>
      <c r="I481" s="37" t="s">
        <v>2656</v>
      </c>
      <c r="J481" s="35">
        <v>1988</v>
      </c>
      <c r="K481" s="35" t="s">
        <v>25</v>
      </c>
      <c r="L481" s="35" t="s">
        <v>1810</v>
      </c>
      <c r="M481" s="36">
        <v>59329</v>
      </c>
      <c r="N481" s="52">
        <v>57735</v>
      </c>
      <c r="O481" s="38">
        <v>0.97313286925449616</v>
      </c>
      <c r="P481" s="35">
        <v>939</v>
      </c>
      <c r="Q481" s="35" t="s">
        <v>1589</v>
      </c>
      <c r="R481" s="53">
        <v>23</v>
      </c>
      <c r="S481" s="53">
        <v>0.78</v>
      </c>
    </row>
    <row r="482" spans="1:19" x14ac:dyDescent="0.3">
      <c r="A482" s="35" t="s">
        <v>1586</v>
      </c>
      <c r="B482" s="35" t="s">
        <v>29</v>
      </c>
      <c r="C482" s="35" t="s">
        <v>1950</v>
      </c>
      <c r="D482" s="37">
        <v>219.39445789865871</v>
      </c>
      <c r="E482" s="35" t="s">
        <v>2655</v>
      </c>
      <c r="F482" s="37">
        <v>224.07382637853951</v>
      </c>
      <c r="G482" s="35" t="s">
        <v>2655</v>
      </c>
      <c r="H482" s="37">
        <v>208.51942995529063</v>
      </c>
      <c r="I482" s="37" t="s">
        <v>2656</v>
      </c>
      <c r="J482" s="35">
        <v>1999</v>
      </c>
      <c r="K482" s="35" t="s">
        <v>1950</v>
      </c>
      <c r="L482" s="35" t="s">
        <v>1950</v>
      </c>
      <c r="M482" s="36">
        <v>5368</v>
      </c>
      <c r="N482" s="52">
        <v>5316</v>
      </c>
      <c r="O482" s="38">
        <v>0.99031296572280181</v>
      </c>
      <c r="P482" s="35">
        <v>117</v>
      </c>
      <c r="Q482" s="35" t="s">
        <v>28</v>
      </c>
      <c r="R482" s="53">
        <v>0</v>
      </c>
      <c r="S482" s="53">
        <v>0</v>
      </c>
    </row>
    <row r="483" spans="1:19" x14ac:dyDescent="0.3">
      <c r="A483" s="35" t="s">
        <v>1586</v>
      </c>
      <c r="B483" s="35" t="s">
        <v>29</v>
      </c>
      <c r="C483" s="35" t="s">
        <v>1950</v>
      </c>
      <c r="D483" s="37">
        <v>194.83412615539314</v>
      </c>
      <c r="E483" s="35" t="s">
        <v>2656</v>
      </c>
      <c r="F483" s="37">
        <v>178.50096685617046</v>
      </c>
      <c r="G483" s="35" t="s">
        <v>2657</v>
      </c>
      <c r="H483" s="37">
        <v>206.52689793866264</v>
      </c>
      <c r="I483" s="37" t="s">
        <v>2656</v>
      </c>
      <c r="J483" s="35">
        <v>1987</v>
      </c>
      <c r="K483" s="35" t="s">
        <v>19</v>
      </c>
      <c r="L483" s="35" t="s">
        <v>1601</v>
      </c>
      <c r="M483" s="36">
        <v>25857</v>
      </c>
      <c r="N483" s="52">
        <v>25857</v>
      </c>
      <c r="O483" s="38">
        <v>1</v>
      </c>
      <c r="P483" s="35">
        <v>445</v>
      </c>
      <c r="Q483" s="35" t="s">
        <v>1589</v>
      </c>
      <c r="R483" s="53">
        <v>12</v>
      </c>
      <c r="S483" s="53">
        <v>0.59</v>
      </c>
    </row>
    <row r="484" spans="1:19" x14ac:dyDescent="0.3">
      <c r="A484" s="35" t="s">
        <v>1586</v>
      </c>
      <c r="B484" s="35" t="s">
        <v>29</v>
      </c>
      <c r="C484" s="35" t="s">
        <v>1950</v>
      </c>
      <c r="D484" s="37">
        <v>192.90708316752884</v>
      </c>
      <c r="E484" s="35" t="s">
        <v>2656</v>
      </c>
      <c r="F484" s="37">
        <v>193.06995622761639</v>
      </c>
      <c r="G484" s="35" t="s">
        <v>2656</v>
      </c>
      <c r="H484" s="37">
        <v>206.09725427775567</v>
      </c>
      <c r="I484" s="37" t="s">
        <v>2656</v>
      </c>
      <c r="J484" s="35">
        <v>1986</v>
      </c>
      <c r="K484" s="35" t="s">
        <v>25</v>
      </c>
      <c r="L484" s="35" t="s">
        <v>1783</v>
      </c>
      <c r="M484" s="36">
        <v>12565</v>
      </c>
      <c r="N484" s="52">
        <v>11500</v>
      </c>
      <c r="O484" s="38">
        <v>0.91524074810982892</v>
      </c>
      <c r="P484" s="35">
        <v>236</v>
      </c>
      <c r="Q484" s="35" t="s">
        <v>1589</v>
      </c>
      <c r="R484" s="53">
        <v>9</v>
      </c>
      <c r="S484" s="53">
        <v>1.24</v>
      </c>
    </row>
    <row r="485" spans="1:19" x14ac:dyDescent="0.3">
      <c r="A485" s="35" t="s">
        <v>1586</v>
      </c>
      <c r="B485" s="35" t="s">
        <v>29</v>
      </c>
      <c r="C485" s="35" t="s">
        <v>1950</v>
      </c>
      <c r="D485" s="37">
        <v>215.11722189523249</v>
      </c>
      <c r="E485" s="35" t="s">
        <v>2656</v>
      </c>
      <c r="F485" s="37">
        <v>202.63402001177164</v>
      </c>
      <c r="G485" s="35" t="s">
        <v>2656</v>
      </c>
      <c r="H485" s="37">
        <v>205.47969393761036</v>
      </c>
      <c r="I485" s="37" t="s">
        <v>2656</v>
      </c>
      <c r="J485" s="35">
        <v>2016</v>
      </c>
      <c r="K485" s="35" t="s">
        <v>1950</v>
      </c>
      <c r="L485" s="35" t="s">
        <v>1950</v>
      </c>
      <c r="M485" s="36">
        <v>10194</v>
      </c>
      <c r="N485" s="52">
        <v>10194</v>
      </c>
      <c r="O485" s="38">
        <v>1</v>
      </c>
      <c r="P485" s="35">
        <v>274</v>
      </c>
      <c r="Q485" s="35" t="s">
        <v>28</v>
      </c>
      <c r="R485" s="53">
        <v>0</v>
      </c>
      <c r="S485" s="53">
        <v>0</v>
      </c>
    </row>
    <row r="486" spans="1:19" x14ac:dyDescent="0.3">
      <c r="A486" s="35" t="s">
        <v>1586</v>
      </c>
      <c r="B486" s="35" t="s">
        <v>29</v>
      </c>
      <c r="C486" s="35" t="s">
        <v>1950</v>
      </c>
      <c r="D486" s="37">
        <v>185.49586656441718</v>
      </c>
      <c r="E486" s="35" t="s">
        <v>2657</v>
      </c>
      <c r="F486" s="37">
        <v>218.96962423312883</v>
      </c>
      <c r="G486" s="35" t="s">
        <v>2656</v>
      </c>
      <c r="H486" s="37">
        <v>204.53888036809815</v>
      </c>
      <c r="I486" s="37" t="s">
        <v>2656</v>
      </c>
      <c r="J486" s="35">
        <v>2015</v>
      </c>
      <c r="K486" s="35" t="s">
        <v>19</v>
      </c>
      <c r="L486" s="35" t="s">
        <v>1598</v>
      </c>
      <c r="M486" s="36">
        <v>32600</v>
      </c>
      <c r="N486" s="52">
        <v>29200</v>
      </c>
      <c r="O486" s="38">
        <v>0.89570552147239269</v>
      </c>
      <c r="P486" s="35">
        <v>1500</v>
      </c>
      <c r="Q486" s="35" t="s">
        <v>1589</v>
      </c>
      <c r="R486" s="53">
        <v>7</v>
      </c>
      <c r="S486" s="53">
        <v>0.62</v>
      </c>
    </row>
    <row r="487" spans="1:19" x14ac:dyDescent="0.3">
      <c r="A487" s="35" t="s">
        <v>1586</v>
      </c>
      <c r="B487" s="35" t="s">
        <v>29</v>
      </c>
      <c r="C487" s="35" t="s">
        <v>1950</v>
      </c>
      <c r="D487" s="37">
        <v>215.38729063039284</v>
      </c>
      <c r="E487" s="35" t="s">
        <v>2656</v>
      </c>
      <c r="F487" s="37">
        <v>197.97600243630089</v>
      </c>
      <c r="G487" s="35" t="s">
        <v>2656</v>
      </c>
      <c r="H487" s="37">
        <v>200.59729976652116</v>
      </c>
      <c r="I487" s="37" t="s">
        <v>2656</v>
      </c>
      <c r="J487" s="35">
        <v>2017</v>
      </c>
      <c r="K487" s="35" t="s">
        <v>21</v>
      </c>
      <c r="L487" s="35" t="s">
        <v>1599</v>
      </c>
      <c r="M487" s="36">
        <v>29553</v>
      </c>
      <c r="N487" s="52">
        <v>26700</v>
      </c>
      <c r="O487" s="38">
        <v>0.90346157750482181</v>
      </c>
      <c r="P487" s="35">
        <v>772</v>
      </c>
      <c r="Q487" s="35" t="s">
        <v>1589</v>
      </c>
      <c r="R487" s="53">
        <v>7</v>
      </c>
      <c r="S487" s="53">
        <v>0.68100000000000005</v>
      </c>
    </row>
    <row r="488" spans="1:19" x14ac:dyDescent="0.3">
      <c r="A488" s="35" t="s">
        <v>1586</v>
      </c>
      <c r="B488" s="35" t="s">
        <v>29</v>
      </c>
      <c r="C488" s="35" t="s">
        <v>1950</v>
      </c>
      <c r="D488" s="37">
        <v>209.12587170614853</v>
      </c>
      <c r="E488" s="35" t="s">
        <v>2656</v>
      </c>
      <c r="F488" s="37">
        <v>205.94141602342293</v>
      </c>
      <c r="G488" s="35" t="s">
        <v>2656</v>
      </c>
      <c r="H488" s="37">
        <v>199.93269896193772</v>
      </c>
      <c r="I488" s="37" t="s">
        <v>2656</v>
      </c>
      <c r="J488" s="35">
        <v>1973</v>
      </c>
      <c r="K488" s="35" t="s">
        <v>19</v>
      </c>
      <c r="L488" s="35" t="s">
        <v>1601</v>
      </c>
      <c r="M488" s="36">
        <v>37570</v>
      </c>
      <c r="N488" s="52">
        <v>26873</v>
      </c>
      <c r="O488" s="38">
        <v>0.71527814745807827</v>
      </c>
      <c r="P488" s="35">
        <v>663</v>
      </c>
      <c r="Q488" s="35" t="s">
        <v>1589</v>
      </c>
      <c r="R488" s="53">
        <v>12</v>
      </c>
      <c r="S488" s="53">
        <v>0.54800000000000004</v>
      </c>
    </row>
    <row r="489" spans="1:19" x14ac:dyDescent="0.3">
      <c r="A489" s="35" t="s">
        <v>1586</v>
      </c>
      <c r="B489" s="35" t="s">
        <v>29</v>
      </c>
      <c r="C489" s="35" t="s">
        <v>1950</v>
      </c>
      <c r="D489" s="37">
        <v>181.58843379635528</v>
      </c>
      <c r="E489" s="35" t="s">
        <v>2657</v>
      </c>
      <c r="F489" s="37">
        <v>195.26631833821844</v>
      </c>
      <c r="G489" s="35" t="s">
        <v>2656</v>
      </c>
      <c r="H489" s="37">
        <v>199.47249776984833</v>
      </c>
      <c r="I489" s="37" t="s">
        <v>2656</v>
      </c>
      <c r="J489" s="35">
        <v>2016</v>
      </c>
      <c r="K489" s="35" t="s">
        <v>47</v>
      </c>
      <c r="L489" s="35" t="s">
        <v>1608</v>
      </c>
      <c r="M489" s="36">
        <v>15694</v>
      </c>
      <c r="N489" s="52">
        <v>10338</v>
      </c>
      <c r="O489" s="38">
        <v>0.65872307888364978</v>
      </c>
      <c r="P489" s="35">
        <v>146</v>
      </c>
      <c r="Q489" s="35" t="s">
        <v>28</v>
      </c>
      <c r="R489" s="53">
        <v>0</v>
      </c>
      <c r="S489" s="53">
        <v>0</v>
      </c>
    </row>
    <row r="490" spans="1:19" x14ac:dyDescent="0.3">
      <c r="A490" s="35" t="s">
        <v>1586</v>
      </c>
      <c r="B490" s="35" t="s">
        <v>29</v>
      </c>
      <c r="C490" s="35" t="s">
        <v>1950</v>
      </c>
      <c r="D490" s="37">
        <v>187.05124603174605</v>
      </c>
      <c r="E490" s="35" t="s">
        <v>2656</v>
      </c>
      <c r="F490" s="37">
        <v>189.55533333333335</v>
      </c>
      <c r="G490" s="35" t="s">
        <v>2656</v>
      </c>
      <c r="H490" s="37">
        <v>198.54680952380951</v>
      </c>
      <c r="I490" s="37" t="s">
        <v>2657</v>
      </c>
      <c r="J490" s="35">
        <v>2016</v>
      </c>
      <c r="K490" s="35" t="s">
        <v>19</v>
      </c>
      <c r="L490" s="35" t="s">
        <v>1783</v>
      </c>
      <c r="M490" s="36">
        <v>25200</v>
      </c>
      <c r="N490" s="52">
        <v>23604</v>
      </c>
      <c r="O490" s="38">
        <v>0.93666666666666665</v>
      </c>
      <c r="P490" s="35">
        <v>582</v>
      </c>
      <c r="Q490" s="35" t="s">
        <v>1589</v>
      </c>
      <c r="R490" s="53">
        <v>6</v>
      </c>
      <c r="S490" s="53">
        <v>0.65</v>
      </c>
    </row>
    <row r="491" spans="1:19" x14ac:dyDescent="0.3">
      <c r="A491" s="35" t="s">
        <v>1586</v>
      </c>
      <c r="B491" s="35" t="s">
        <v>29</v>
      </c>
      <c r="C491" s="35" t="s">
        <v>1950</v>
      </c>
      <c r="D491" s="37">
        <v>200.65847537383667</v>
      </c>
      <c r="E491" s="35" t="s">
        <v>2656</v>
      </c>
      <c r="F491" s="37">
        <v>205.83225713688174</v>
      </c>
      <c r="G491" s="35" t="s">
        <v>2656</v>
      </c>
      <c r="H491" s="37">
        <v>198.53267802990695</v>
      </c>
      <c r="I491" s="37" t="s">
        <v>2657</v>
      </c>
      <c r="J491" s="35">
        <v>1982</v>
      </c>
      <c r="K491" s="35" t="s">
        <v>25</v>
      </c>
      <c r="L491" s="35" t="s">
        <v>1601</v>
      </c>
      <c r="M491" s="36">
        <v>58999</v>
      </c>
      <c r="N491" s="52">
        <v>54035</v>
      </c>
      <c r="O491" s="38">
        <v>0.91586298072848693</v>
      </c>
      <c r="P491" s="35">
        <v>403</v>
      </c>
      <c r="Q491" s="35" t="s">
        <v>1589</v>
      </c>
      <c r="R491" s="53">
        <v>0</v>
      </c>
      <c r="S491" s="53">
        <v>0.68</v>
      </c>
    </row>
    <row r="492" spans="1:19" x14ac:dyDescent="0.3">
      <c r="A492" s="35" t="s">
        <v>1586</v>
      </c>
      <c r="B492" s="35" t="s">
        <v>29</v>
      </c>
      <c r="C492" s="35" t="s">
        <v>1950</v>
      </c>
      <c r="D492" s="37">
        <v>169.19411309722071</v>
      </c>
      <c r="E492" s="35" t="s">
        <v>2657</v>
      </c>
      <c r="F492" s="37">
        <v>183.78944265571224</v>
      </c>
      <c r="G492" s="35" t="s">
        <v>2657</v>
      </c>
      <c r="H492" s="37">
        <v>196.91373468783542</v>
      </c>
      <c r="I492" s="37" t="s">
        <v>2657</v>
      </c>
      <c r="J492" s="35">
        <v>1986</v>
      </c>
      <c r="K492" s="35" t="s">
        <v>21</v>
      </c>
      <c r="L492" s="35" t="s">
        <v>1601</v>
      </c>
      <c r="M492" s="36">
        <v>54042</v>
      </c>
      <c r="N492" s="52">
        <v>42053</v>
      </c>
      <c r="O492" s="38">
        <v>0.7781540283483217</v>
      </c>
      <c r="P492" s="35">
        <v>515</v>
      </c>
      <c r="Q492" s="35" t="s">
        <v>1589</v>
      </c>
      <c r="R492" s="53">
        <v>1</v>
      </c>
      <c r="S492" s="53">
        <v>0</v>
      </c>
    </row>
    <row r="493" spans="1:19" x14ac:dyDescent="0.3">
      <c r="A493" s="35" t="s">
        <v>1586</v>
      </c>
      <c r="B493" s="35" t="s">
        <v>29</v>
      </c>
      <c r="C493" s="35" t="s">
        <v>1950</v>
      </c>
      <c r="D493" s="37">
        <v>215.22106211684763</v>
      </c>
      <c r="E493" s="35" t="s">
        <v>2656</v>
      </c>
      <c r="F493" s="37">
        <v>202.52669768816014</v>
      </c>
      <c r="G493" s="35" t="s">
        <v>2656</v>
      </c>
      <c r="H493" s="37">
        <v>196.09764015067583</v>
      </c>
      <c r="I493" s="37" t="s">
        <v>2657</v>
      </c>
      <c r="J493" s="35">
        <v>2011</v>
      </c>
      <c r="K493" s="35" t="s">
        <v>25</v>
      </c>
      <c r="L493" s="35" t="s">
        <v>1597</v>
      </c>
      <c r="M493" s="36">
        <v>13539</v>
      </c>
      <c r="N493" s="52">
        <v>13128</v>
      </c>
      <c r="O493" s="38">
        <v>0.96964325282517172</v>
      </c>
      <c r="P493" s="35">
        <v>85</v>
      </c>
      <c r="Q493" s="35" t="s">
        <v>1589</v>
      </c>
      <c r="R493" s="53">
        <v>10</v>
      </c>
      <c r="S493" s="53">
        <v>0</v>
      </c>
    </row>
    <row r="494" spans="1:19" x14ac:dyDescent="0.3">
      <c r="A494" s="35" t="s">
        <v>1586</v>
      </c>
      <c r="B494" s="35" t="s">
        <v>29</v>
      </c>
      <c r="C494" s="35" t="s">
        <v>1950</v>
      </c>
      <c r="D494" s="37">
        <v>172.75411300373909</v>
      </c>
      <c r="E494" s="35" t="s">
        <v>2657</v>
      </c>
      <c r="F494" s="37">
        <v>180.001454092231</v>
      </c>
      <c r="G494" s="35" t="s">
        <v>2657</v>
      </c>
      <c r="H494" s="37">
        <v>194.66768868577759</v>
      </c>
      <c r="I494" s="37" t="s">
        <v>2657</v>
      </c>
      <c r="J494" s="35">
        <v>2013</v>
      </c>
      <c r="K494" s="35" t="s">
        <v>19</v>
      </c>
      <c r="L494" s="35" t="s">
        <v>1603</v>
      </c>
      <c r="M494" s="36">
        <v>7221</v>
      </c>
      <c r="N494" s="52">
        <v>4747</v>
      </c>
      <c r="O494" s="38">
        <v>0.65738817338318789</v>
      </c>
      <c r="P494" s="35">
        <v>221</v>
      </c>
      <c r="Q494" s="35" t="s">
        <v>1589</v>
      </c>
      <c r="R494" s="53">
        <v>10</v>
      </c>
      <c r="S494" s="53">
        <v>0.55000000000000004</v>
      </c>
    </row>
    <row r="495" spans="1:19" x14ac:dyDescent="0.3">
      <c r="A495" s="35" t="s">
        <v>1586</v>
      </c>
      <c r="B495" s="35" t="s">
        <v>29</v>
      </c>
      <c r="C495" s="35" t="s">
        <v>1950</v>
      </c>
      <c r="D495" s="37">
        <v>193.43793899854759</v>
      </c>
      <c r="E495" s="35" t="s">
        <v>2656</v>
      </c>
      <c r="F495" s="37">
        <v>176.64706302531013</v>
      </c>
      <c r="G495" s="35" t="s">
        <v>2657</v>
      </c>
      <c r="H495" s="37">
        <v>192.13076501821473</v>
      </c>
      <c r="I495" s="37" t="s">
        <v>2657</v>
      </c>
      <c r="J495" s="35">
        <v>2008</v>
      </c>
      <c r="K495" s="35" t="s">
        <v>25</v>
      </c>
      <c r="L495" s="35" t="s">
        <v>1783</v>
      </c>
      <c r="M495" s="36">
        <v>41999</v>
      </c>
      <c r="N495" s="52">
        <v>41999</v>
      </c>
      <c r="O495" s="38">
        <v>1</v>
      </c>
      <c r="P495" s="35">
        <v>563</v>
      </c>
      <c r="Q495" s="35" t="s">
        <v>1589</v>
      </c>
      <c r="R495" s="53">
        <v>15</v>
      </c>
      <c r="S495" s="53">
        <v>0.65800000000000003</v>
      </c>
    </row>
    <row r="496" spans="1:19" x14ac:dyDescent="0.3">
      <c r="A496" s="35" t="s">
        <v>1586</v>
      </c>
      <c r="B496" s="35" t="s">
        <v>29</v>
      </c>
      <c r="C496" s="35" t="s">
        <v>1950</v>
      </c>
      <c r="D496" s="37">
        <v>179.93439348853491</v>
      </c>
      <c r="E496" s="35" t="s">
        <v>2657</v>
      </c>
      <c r="F496" s="37">
        <v>188.94620864694556</v>
      </c>
      <c r="G496" s="35" t="s">
        <v>2657</v>
      </c>
      <c r="H496" s="37">
        <v>183.62515315946087</v>
      </c>
      <c r="I496" s="37" t="s">
        <v>2657</v>
      </c>
      <c r="J496" s="35">
        <v>1993</v>
      </c>
      <c r="K496" s="35" t="s">
        <v>25</v>
      </c>
      <c r="L496" s="35" t="s">
        <v>1783</v>
      </c>
      <c r="M496" s="36">
        <v>11426</v>
      </c>
      <c r="N496" s="52">
        <v>8761</v>
      </c>
      <c r="O496" s="38">
        <v>0.76676002100472607</v>
      </c>
      <c r="P496" s="35">
        <v>210</v>
      </c>
      <c r="Q496" s="35" t="s">
        <v>1589</v>
      </c>
      <c r="R496" s="53">
        <v>9</v>
      </c>
      <c r="S496" s="53">
        <v>0.65</v>
      </c>
    </row>
    <row r="497" spans="1:19" x14ac:dyDescent="0.3">
      <c r="A497" s="35" t="s">
        <v>1586</v>
      </c>
      <c r="B497" s="35" t="s">
        <v>29</v>
      </c>
      <c r="C497" s="35" t="s">
        <v>1950</v>
      </c>
      <c r="D497" s="37">
        <v>159.57061018552582</v>
      </c>
      <c r="E497" s="35" t="s">
        <v>2657</v>
      </c>
      <c r="F497" s="37">
        <v>165.58566773532348</v>
      </c>
      <c r="G497" s="35" t="s">
        <v>2657</v>
      </c>
      <c r="H497" s="37">
        <v>181.0940374205077</v>
      </c>
      <c r="I497" s="37" t="s">
        <v>2657</v>
      </c>
      <c r="J497" s="35">
        <v>1997</v>
      </c>
      <c r="K497" s="35" t="s">
        <v>19</v>
      </c>
      <c r="L497" s="35" t="s">
        <v>1601</v>
      </c>
      <c r="M497" s="36">
        <v>38054</v>
      </c>
      <c r="N497" s="52">
        <v>38054</v>
      </c>
      <c r="O497" s="38">
        <v>1</v>
      </c>
      <c r="P497" s="35">
        <v>476</v>
      </c>
      <c r="Q497" s="35" t="s">
        <v>1589</v>
      </c>
      <c r="R497" s="53">
        <v>5</v>
      </c>
      <c r="S497" s="53">
        <v>0.62</v>
      </c>
    </row>
    <row r="498" spans="1:19" x14ac:dyDescent="0.3">
      <c r="A498" s="35" t="s">
        <v>1586</v>
      </c>
      <c r="B498" s="35" t="s">
        <v>29</v>
      </c>
      <c r="C498" s="35" t="s">
        <v>1950</v>
      </c>
      <c r="D498" s="37">
        <v>213.44375179546105</v>
      </c>
      <c r="E498" s="35" t="s">
        <v>2656</v>
      </c>
      <c r="F498" s="37">
        <v>227.02459063487504</v>
      </c>
      <c r="G498" s="35" t="s">
        <v>2655</v>
      </c>
      <c r="H498" s="37">
        <v>177.77014507325481</v>
      </c>
      <c r="I498" s="37" t="s">
        <v>2657</v>
      </c>
      <c r="J498" s="35">
        <v>2014</v>
      </c>
      <c r="K498" s="35" t="s">
        <v>1950</v>
      </c>
      <c r="L498" s="35" t="s">
        <v>1950</v>
      </c>
      <c r="M498" s="36">
        <v>6962</v>
      </c>
      <c r="N498" s="52">
        <v>6000</v>
      </c>
      <c r="O498" s="38">
        <v>0.86182131571387532</v>
      </c>
      <c r="P498" s="35">
        <v>270</v>
      </c>
      <c r="Q498" s="35" t="s">
        <v>28</v>
      </c>
      <c r="R498" s="53">
        <v>0</v>
      </c>
      <c r="S498" s="53">
        <v>6.42</v>
      </c>
    </row>
    <row r="499" spans="1:19" x14ac:dyDescent="0.3">
      <c r="A499" s="35" t="s">
        <v>1586</v>
      </c>
      <c r="B499" s="35" t="s">
        <v>29</v>
      </c>
      <c r="C499" s="35" t="s">
        <v>1950</v>
      </c>
      <c r="D499" s="37">
        <v>181.03785953177257</v>
      </c>
      <c r="E499" s="35" t="s">
        <v>2657</v>
      </c>
      <c r="F499" s="37">
        <v>161.70140468227424</v>
      </c>
      <c r="G499" s="35" t="s">
        <v>2657</v>
      </c>
      <c r="H499" s="37">
        <v>174.23958193979934</v>
      </c>
      <c r="I499" s="37" t="s">
        <v>2657</v>
      </c>
      <c r="J499" s="35">
        <v>1971</v>
      </c>
      <c r="K499" s="35" t="s">
        <v>1950</v>
      </c>
      <c r="L499" s="35" t="s">
        <v>1950</v>
      </c>
      <c r="M499" s="36">
        <v>14950</v>
      </c>
      <c r="N499" s="52">
        <v>13000</v>
      </c>
      <c r="O499" s="38">
        <v>0.86956521739130432</v>
      </c>
      <c r="P499" s="35">
        <v>240</v>
      </c>
      <c r="Q499" s="35" t="s">
        <v>1589</v>
      </c>
      <c r="R499" s="53">
        <v>8</v>
      </c>
      <c r="S499" s="53">
        <v>0.83</v>
      </c>
    </row>
    <row r="500" spans="1:19" x14ac:dyDescent="0.3">
      <c r="A500" s="35" t="s">
        <v>1586</v>
      </c>
      <c r="B500" s="35" t="s">
        <v>29</v>
      </c>
      <c r="C500" s="35" t="s">
        <v>1950</v>
      </c>
      <c r="D500" s="37">
        <v>153.16625178751124</v>
      </c>
      <c r="E500" s="39" t="s">
        <v>1950</v>
      </c>
      <c r="F500" s="37">
        <v>152.83862083576082</v>
      </c>
      <c r="G500" s="35" t="s">
        <v>1950</v>
      </c>
      <c r="H500" s="37">
        <v>170.76023515703616</v>
      </c>
      <c r="I500" s="37" t="s">
        <v>1950</v>
      </c>
      <c r="J500" s="35">
        <v>2011</v>
      </c>
      <c r="K500" s="35" t="s">
        <v>25</v>
      </c>
      <c r="L500" s="35" t="s">
        <v>1608</v>
      </c>
      <c r="M500" s="36">
        <v>18881</v>
      </c>
      <c r="N500" s="52">
        <v>18881</v>
      </c>
      <c r="O500" s="38">
        <v>1</v>
      </c>
      <c r="P500" s="35">
        <v>351</v>
      </c>
      <c r="Q500" s="35" t="s">
        <v>1821</v>
      </c>
      <c r="R500" s="53">
        <v>0</v>
      </c>
      <c r="S500" s="53">
        <v>0</v>
      </c>
    </row>
    <row r="501" spans="1:19" x14ac:dyDescent="0.3">
      <c r="A501" s="35" t="s">
        <v>1586</v>
      </c>
      <c r="B501" s="35" t="s">
        <v>29</v>
      </c>
      <c r="C501" s="35" t="s">
        <v>1950</v>
      </c>
      <c r="D501" s="37">
        <v>154.52998486673462</v>
      </c>
      <c r="E501" s="35" t="s">
        <v>2657</v>
      </c>
      <c r="F501" s="37">
        <v>161.97514592791623</v>
      </c>
      <c r="G501" s="35" t="s">
        <v>2657</v>
      </c>
      <c r="H501" s="37">
        <v>170.75650915716977</v>
      </c>
      <c r="I501" s="37" t="s">
        <v>2657</v>
      </c>
      <c r="J501" s="35">
        <v>1985</v>
      </c>
      <c r="K501" s="35" t="s">
        <v>21</v>
      </c>
      <c r="L501" s="35" t="s">
        <v>1601</v>
      </c>
      <c r="M501" s="36">
        <v>32379</v>
      </c>
      <c r="N501" s="52">
        <v>31033</v>
      </c>
      <c r="O501" s="38">
        <v>0.95842984650545104</v>
      </c>
      <c r="P501" s="35">
        <v>415</v>
      </c>
      <c r="Q501" s="35" t="s">
        <v>1589</v>
      </c>
      <c r="R501" s="53">
        <v>13</v>
      </c>
      <c r="S501" s="53">
        <v>0.67</v>
      </c>
    </row>
    <row r="502" spans="1:19" x14ac:dyDescent="0.3">
      <c r="A502" s="35" t="s">
        <v>1586</v>
      </c>
      <c r="B502" s="35" t="s">
        <v>29</v>
      </c>
      <c r="C502" s="35" t="s">
        <v>1950</v>
      </c>
      <c r="D502" s="37">
        <v>164.65800118875774</v>
      </c>
      <c r="E502" s="35" t="s">
        <v>2657</v>
      </c>
      <c r="F502" s="37">
        <v>154.12203235119301</v>
      </c>
      <c r="G502" s="35" t="s">
        <v>2657</v>
      </c>
      <c r="H502" s="37">
        <v>163.61631145453001</v>
      </c>
      <c r="I502" s="37" t="s">
        <v>2657</v>
      </c>
      <c r="J502" s="35">
        <v>1971</v>
      </c>
      <c r="K502" s="35" t="s">
        <v>25</v>
      </c>
      <c r="L502" s="35" t="s">
        <v>1601</v>
      </c>
      <c r="M502" s="36">
        <v>23554</v>
      </c>
      <c r="N502" s="52">
        <v>21262</v>
      </c>
      <c r="O502" s="38">
        <v>0.90269168718688975</v>
      </c>
      <c r="P502" s="35">
        <v>342</v>
      </c>
      <c r="Q502" s="35" t="s">
        <v>1589</v>
      </c>
      <c r="R502" s="53">
        <v>6</v>
      </c>
      <c r="S502" s="53">
        <v>0.68</v>
      </c>
    </row>
    <row r="503" spans="1:19" x14ac:dyDescent="0.3">
      <c r="A503" s="35" t="s">
        <v>1586</v>
      </c>
      <c r="B503" s="35" t="s">
        <v>29</v>
      </c>
      <c r="C503" s="35" t="s">
        <v>1950</v>
      </c>
      <c r="D503" s="37">
        <v>202.57873296077713</v>
      </c>
      <c r="E503" s="35" t="s">
        <v>2656</v>
      </c>
      <c r="F503" s="37">
        <v>187.76013213558261</v>
      </c>
      <c r="G503" s="35" t="s">
        <v>2657</v>
      </c>
      <c r="H503" s="37">
        <v>162.14246409359168</v>
      </c>
      <c r="I503" s="37" t="s">
        <v>2657</v>
      </c>
      <c r="J503" s="35">
        <v>2015</v>
      </c>
      <c r="K503" s="35" t="s">
        <v>19</v>
      </c>
      <c r="L503" s="35" t="s">
        <v>1598</v>
      </c>
      <c r="M503" s="36">
        <v>19147</v>
      </c>
      <c r="N503" s="52">
        <v>15755</v>
      </c>
      <c r="O503" s="38">
        <v>0.82284430981354784</v>
      </c>
      <c r="P503" s="35">
        <v>557</v>
      </c>
      <c r="Q503" s="35" t="s">
        <v>1589</v>
      </c>
      <c r="R503" s="53">
        <v>7</v>
      </c>
      <c r="S503" s="53">
        <v>0.62</v>
      </c>
    </row>
    <row r="504" spans="1:19" x14ac:dyDescent="0.3">
      <c r="A504" s="35" t="s">
        <v>1586</v>
      </c>
      <c r="B504" s="35" t="s">
        <v>29</v>
      </c>
      <c r="C504" s="35" t="s">
        <v>1950</v>
      </c>
      <c r="D504" s="37">
        <v>174.31764816204051</v>
      </c>
      <c r="E504" s="35" t="s">
        <v>2657</v>
      </c>
      <c r="F504" s="37">
        <v>149.93752188047011</v>
      </c>
      <c r="G504" s="35" t="s">
        <v>2657</v>
      </c>
      <c r="H504" s="37">
        <v>146.30482620655164</v>
      </c>
      <c r="I504" s="37" t="s">
        <v>2657</v>
      </c>
      <c r="J504" s="35">
        <v>2019</v>
      </c>
      <c r="K504" s="35" t="s">
        <v>21</v>
      </c>
      <c r="L504" s="35" t="s">
        <v>1599</v>
      </c>
      <c r="M504" s="36">
        <v>15996</v>
      </c>
      <c r="N504" s="52">
        <v>15326</v>
      </c>
      <c r="O504" s="38">
        <v>0.95811452863215807</v>
      </c>
      <c r="P504" s="35">
        <v>304</v>
      </c>
      <c r="Q504" s="35" t="s">
        <v>1589</v>
      </c>
      <c r="R504" s="53">
        <v>4</v>
      </c>
      <c r="S504" s="53">
        <v>0.61</v>
      </c>
    </row>
    <row r="505" spans="1:19" x14ac:dyDescent="0.3">
      <c r="A505" s="35" t="s">
        <v>1586</v>
      </c>
      <c r="B505" s="35" t="s">
        <v>29</v>
      </c>
      <c r="C505" s="35" t="s">
        <v>1950</v>
      </c>
      <c r="D505" s="37">
        <v>140.64235172329802</v>
      </c>
      <c r="E505" s="35" t="s">
        <v>2657</v>
      </c>
      <c r="F505" s="37">
        <v>135.91046522957009</v>
      </c>
      <c r="G505" s="35" t="s">
        <v>2657</v>
      </c>
      <c r="H505" s="37">
        <v>139.48870539520155</v>
      </c>
      <c r="I505" s="37" t="s">
        <v>2657</v>
      </c>
      <c r="J505" s="35">
        <v>1980</v>
      </c>
      <c r="K505" s="35" t="s">
        <v>1950</v>
      </c>
      <c r="L505" s="35" t="s">
        <v>1950</v>
      </c>
      <c r="M505" s="36">
        <v>8211</v>
      </c>
      <c r="N505" s="52">
        <v>7800</v>
      </c>
      <c r="O505" s="38">
        <v>0.94994519546949219</v>
      </c>
      <c r="P505" s="35">
        <v>98</v>
      </c>
      <c r="Q505" s="35" t="s">
        <v>1589</v>
      </c>
      <c r="R505" s="53">
        <v>5</v>
      </c>
      <c r="S505" s="53">
        <v>0</v>
      </c>
    </row>
    <row r="506" spans="1:19" x14ac:dyDescent="0.3">
      <c r="A506" s="35" t="s">
        <v>1586</v>
      </c>
      <c r="B506" s="35" t="s">
        <v>29</v>
      </c>
      <c r="C506" s="35" t="s">
        <v>1950</v>
      </c>
      <c r="D506" s="37">
        <v>147.88518694860664</v>
      </c>
      <c r="E506" s="35" t="s">
        <v>2657</v>
      </c>
      <c r="F506" s="37">
        <v>145.39675395602856</v>
      </c>
      <c r="G506" s="35" t="s">
        <v>2657</v>
      </c>
      <c r="H506" s="37">
        <v>135.34958969332027</v>
      </c>
      <c r="I506" s="37" t="s">
        <v>2657</v>
      </c>
      <c r="J506" s="35">
        <v>1988</v>
      </c>
      <c r="K506" s="35" t="s">
        <v>25</v>
      </c>
      <c r="L506" s="35" t="s">
        <v>1599</v>
      </c>
      <c r="M506" s="36">
        <v>7141</v>
      </c>
      <c r="N506" s="52">
        <v>6765</v>
      </c>
      <c r="O506" s="38">
        <v>0.94734631004061054</v>
      </c>
      <c r="P506" s="35">
        <v>130</v>
      </c>
      <c r="Q506" s="35" t="s">
        <v>1589</v>
      </c>
      <c r="R506" s="53">
        <v>5</v>
      </c>
      <c r="S506" s="53">
        <v>0.65</v>
      </c>
    </row>
    <row r="507" spans="1:19" x14ac:dyDescent="0.3">
      <c r="A507" s="35" t="s">
        <v>1586</v>
      </c>
      <c r="B507" s="35" t="s">
        <v>29</v>
      </c>
      <c r="C507" s="35" t="s">
        <v>1950</v>
      </c>
      <c r="D507" s="37">
        <v>117.67603899435608</v>
      </c>
      <c r="E507" s="35" t="s">
        <v>2657</v>
      </c>
      <c r="F507" s="37">
        <v>112.73057978450487</v>
      </c>
      <c r="G507" s="35" t="s">
        <v>2657</v>
      </c>
      <c r="H507" s="37">
        <v>127.70464340687532</v>
      </c>
      <c r="I507" s="37" t="s">
        <v>2657</v>
      </c>
      <c r="J507" s="35">
        <v>1971</v>
      </c>
      <c r="K507" s="35" t="s">
        <v>25</v>
      </c>
      <c r="L507" s="35" t="s">
        <v>1818</v>
      </c>
      <c r="M507" s="36">
        <v>31184</v>
      </c>
      <c r="N507" s="52">
        <v>27181</v>
      </c>
      <c r="O507" s="38">
        <v>0.87163288866085176</v>
      </c>
      <c r="P507" s="35">
        <v>407</v>
      </c>
      <c r="Q507" s="35" t="s">
        <v>1589</v>
      </c>
      <c r="R507" s="53">
        <v>7</v>
      </c>
      <c r="S507" s="53">
        <v>0</v>
      </c>
    </row>
    <row r="508" spans="1:19" x14ac:dyDescent="0.3">
      <c r="A508" s="35" t="s">
        <v>1586</v>
      </c>
      <c r="B508" s="35" t="s">
        <v>29</v>
      </c>
      <c r="C508" s="35" t="s">
        <v>1950</v>
      </c>
      <c r="D508" s="37">
        <v>159.26518529927492</v>
      </c>
      <c r="E508" s="35" t="s">
        <v>2657</v>
      </c>
      <c r="F508" s="37">
        <v>163.41495367518127</v>
      </c>
      <c r="G508" s="35" t="s">
        <v>2657</v>
      </c>
      <c r="H508" s="37">
        <v>100.37686069380599</v>
      </c>
      <c r="I508" s="37" t="s">
        <v>2657</v>
      </c>
      <c r="J508" s="35">
        <v>1971</v>
      </c>
      <c r="K508" s="35" t="s">
        <v>19</v>
      </c>
      <c r="L508" s="35" t="s">
        <v>1599</v>
      </c>
      <c r="M508" s="36">
        <v>84404</v>
      </c>
      <c r="N508" s="52">
        <v>70830</v>
      </c>
      <c r="O508" s="38">
        <v>0.83917823799819913</v>
      </c>
      <c r="P508" s="35">
        <v>677</v>
      </c>
      <c r="Q508" s="35" t="s">
        <v>1589</v>
      </c>
      <c r="R508" s="53">
        <v>22</v>
      </c>
      <c r="S508" s="53">
        <v>0</v>
      </c>
    </row>
    <row r="509" spans="1:19" x14ac:dyDescent="0.3">
      <c r="A509" s="35" t="s">
        <v>1586</v>
      </c>
      <c r="B509" s="35" t="s">
        <v>29</v>
      </c>
      <c r="C509" s="35" t="s">
        <v>1950</v>
      </c>
      <c r="D509" s="37">
        <v>79.563560980154662</v>
      </c>
      <c r="E509" s="35" t="s">
        <v>2657</v>
      </c>
      <c r="F509" s="37">
        <v>78.201273176185595</v>
      </c>
      <c r="G509" s="35" t="s">
        <v>2657</v>
      </c>
      <c r="H509" s="37">
        <v>88.62695238982576</v>
      </c>
      <c r="I509" s="37" t="s">
        <v>2657</v>
      </c>
      <c r="J509" s="35">
        <v>1972</v>
      </c>
      <c r="K509" s="35" t="s">
        <v>21</v>
      </c>
      <c r="L509" s="35" t="s">
        <v>1601</v>
      </c>
      <c r="M509" s="36">
        <v>21466</v>
      </c>
      <c r="N509" s="52">
        <v>19767</v>
      </c>
      <c r="O509" s="38">
        <v>0.92085157924159133</v>
      </c>
      <c r="P509" s="35">
        <v>151</v>
      </c>
      <c r="Q509" s="35" t="s">
        <v>1589</v>
      </c>
      <c r="R509" s="53">
        <v>7</v>
      </c>
      <c r="S509" s="53">
        <v>0.6</v>
      </c>
    </row>
    <row r="510" spans="1:19" x14ac:dyDescent="0.3">
      <c r="A510" s="35" t="s">
        <v>1586</v>
      </c>
      <c r="B510" s="35" t="s">
        <v>29</v>
      </c>
      <c r="C510" s="35" t="s">
        <v>1950</v>
      </c>
      <c r="D510" s="37">
        <v>99.796771247606429</v>
      </c>
      <c r="E510" s="35" t="s">
        <v>2657</v>
      </c>
      <c r="F510" s="37">
        <v>86.64202091618796</v>
      </c>
      <c r="G510" s="35" t="s">
        <v>2657</v>
      </c>
      <c r="H510" s="37">
        <v>73.028727353071147</v>
      </c>
      <c r="I510" s="37" t="s">
        <v>2657</v>
      </c>
      <c r="J510" s="35">
        <v>2014</v>
      </c>
      <c r="K510" s="35" t="s">
        <v>1950</v>
      </c>
      <c r="L510" s="35" t="s">
        <v>1950</v>
      </c>
      <c r="M510" s="36">
        <v>13578</v>
      </c>
      <c r="N510" s="52">
        <v>12000</v>
      </c>
      <c r="O510" s="38">
        <v>0.88378258948298716</v>
      </c>
      <c r="P510" s="35">
        <v>442</v>
      </c>
      <c r="Q510" s="35" t="s">
        <v>1589</v>
      </c>
      <c r="R510" s="53">
        <v>8</v>
      </c>
      <c r="S510" s="53">
        <v>0</v>
      </c>
    </row>
    <row r="511" spans="1:19" x14ac:dyDescent="0.3">
      <c r="A511" s="35" t="s">
        <v>1586</v>
      </c>
      <c r="B511" s="35" t="s">
        <v>29</v>
      </c>
      <c r="C511" s="35" t="s">
        <v>1950</v>
      </c>
      <c r="D511" s="37">
        <v>36.365433333333335</v>
      </c>
      <c r="E511" s="35" t="s">
        <v>2657</v>
      </c>
      <c r="F511" s="37">
        <v>35.092941777777774</v>
      </c>
      <c r="G511" s="35" t="s">
        <v>2657</v>
      </c>
      <c r="H511" s="37">
        <v>38.977075111111105</v>
      </c>
      <c r="I511" s="37" t="s">
        <v>2657</v>
      </c>
      <c r="J511" s="35">
        <v>2012</v>
      </c>
      <c r="K511" s="35" t="s">
        <v>19</v>
      </c>
      <c r="L511" s="35" t="s">
        <v>1599</v>
      </c>
      <c r="M511" s="36">
        <v>45000</v>
      </c>
      <c r="N511" s="52">
        <v>3100</v>
      </c>
      <c r="O511" s="38">
        <v>6.8888888888888888E-2</v>
      </c>
      <c r="P511" s="35">
        <v>140</v>
      </c>
      <c r="Q511" s="35" t="s">
        <v>28</v>
      </c>
      <c r="R511" s="53">
        <v>0</v>
      </c>
      <c r="S511" s="53">
        <v>0</v>
      </c>
    </row>
    <row r="512" spans="1:19" x14ac:dyDescent="0.3">
      <c r="A512" s="35" t="s">
        <v>1586</v>
      </c>
      <c r="B512" s="35" t="s">
        <v>29</v>
      </c>
      <c r="C512" s="35" t="s">
        <v>1950</v>
      </c>
      <c r="D512" s="37">
        <v>207.50963891081295</v>
      </c>
      <c r="E512" s="35" t="s">
        <v>2656</v>
      </c>
      <c r="F512" s="37">
        <v>171.87321921862667</v>
      </c>
      <c r="G512" s="35" t="s">
        <v>2657</v>
      </c>
      <c r="H512" s="37">
        <v>30.728324782951855</v>
      </c>
      <c r="I512" s="37" t="s">
        <v>2657</v>
      </c>
      <c r="J512" s="35">
        <v>1997</v>
      </c>
      <c r="K512" s="35" t="s">
        <v>1950</v>
      </c>
      <c r="L512" s="35" t="s">
        <v>1950</v>
      </c>
      <c r="M512" s="36">
        <v>10136</v>
      </c>
      <c r="N512" s="52">
        <v>9977</v>
      </c>
      <c r="O512" s="38">
        <v>0.9843133385951065</v>
      </c>
      <c r="P512" s="35">
        <v>240</v>
      </c>
      <c r="Q512" s="35" t="s">
        <v>1590</v>
      </c>
      <c r="R512" s="53">
        <v>0</v>
      </c>
      <c r="S512" s="53">
        <v>0</v>
      </c>
    </row>
    <row r="513" spans="1:19" x14ac:dyDescent="0.3">
      <c r="A513" s="35" t="s">
        <v>1586</v>
      </c>
      <c r="B513" s="35" t="s">
        <v>12</v>
      </c>
      <c r="C513" s="35" t="s">
        <v>17</v>
      </c>
      <c r="D513" s="37">
        <v>856.38521673936759</v>
      </c>
      <c r="E513" s="35" t="s">
        <v>2654</v>
      </c>
      <c r="F513" s="37">
        <v>873.20133587786256</v>
      </c>
      <c r="G513" s="35" t="s">
        <v>2654</v>
      </c>
      <c r="H513" s="37">
        <v>887.71316112322791</v>
      </c>
      <c r="I513" s="37" t="s">
        <v>2654</v>
      </c>
      <c r="J513" s="35">
        <v>2017</v>
      </c>
      <c r="K513" s="35" t="s">
        <v>25</v>
      </c>
      <c r="L513" s="35" t="s">
        <v>1783</v>
      </c>
      <c r="M513" s="36">
        <v>44016</v>
      </c>
      <c r="N513" s="52">
        <v>40499</v>
      </c>
      <c r="O513" s="38">
        <v>0.92009723736822968</v>
      </c>
      <c r="P513" s="35">
        <v>0</v>
      </c>
      <c r="Q513" s="35" t="s">
        <v>1589</v>
      </c>
      <c r="R513" s="53">
        <v>6</v>
      </c>
      <c r="S513" s="53">
        <v>0.56000000000000005</v>
      </c>
    </row>
    <row r="514" spans="1:19" x14ac:dyDescent="0.3">
      <c r="A514" s="35" t="s">
        <v>1586</v>
      </c>
      <c r="B514" s="35" t="s">
        <v>12</v>
      </c>
      <c r="C514" s="35" t="s">
        <v>17</v>
      </c>
      <c r="D514" s="37">
        <v>680.90791391368407</v>
      </c>
      <c r="E514" s="35" t="s">
        <v>2654</v>
      </c>
      <c r="F514" s="37">
        <v>732.97153560120489</v>
      </c>
      <c r="G514" s="35" t="s">
        <v>2654</v>
      </c>
      <c r="H514" s="37">
        <v>761.12625382705141</v>
      </c>
      <c r="I514" s="37" t="s">
        <v>2654</v>
      </c>
      <c r="J514" s="35">
        <v>2017</v>
      </c>
      <c r="K514" s="35" t="s">
        <v>1950</v>
      </c>
      <c r="L514" s="35" t="s">
        <v>1950</v>
      </c>
      <c r="M514" s="36">
        <v>20645.79</v>
      </c>
      <c r="N514" s="52">
        <v>20000</v>
      </c>
      <c r="O514" s="38">
        <v>0.96872049943354066</v>
      </c>
      <c r="P514" s="35">
        <v>0</v>
      </c>
      <c r="Q514" s="35" t="s">
        <v>1589</v>
      </c>
      <c r="R514" s="53">
        <v>0</v>
      </c>
      <c r="S514" s="53">
        <v>0</v>
      </c>
    </row>
    <row r="515" spans="1:19" x14ac:dyDescent="0.3">
      <c r="A515" s="35" t="s">
        <v>1586</v>
      </c>
      <c r="B515" s="35" t="s">
        <v>12</v>
      </c>
      <c r="C515" s="35" t="s">
        <v>17</v>
      </c>
      <c r="D515" s="37">
        <v>643.42039899999997</v>
      </c>
      <c r="E515" s="35" t="s">
        <v>2654</v>
      </c>
      <c r="F515" s="37">
        <v>651.35654599999998</v>
      </c>
      <c r="G515" s="35" t="s">
        <v>2654</v>
      </c>
      <c r="H515" s="37">
        <v>724.88798899999995</v>
      </c>
      <c r="I515" s="37" t="s">
        <v>2654</v>
      </c>
      <c r="J515" s="35">
        <v>1998</v>
      </c>
      <c r="K515" s="35" t="s">
        <v>1950</v>
      </c>
      <c r="L515" s="35" t="s">
        <v>1950</v>
      </c>
      <c r="M515" s="36">
        <v>20000</v>
      </c>
      <c r="N515" s="52">
        <v>1999</v>
      </c>
      <c r="O515" s="38">
        <v>9.9949999999999997E-2</v>
      </c>
      <c r="P515" s="35">
        <v>0</v>
      </c>
      <c r="Q515" s="35" t="s">
        <v>1589</v>
      </c>
      <c r="R515" s="53">
        <v>0</v>
      </c>
      <c r="S515" s="53">
        <v>0</v>
      </c>
    </row>
    <row r="516" spans="1:19" x14ac:dyDescent="0.3">
      <c r="A516" s="35" t="s">
        <v>1586</v>
      </c>
      <c r="B516" s="35" t="s">
        <v>12</v>
      </c>
      <c r="C516" s="35" t="s">
        <v>17</v>
      </c>
      <c r="D516" s="37">
        <v>636.19796551080969</v>
      </c>
      <c r="E516" s="35" t="s">
        <v>2654</v>
      </c>
      <c r="F516" s="37">
        <v>668.0889538766595</v>
      </c>
      <c r="G516" s="35" t="s">
        <v>2654</v>
      </c>
      <c r="H516" s="37">
        <v>650.72448073381452</v>
      </c>
      <c r="I516" s="37" t="s">
        <v>2654</v>
      </c>
      <c r="J516" s="35">
        <v>1993</v>
      </c>
      <c r="K516" s="35" t="s">
        <v>19</v>
      </c>
      <c r="L516" s="35" t="s">
        <v>1601</v>
      </c>
      <c r="M516" s="36">
        <v>30731.252</v>
      </c>
      <c r="N516" s="52">
        <v>37761</v>
      </c>
      <c r="O516" s="38">
        <v>1.2287491573724363</v>
      </c>
      <c r="P516" s="35">
        <v>0</v>
      </c>
      <c r="Q516" s="35" t="s">
        <v>1589</v>
      </c>
      <c r="R516" s="53">
        <v>3</v>
      </c>
      <c r="S516" s="53">
        <v>0.65200000000000002</v>
      </c>
    </row>
    <row r="517" spans="1:19" x14ac:dyDescent="0.3">
      <c r="A517" s="35" t="s">
        <v>1586</v>
      </c>
      <c r="B517" s="35" t="s">
        <v>12</v>
      </c>
      <c r="C517" s="35" t="s">
        <v>17</v>
      </c>
      <c r="D517" s="37">
        <v>529.90182344887796</v>
      </c>
      <c r="E517" s="35" t="s">
        <v>2654</v>
      </c>
      <c r="F517" s="37">
        <v>564.72007381098831</v>
      </c>
      <c r="G517" s="35" t="s">
        <v>2654</v>
      </c>
      <c r="H517" s="37">
        <v>627.78858707514041</v>
      </c>
      <c r="I517" s="37" t="s">
        <v>2654</v>
      </c>
      <c r="J517" s="35">
        <v>2015</v>
      </c>
      <c r="K517" s="35" t="s">
        <v>21</v>
      </c>
      <c r="L517" s="35" t="s">
        <v>1598</v>
      </c>
      <c r="M517" s="36">
        <v>50399</v>
      </c>
      <c r="N517" s="52">
        <v>4448</v>
      </c>
      <c r="O517" s="38">
        <v>8.8255719359511098E-2</v>
      </c>
      <c r="P517" s="35">
        <v>0</v>
      </c>
      <c r="Q517" s="35" t="s">
        <v>1589</v>
      </c>
      <c r="R517" s="53">
        <v>7</v>
      </c>
      <c r="S517" s="53">
        <v>0.63800000000000001</v>
      </c>
    </row>
    <row r="518" spans="1:19" x14ac:dyDescent="0.3">
      <c r="A518" s="35" t="s">
        <v>1586</v>
      </c>
      <c r="B518" s="35" t="s">
        <v>12</v>
      </c>
      <c r="C518" s="35" t="s">
        <v>17</v>
      </c>
      <c r="D518" s="37">
        <v>549.74849855416323</v>
      </c>
      <c r="E518" s="35" t="s">
        <v>2654</v>
      </c>
      <c r="F518" s="37">
        <v>622.71014680803739</v>
      </c>
      <c r="G518" s="35" t="s">
        <v>2654</v>
      </c>
      <c r="H518" s="37">
        <v>575.57153184548088</v>
      </c>
      <c r="I518" s="37" t="s">
        <v>2654</v>
      </c>
      <c r="J518" s="35">
        <v>2012</v>
      </c>
      <c r="K518" s="35" t="s">
        <v>25</v>
      </c>
      <c r="L518" s="35" t="s">
        <v>1601</v>
      </c>
      <c r="M518" s="36">
        <v>26974</v>
      </c>
      <c r="N518" s="52">
        <v>16724</v>
      </c>
      <c r="O518" s="38">
        <v>0.6200044487284051</v>
      </c>
      <c r="P518" s="35">
        <v>0</v>
      </c>
      <c r="Q518" s="35" t="s">
        <v>1589</v>
      </c>
      <c r="R518" s="53">
        <v>4</v>
      </c>
      <c r="S518" s="53">
        <v>0.68</v>
      </c>
    </row>
    <row r="519" spans="1:19" x14ac:dyDescent="0.3">
      <c r="A519" s="35" t="s">
        <v>1586</v>
      </c>
      <c r="B519" s="35" t="s">
        <v>12</v>
      </c>
      <c r="C519" s="35" t="s">
        <v>17</v>
      </c>
      <c r="D519" s="37">
        <v>546.17929819984352</v>
      </c>
      <c r="E519" s="35" t="s">
        <v>2654</v>
      </c>
      <c r="F519" s="37">
        <v>568.60836811896684</v>
      </c>
      <c r="G519" s="35" t="s">
        <v>2654</v>
      </c>
      <c r="H519" s="37">
        <v>568.08420297417172</v>
      </c>
      <c r="I519" s="37" t="s">
        <v>2654</v>
      </c>
      <c r="J519" s="35">
        <v>1997</v>
      </c>
      <c r="K519" s="35" t="s">
        <v>21</v>
      </c>
      <c r="L519" s="35" t="s">
        <v>1601</v>
      </c>
      <c r="M519" s="36">
        <v>22998</v>
      </c>
      <c r="N519" s="52">
        <v>22825</v>
      </c>
      <c r="O519" s="38">
        <v>0.9924776067484129</v>
      </c>
      <c r="P519" s="35">
        <v>0</v>
      </c>
      <c r="Q519" s="35" t="s">
        <v>1589</v>
      </c>
      <c r="R519" s="53">
        <v>8</v>
      </c>
      <c r="S519" s="53">
        <v>0.7</v>
      </c>
    </row>
    <row r="520" spans="1:19" x14ac:dyDescent="0.3">
      <c r="A520" s="35" t="s">
        <v>1586</v>
      </c>
      <c r="B520" s="35" t="s">
        <v>12</v>
      </c>
      <c r="C520" s="35" t="s">
        <v>17</v>
      </c>
      <c r="D520" s="37">
        <v>518.74441495559415</v>
      </c>
      <c r="E520" s="35" t="s">
        <v>2654</v>
      </c>
      <c r="F520" s="37">
        <v>535.31580927474693</v>
      </c>
      <c r="G520" s="35" t="s">
        <v>2654</v>
      </c>
      <c r="H520" s="37">
        <v>554.06097382253176</v>
      </c>
      <c r="I520" s="37" t="s">
        <v>2654</v>
      </c>
      <c r="J520" s="35">
        <v>2017</v>
      </c>
      <c r="K520" s="35" t="s">
        <v>21</v>
      </c>
      <c r="L520" s="35" t="s">
        <v>1599</v>
      </c>
      <c r="M520" s="36">
        <v>38621</v>
      </c>
      <c r="N520" s="52">
        <v>38620</v>
      </c>
      <c r="O520" s="38">
        <v>0.99997410735092307</v>
      </c>
      <c r="P520" s="35">
        <v>0</v>
      </c>
      <c r="Q520" s="35" t="s">
        <v>1589</v>
      </c>
      <c r="R520" s="53">
        <v>2</v>
      </c>
      <c r="S520" s="53">
        <v>0.59</v>
      </c>
    </row>
    <row r="521" spans="1:19" x14ac:dyDescent="0.3">
      <c r="A521" s="35" t="s">
        <v>1586</v>
      </c>
      <c r="B521" s="35" t="s">
        <v>12</v>
      </c>
      <c r="C521" s="35" t="s">
        <v>17</v>
      </c>
      <c r="D521" s="37">
        <v>532.75742461054733</v>
      </c>
      <c r="E521" s="35" t="s">
        <v>2654</v>
      </c>
      <c r="F521" s="37">
        <v>551.61566385593824</v>
      </c>
      <c r="G521" s="35" t="s">
        <v>2654</v>
      </c>
      <c r="H521" s="37">
        <v>551.2897670430184</v>
      </c>
      <c r="I521" s="37" t="s">
        <v>2654</v>
      </c>
      <c r="J521" s="35">
        <v>1992</v>
      </c>
      <c r="K521" s="35" t="s">
        <v>25</v>
      </c>
      <c r="L521" s="35" t="s">
        <v>1783</v>
      </c>
      <c r="M521" s="36">
        <v>34985</v>
      </c>
      <c r="N521" s="52">
        <v>30318</v>
      </c>
      <c r="O521" s="38">
        <v>0.86659997141632128</v>
      </c>
      <c r="P521" s="35">
        <v>0</v>
      </c>
      <c r="Q521" s="35" t="s">
        <v>1589</v>
      </c>
      <c r="R521" s="53">
        <v>14</v>
      </c>
      <c r="S521" s="53">
        <v>0.71</v>
      </c>
    </row>
    <row r="522" spans="1:19" x14ac:dyDescent="0.3">
      <c r="A522" s="35" t="s">
        <v>1586</v>
      </c>
      <c r="B522" s="35" t="s">
        <v>12</v>
      </c>
      <c r="C522" s="35" t="s">
        <v>17</v>
      </c>
      <c r="D522" s="37">
        <v>542.36018321458312</v>
      </c>
      <c r="E522" s="35" t="s">
        <v>2654</v>
      </c>
      <c r="F522" s="37">
        <v>568.51411122420654</v>
      </c>
      <c r="G522" s="35" t="s">
        <v>2654</v>
      </c>
      <c r="H522" s="37">
        <v>549.57296196909408</v>
      </c>
      <c r="I522" s="37" t="s">
        <v>2654</v>
      </c>
      <c r="J522" s="35">
        <v>1996</v>
      </c>
      <c r="K522" s="35" t="s">
        <v>19</v>
      </c>
      <c r="L522" s="35" t="s">
        <v>1599</v>
      </c>
      <c r="M522" s="36">
        <v>21614</v>
      </c>
      <c r="N522" s="52">
        <v>18372</v>
      </c>
      <c r="O522" s="38">
        <v>0.85000462663088738</v>
      </c>
      <c r="P522" s="35">
        <v>0</v>
      </c>
      <c r="Q522" s="35" t="s">
        <v>1589</v>
      </c>
      <c r="R522" s="53">
        <v>10</v>
      </c>
      <c r="S522" s="53">
        <v>0.83899999999999997</v>
      </c>
    </row>
    <row r="523" spans="1:19" x14ac:dyDescent="0.3">
      <c r="A523" s="35" t="s">
        <v>1586</v>
      </c>
      <c r="B523" s="35" t="s">
        <v>12</v>
      </c>
      <c r="C523" s="35" t="s">
        <v>17</v>
      </c>
      <c r="D523" s="37">
        <v>520.1561090523054</v>
      </c>
      <c r="E523" s="35" t="s">
        <v>2654</v>
      </c>
      <c r="F523" s="37">
        <v>536.95657584066169</v>
      </c>
      <c r="G523" s="35" t="s">
        <v>2654</v>
      </c>
      <c r="H523" s="37">
        <v>542.73304978670353</v>
      </c>
      <c r="I523" s="37" t="s">
        <v>2654</v>
      </c>
      <c r="J523" s="35">
        <v>2013</v>
      </c>
      <c r="K523" s="35" t="s">
        <v>19</v>
      </c>
      <c r="L523" s="35" t="s">
        <v>1603</v>
      </c>
      <c r="M523" s="36">
        <v>35352.21</v>
      </c>
      <c r="N523" s="52">
        <v>30507</v>
      </c>
      <c r="O523" s="38">
        <v>0.86294463627592166</v>
      </c>
      <c r="P523" s="35">
        <v>0</v>
      </c>
      <c r="Q523" s="35" t="s">
        <v>1589</v>
      </c>
      <c r="R523" s="53">
        <v>9</v>
      </c>
      <c r="S523" s="53">
        <v>0.6</v>
      </c>
    </row>
    <row r="524" spans="1:19" x14ac:dyDescent="0.3">
      <c r="A524" s="35" t="s">
        <v>1586</v>
      </c>
      <c r="B524" s="35" t="s">
        <v>12</v>
      </c>
      <c r="C524" s="35" t="s">
        <v>17</v>
      </c>
      <c r="D524" s="37">
        <v>505.6474399955801</v>
      </c>
      <c r="E524" s="35" t="s">
        <v>2654</v>
      </c>
      <c r="F524" s="37">
        <v>505.73244022797689</v>
      </c>
      <c r="G524" s="35" t="s">
        <v>2655</v>
      </c>
      <c r="H524" s="37">
        <v>523.79133922831977</v>
      </c>
      <c r="I524" s="37" t="s">
        <v>2654</v>
      </c>
      <c r="J524" s="35">
        <v>1996</v>
      </c>
      <c r="K524" s="35" t="s">
        <v>25</v>
      </c>
      <c r="L524" s="35" t="s">
        <v>1783</v>
      </c>
      <c r="M524" s="36">
        <v>22805.82</v>
      </c>
      <c r="N524" s="52">
        <v>17658</v>
      </c>
      <c r="O524" s="38">
        <v>0.77427604006345752</v>
      </c>
      <c r="P524" s="35">
        <v>0</v>
      </c>
      <c r="Q524" s="35" t="s">
        <v>1589</v>
      </c>
      <c r="R524" s="53">
        <v>8</v>
      </c>
      <c r="S524" s="53">
        <v>0.60799999999999998</v>
      </c>
    </row>
    <row r="525" spans="1:19" x14ac:dyDescent="0.3">
      <c r="A525" s="35" t="s">
        <v>1586</v>
      </c>
      <c r="B525" s="35" t="s">
        <v>12</v>
      </c>
      <c r="C525" s="35" t="s">
        <v>17</v>
      </c>
      <c r="D525" s="37">
        <v>472.14114426896617</v>
      </c>
      <c r="E525" s="35" t="s">
        <v>2654</v>
      </c>
      <c r="F525" s="37">
        <v>509.66161224687528</v>
      </c>
      <c r="G525" s="35" t="s">
        <v>2654</v>
      </c>
      <c r="H525" s="37">
        <v>515.51584148822792</v>
      </c>
      <c r="I525" s="37" t="s">
        <v>2654</v>
      </c>
      <c r="J525" s="35">
        <v>1996</v>
      </c>
      <c r="K525" s="35" t="s">
        <v>25</v>
      </c>
      <c r="L525" s="35" t="s">
        <v>1597</v>
      </c>
      <c r="M525" s="36">
        <v>30963</v>
      </c>
      <c r="N525" s="52">
        <v>30963</v>
      </c>
      <c r="O525" s="38">
        <v>1</v>
      </c>
      <c r="P525" s="35">
        <v>0</v>
      </c>
      <c r="Q525" s="35" t="s">
        <v>1589</v>
      </c>
      <c r="R525" s="53">
        <v>1</v>
      </c>
      <c r="S525" s="53">
        <v>0.71</v>
      </c>
    </row>
    <row r="526" spans="1:19" x14ac:dyDescent="0.3">
      <c r="A526" s="35" t="s">
        <v>1586</v>
      </c>
      <c r="B526" s="35" t="s">
        <v>12</v>
      </c>
      <c r="C526" s="35" t="s">
        <v>17</v>
      </c>
      <c r="D526" s="37">
        <v>459.84792480054318</v>
      </c>
      <c r="E526" s="35" t="s">
        <v>2655</v>
      </c>
      <c r="F526" s="37">
        <v>491.49732643014767</v>
      </c>
      <c r="G526" s="35" t="s">
        <v>2655</v>
      </c>
      <c r="H526" s="37">
        <v>496.49142760142593</v>
      </c>
      <c r="I526" s="37" t="s">
        <v>2654</v>
      </c>
      <c r="J526" s="35">
        <v>1995</v>
      </c>
      <c r="K526" s="35" t="s">
        <v>25</v>
      </c>
      <c r="L526" s="35" t="s">
        <v>1818</v>
      </c>
      <c r="M526" s="36">
        <v>47128</v>
      </c>
      <c r="N526" s="52">
        <v>32094</v>
      </c>
      <c r="O526" s="38">
        <v>0.68099643524019693</v>
      </c>
      <c r="P526" s="35">
        <v>0</v>
      </c>
      <c r="Q526" s="35" t="s">
        <v>1589</v>
      </c>
      <c r="R526" s="53">
        <v>13</v>
      </c>
      <c r="S526" s="53">
        <v>0</v>
      </c>
    </row>
    <row r="527" spans="1:19" x14ac:dyDescent="0.3">
      <c r="A527" s="35" t="s">
        <v>1586</v>
      </c>
      <c r="B527" s="35" t="s">
        <v>12</v>
      </c>
      <c r="C527" s="35" t="s">
        <v>17</v>
      </c>
      <c r="D527" s="37">
        <v>416.06837732436554</v>
      </c>
      <c r="E527" s="35" t="s">
        <v>2655</v>
      </c>
      <c r="F527" s="37">
        <v>441.93389476063976</v>
      </c>
      <c r="G527" s="35" t="s">
        <v>2655</v>
      </c>
      <c r="H527" s="37">
        <v>493.12573334086926</v>
      </c>
      <c r="I527" s="37" t="s">
        <v>2654</v>
      </c>
      <c r="J527" s="35">
        <v>2009</v>
      </c>
      <c r="K527" s="35" t="s">
        <v>21</v>
      </c>
      <c r="L527" s="35" t="s">
        <v>1601</v>
      </c>
      <c r="M527" s="36">
        <v>35386</v>
      </c>
      <c r="N527" s="52">
        <v>32000</v>
      </c>
      <c r="O527" s="38">
        <v>0.90431243994800203</v>
      </c>
      <c r="P527" s="35">
        <v>0</v>
      </c>
      <c r="Q527" s="35" t="s">
        <v>1589</v>
      </c>
      <c r="R527" s="53">
        <v>13</v>
      </c>
      <c r="S527" s="53">
        <v>0.68</v>
      </c>
    </row>
    <row r="528" spans="1:19" x14ac:dyDescent="0.3">
      <c r="A528" s="35" t="s">
        <v>1586</v>
      </c>
      <c r="B528" s="35" t="s">
        <v>12</v>
      </c>
      <c r="C528" s="35" t="s">
        <v>17</v>
      </c>
      <c r="D528" s="37">
        <v>730.01497826086961</v>
      </c>
      <c r="E528" s="35" t="s">
        <v>2654</v>
      </c>
      <c r="F528" s="37">
        <v>467.07152173913045</v>
      </c>
      <c r="G528" s="35" t="s">
        <v>2655</v>
      </c>
      <c r="H528" s="37">
        <v>484.08943478260869</v>
      </c>
      <c r="I528" s="37" t="s">
        <v>2654</v>
      </c>
      <c r="J528" s="35">
        <v>1995</v>
      </c>
      <c r="K528" s="35" t="s">
        <v>1950</v>
      </c>
      <c r="L528" s="35" t="s">
        <v>1950</v>
      </c>
      <c r="M528" s="36">
        <v>23000</v>
      </c>
      <c r="N528" s="52">
        <v>22800</v>
      </c>
      <c r="O528" s="38">
        <v>0.99130434782608701</v>
      </c>
      <c r="P528" s="35">
        <v>0</v>
      </c>
      <c r="Q528" s="35" t="s">
        <v>1589</v>
      </c>
      <c r="R528" s="53">
        <v>2</v>
      </c>
      <c r="S528" s="53">
        <v>0</v>
      </c>
    </row>
    <row r="529" spans="1:19" x14ac:dyDescent="0.3">
      <c r="A529" s="35" t="s">
        <v>1586</v>
      </c>
      <c r="B529" s="35" t="s">
        <v>12</v>
      </c>
      <c r="C529" s="35" t="s">
        <v>17</v>
      </c>
      <c r="D529" s="37">
        <v>437.22447242439131</v>
      </c>
      <c r="E529" s="35" t="s">
        <v>2655</v>
      </c>
      <c r="F529" s="37">
        <v>468.71770848805454</v>
      </c>
      <c r="G529" s="35" t="s">
        <v>2655</v>
      </c>
      <c r="H529" s="37">
        <v>481.46490065468504</v>
      </c>
      <c r="I529" s="37" t="s">
        <v>2654</v>
      </c>
      <c r="J529" s="35">
        <v>2010</v>
      </c>
      <c r="K529" s="35" t="s">
        <v>21</v>
      </c>
      <c r="L529" s="35" t="s">
        <v>1599</v>
      </c>
      <c r="M529" s="36">
        <v>87523</v>
      </c>
      <c r="N529" s="52">
        <v>74448</v>
      </c>
      <c r="O529" s="38">
        <v>0.85061069661688926</v>
      </c>
      <c r="P529" s="35">
        <v>0</v>
      </c>
      <c r="Q529" s="35" t="s">
        <v>1589</v>
      </c>
      <c r="R529" s="53">
        <v>13</v>
      </c>
      <c r="S529" s="53">
        <v>0.66290000000000004</v>
      </c>
    </row>
    <row r="530" spans="1:19" x14ac:dyDescent="0.3">
      <c r="A530" s="35" t="s">
        <v>1586</v>
      </c>
      <c r="B530" s="35" t="s">
        <v>12</v>
      </c>
      <c r="C530" s="35" t="s">
        <v>17</v>
      </c>
      <c r="D530" s="37">
        <v>424.65091646634613</v>
      </c>
      <c r="E530" s="35" t="s">
        <v>2655</v>
      </c>
      <c r="F530" s="37">
        <v>458.01844200721155</v>
      </c>
      <c r="G530" s="35" t="s">
        <v>2655</v>
      </c>
      <c r="H530" s="37">
        <v>478.06839693509613</v>
      </c>
      <c r="I530" s="37" t="s">
        <v>2654</v>
      </c>
      <c r="J530" s="35">
        <v>2009</v>
      </c>
      <c r="K530" s="35" t="s">
        <v>19</v>
      </c>
      <c r="L530" s="35" t="s">
        <v>1818</v>
      </c>
      <c r="M530" s="36">
        <v>39936</v>
      </c>
      <c r="N530" s="52">
        <v>35852</v>
      </c>
      <c r="O530" s="38">
        <v>0.89773637820512819</v>
      </c>
      <c r="P530" s="35">
        <v>0</v>
      </c>
      <c r="Q530" s="35" t="s">
        <v>1589</v>
      </c>
      <c r="R530" s="53">
        <v>9</v>
      </c>
      <c r="S530" s="53">
        <v>0.64</v>
      </c>
    </row>
    <row r="531" spans="1:19" x14ac:dyDescent="0.3">
      <c r="A531" s="35" t="s">
        <v>1586</v>
      </c>
      <c r="B531" s="35" t="s">
        <v>12</v>
      </c>
      <c r="C531" s="35" t="s">
        <v>17</v>
      </c>
      <c r="D531" s="37">
        <v>467.37525482201664</v>
      </c>
      <c r="E531" s="35" t="s">
        <v>2654</v>
      </c>
      <c r="F531" s="37">
        <v>474.43315169097275</v>
      </c>
      <c r="G531" s="35" t="s">
        <v>2655</v>
      </c>
      <c r="H531" s="37">
        <v>476.19311588521248</v>
      </c>
      <c r="I531" s="37" t="s">
        <v>2654</v>
      </c>
      <c r="J531" s="35">
        <v>2009</v>
      </c>
      <c r="K531" s="35" t="s">
        <v>1950</v>
      </c>
      <c r="L531" s="35" t="s">
        <v>1950</v>
      </c>
      <c r="M531" s="36">
        <v>38262</v>
      </c>
      <c r="N531" s="52">
        <v>37687</v>
      </c>
      <c r="O531" s="38">
        <v>0.98497203491715013</v>
      </c>
      <c r="P531" s="35">
        <v>0</v>
      </c>
      <c r="Q531" s="35" t="s">
        <v>1589</v>
      </c>
      <c r="R531" s="53">
        <v>13</v>
      </c>
      <c r="S531" s="53">
        <v>0</v>
      </c>
    </row>
    <row r="532" spans="1:19" x14ac:dyDescent="0.3">
      <c r="A532" s="35" t="s">
        <v>1586</v>
      </c>
      <c r="B532" s="35" t="s">
        <v>12</v>
      </c>
      <c r="C532" s="35" t="s">
        <v>17</v>
      </c>
      <c r="D532" s="37">
        <v>439.49315898314291</v>
      </c>
      <c r="E532" s="35" t="s">
        <v>2655</v>
      </c>
      <c r="F532" s="37">
        <v>429.61431286946714</v>
      </c>
      <c r="G532" s="35" t="s">
        <v>2655</v>
      </c>
      <c r="H532" s="37">
        <v>471.85225492448768</v>
      </c>
      <c r="I532" s="37" t="s">
        <v>2655</v>
      </c>
      <c r="J532" s="35">
        <v>2019</v>
      </c>
      <c r="K532" s="35" t="s">
        <v>25</v>
      </c>
      <c r="L532" s="35" t="s">
        <v>1783</v>
      </c>
      <c r="M532" s="36">
        <v>47873</v>
      </c>
      <c r="N532" s="52">
        <v>47399</v>
      </c>
      <c r="O532" s="38">
        <v>0.99009880308315756</v>
      </c>
      <c r="P532" s="35">
        <v>0</v>
      </c>
      <c r="Q532" s="35" t="s">
        <v>1589</v>
      </c>
      <c r="R532" s="53">
        <v>3</v>
      </c>
      <c r="S532" s="53">
        <v>0.59</v>
      </c>
    </row>
    <row r="533" spans="1:19" x14ac:dyDescent="0.3">
      <c r="A533" s="35" t="s">
        <v>1586</v>
      </c>
      <c r="B533" s="35" t="s">
        <v>12</v>
      </c>
      <c r="C533" s="35" t="s">
        <v>17</v>
      </c>
      <c r="D533" s="37">
        <v>433.77072413793104</v>
      </c>
      <c r="E533" s="35" t="s">
        <v>2655</v>
      </c>
      <c r="F533" s="37">
        <v>436.48355172413795</v>
      </c>
      <c r="G533" s="35" t="s">
        <v>2655</v>
      </c>
      <c r="H533" s="37">
        <v>464.44396551724139</v>
      </c>
      <c r="I533" s="37" t="s">
        <v>2655</v>
      </c>
      <c r="J533" s="35">
        <v>2014</v>
      </c>
      <c r="K533" s="35" t="s">
        <v>19</v>
      </c>
      <c r="L533" s="35" t="s">
        <v>1818</v>
      </c>
      <c r="M533" s="36">
        <v>29000</v>
      </c>
      <c r="N533" s="52">
        <v>25040</v>
      </c>
      <c r="O533" s="38">
        <v>0.86344827586206896</v>
      </c>
      <c r="P533" s="35">
        <v>0</v>
      </c>
      <c r="Q533" s="35" t="s">
        <v>1589</v>
      </c>
      <c r="R533" s="53">
        <v>9</v>
      </c>
      <c r="S533" s="53">
        <v>0.64</v>
      </c>
    </row>
    <row r="534" spans="1:19" x14ac:dyDescent="0.3">
      <c r="A534" s="35" t="s">
        <v>1586</v>
      </c>
      <c r="B534" s="35" t="s">
        <v>12</v>
      </c>
      <c r="C534" s="35" t="s">
        <v>17</v>
      </c>
      <c r="D534" s="37">
        <v>442.79067579127457</v>
      </c>
      <c r="E534" s="35" t="s">
        <v>2655</v>
      </c>
      <c r="F534" s="37">
        <v>458.99952095808385</v>
      </c>
      <c r="G534" s="35" t="s">
        <v>2655</v>
      </c>
      <c r="H534" s="37">
        <v>452.81840889649271</v>
      </c>
      <c r="I534" s="37" t="s">
        <v>2655</v>
      </c>
      <c r="J534" s="35">
        <v>1999</v>
      </c>
      <c r="K534" s="35" t="s">
        <v>25</v>
      </c>
      <c r="L534" s="35" t="s">
        <v>1783</v>
      </c>
      <c r="M534" s="36">
        <v>58450</v>
      </c>
      <c r="N534" s="52">
        <v>53733</v>
      </c>
      <c r="O534" s="38">
        <v>0.91929854576561165</v>
      </c>
      <c r="P534" s="35">
        <v>0</v>
      </c>
      <c r="Q534" s="35" t="s">
        <v>1589</v>
      </c>
      <c r="R534" s="53">
        <v>10</v>
      </c>
      <c r="S534" s="53">
        <v>0.66100000000000003</v>
      </c>
    </row>
    <row r="535" spans="1:19" x14ac:dyDescent="0.3">
      <c r="A535" s="35" t="s">
        <v>1586</v>
      </c>
      <c r="B535" s="35" t="s">
        <v>12</v>
      </c>
      <c r="C535" s="35" t="s">
        <v>17</v>
      </c>
      <c r="D535" s="37">
        <v>403.35259078947365</v>
      </c>
      <c r="E535" s="35" t="s">
        <v>2655</v>
      </c>
      <c r="F535" s="37">
        <v>418.82021809210528</v>
      </c>
      <c r="G535" s="35" t="s">
        <v>2655</v>
      </c>
      <c r="H535" s="37">
        <v>451.34082269736842</v>
      </c>
      <c r="I535" s="37" t="s">
        <v>2655</v>
      </c>
      <c r="J535" s="35">
        <v>1995</v>
      </c>
      <c r="K535" s="35" t="s">
        <v>19</v>
      </c>
      <c r="L535" s="35" t="s">
        <v>1601</v>
      </c>
      <c r="M535" s="36">
        <v>30400</v>
      </c>
      <c r="N535" s="52">
        <v>25000</v>
      </c>
      <c r="O535" s="38">
        <v>0.82236842105263153</v>
      </c>
      <c r="P535" s="35">
        <v>0</v>
      </c>
      <c r="Q535" s="35" t="s">
        <v>1589</v>
      </c>
      <c r="R535" s="53">
        <v>3</v>
      </c>
      <c r="S535" s="53">
        <v>0.59</v>
      </c>
    </row>
    <row r="536" spans="1:19" x14ac:dyDescent="0.3">
      <c r="A536" s="35" t="s">
        <v>1586</v>
      </c>
      <c r="B536" s="35" t="s">
        <v>12</v>
      </c>
      <c r="C536" s="35" t="s">
        <v>17</v>
      </c>
      <c r="D536" s="37">
        <v>349.90553851704851</v>
      </c>
      <c r="E536" s="35" t="s">
        <v>2656</v>
      </c>
      <c r="F536" s="37">
        <v>364.1945156052679</v>
      </c>
      <c r="G536" s="35" t="s">
        <v>2656</v>
      </c>
      <c r="H536" s="37">
        <v>445.62695291358472</v>
      </c>
      <c r="I536" s="37" t="s">
        <v>2655</v>
      </c>
      <c r="J536" s="35">
        <v>2009</v>
      </c>
      <c r="K536" s="35" t="s">
        <v>19</v>
      </c>
      <c r="L536" s="35" t="s">
        <v>1597</v>
      </c>
      <c r="M536" s="36">
        <v>27715</v>
      </c>
      <c r="N536" s="52">
        <v>26329</v>
      </c>
      <c r="O536" s="38">
        <v>0.94999097961392742</v>
      </c>
      <c r="P536" s="35">
        <v>0</v>
      </c>
      <c r="Q536" s="35" t="s">
        <v>1589</v>
      </c>
      <c r="R536" s="53">
        <v>12</v>
      </c>
      <c r="S536" s="53">
        <v>0.65200000000000002</v>
      </c>
    </row>
    <row r="537" spans="1:19" x14ac:dyDescent="0.3">
      <c r="A537" s="35" t="s">
        <v>1586</v>
      </c>
      <c r="B537" s="35" t="s">
        <v>12</v>
      </c>
      <c r="C537" s="35" t="s">
        <v>17</v>
      </c>
      <c r="D537" s="37">
        <v>403.42171509032215</v>
      </c>
      <c r="E537" s="35" t="s">
        <v>2655</v>
      </c>
      <c r="F537" s="37">
        <v>444.34815234562814</v>
      </c>
      <c r="G537" s="35" t="s">
        <v>2655</v>
      </c>
      <c r="H537" s="37">
        <v>443.54993474826568</v>
      </c>
      <c r="I537" s="37" t="s">
        <v>2655</v>
      </c>
      <c r="J537" s="35">
        <v>2009</v>
      </c>
      <c r="K537" s="35" t="s">
        <v>25</v>
      </c>
      <c r="L537" s="35" t="s">
        <v>1818</v>
      </c>
      <c r="M537" s="36">
        <v>87354</v>
      </c>
      <c r="N537" s="52">
        <v>82000</v>
      </c>
      <c r="O537" s="38">
        <v>0.93870916042768504</v>
      </c>
      <c r="P537" s="35">
        <v>0</v>
      </c>
      <c r="Q537" s="35" t="s">
        <v>1589</v>
      </c>
      <c r="R537" s="53">
        <v>14</v>
      </c>
      <c r="S537" s="53">
        <v>0.72499999999999998</v>
      </c>
    </row>
    <row r="538" spans="1:19" x14ac:dyDescent="0.3">
      <c r="A538" s="35" t="s">
        <v>1586</v>
      </c>
      <c r="B538" s="35" t="s">
        <v>12</v>
      </c>
      <c r="C538" s="35" t="s">
        <v>17</v>
      </c>
      <c r="D538" s="37">
        <v>409.09881959678262</v>
      </c>
      <c r="E538" s="35" t="s">
        <v>2655</v>
      </c>
      <c r="F538" s="37">
        <v>425.49639611407082</v>
      </c>
      <c r="G538" s="35" t="s">
        <v>2655</v>
      </c>
      <c r="H538" s="37">
        <v>439.23958006894389</v>
      </c>
      <c r="I538" s="37" t="s">
        <v>2655</v>
      </c>
      <c r="J538" s="35">
        <v>2008</v>
      </c>
      <c r="K538" s="35" t="s">
        <v>25</v>
      </c>
      <c r="L538" s="35" t="s">
        <v>1597</v>
      </c>
      <c r="M538" s="36">
        <v>19146</v>
      </c>
      <c r="N538" s="52">
        <v>11950</v>
      </c>
      <c r="O538" s="38">
        <v>0.6241512587485637</v>
      </c>
      <c r="P538" s="35">
        <v>0</v>
      </c>
      <c r="Q538" s="35" t="s">
        <v>1589</v>
      </c>
      <c r="R538" s="53">
        <v>15</v>
      </c>
      <c r="S538" s="53">
        <v>0</v>
      </c>
    </row>
    <row r="539" spans="1:19" x14ac:dyDescent="0.3">
      <c r="A539" s="35" t="s">
        <v>1586</v>
      </c>
      <c r="B539" s="35" t="s">
        <v>12</v>
      </c>
      <c r="C539" s="35" t="s">
        <v>17</v>
      </c>
      <c r="D539" s="37">
        <v>394.05161113688399</v>
      </c>
      <c r="E539" s="35" t="s">
        <v>2655</v>
      </c>
      <c r="F539" s="37">
        <v>428.30185739105889</v>
      </c>
      <c r="G539" s="35" t="s">
        <v>2655</v>
      </c>
      <c r="H539" s="37">
        <v>438.61620750439778</v>
      </c>
      <c r="I539" s="37" t="s">
        <v>2655</v>
      </c>
      <c r="J539" s="35">
        <v>2006</v>
      </c>
      <c r="K539" s="35" t="s">
        <v>19</v>
      </c>
      <c r="L539" s="35" t="s">
        <v>1601</v>
      </c>
      <c r="M539" s="36">
        <v>142850.37</v>
      </c>
      <c r="N539" s="52">
        <v>135860</v>
      </c>
      <c r="O539" s="38">
        <v>0.95106508999591677</v>
      </c>
      <c r="P539" s="35">
        <v>0</v>
      </c>
      <c r="Q539" s="35" t="s">
        <v>1589</v>
      </c>
      <c r="R539" s="53">
        <v>2</v>
      </c>
      <c r="S539" s="53">
        <v>900</v>
      </c>
    </row>
    <row r="540" spans="1:19" x14ac:dyDescent="0.3">
      <c r="A540" s="35" t="s">
        <v>1586</v>
      </c>
      <c r="B540" s="35" t="s">
        <v>12</v>
      </c>
      <c r="C540" s="35" t="s">
        <v>17</v>
      </c>
      <c r="D540" s="37">
        <v>394.66992838198797</v>
      </c>
      <c r="E540" s="35" t="s">
        <v>2655</v>
      </c>
      <c r="F540" s="37">
        <v>384.11192306282811</v>
      </c>
      <c r="G540" s="35" t="s">
        <v>2656</v>
      </c>
      <c r="H540" s="37">
        <v>435.99161279085422</v>
      </c>
      <c r="I540" s="37" t="s">
        <v>2655</v>
      </c>
      <c r="J540" s="35">
        <v>1994</v>
      </c>
      <c r="K540" s="35" t="s">
        <v>21</v>
      </c>
      <c r="L540" s="35" t="s">
        <v>1599</v>
      </c>
      <c r="M540" s="36">
        <v>24285.79</v>
      </c>
      <c r="N540" s="52">
        <v>23861</v>
      </c>
      <c r="O540" s="38">
        <v>0.98250870159051851</v>
      </c>
      <c r="P540" s="35">
        <v>0</v>
      </c>
      <c r="Q540" s="35" t="s">
        <v>1589</v>
      </c>
      <c r="R540" s="53">
        <v>12</v>
      </c>
      <c r="S540" s="53">
        <v>0</v>
      </c>
    </row>
    <row r="541" spans="1:19" x14ac:dyDescent="0.3">
      <c r="A541" s="35" t="s">
        <v>1586</v>
      </c>
      <c r="B541" s="35" t="s">
        <v>12</v>
      </c>
      <c r="C541" s="35" t="s">
        <v>17</v>
      </c>
      <c r="D541" s="35">
        <v>0</v>
      </c>
      <c r="E541" s="35" t="s">
        <v>2654</v>
      </c>
      <c r="F541" s="37">
        <v>38.533569165008473</v>
      </c>
      <c r="G541" s="35" t="s">
        <v>2657</v>
      </c>
      <c r="H541" s="37">
        <v>405.40780455449925</v>
      </c>
      <c r="I541" s="37" t="s">
        <v>2655</v>
      </c>
      <c r="J541" s="35">
        <v>2021</v>
      </c>
      <c r="K541" s="35" t="s">
        <v>19</v>
      </c>
      <c r="L541" s="35" t="s">
        <v>1599</v>
      </c>
      <c r="M541" s="36">
        <v>27138</v>
      </c>
      <c r="N541" s="52">
        <v>27000</v>
      </c>
      <c r="O541" s="38">
        <v>0.99491487950475344</v>
      </c>
      <c r="P541" s="35">
        <v>0</v>
      </c>
      <c r="Q541" s="35" t="s">
        <v>1589</v>
      </c>
      <c r="R541" s="53">
        <v>11</v>
      </c>
      <c r="S541" s="53">
        <v>0.92</v>
      </c>
    </row>
    <row r="542" spans="1:19" x14ac:dyDescent="0.3">
      <c r="A542" s="35" t="s">
        <v>1586</v>
      </c>
      <c r="B542" s="35" t="s">
        <v>12</v>
      </c>
      <c r="C542" s="35" t="s">
        <v>17</v>
      </c>
      <c r="D542" s="37">
        <v>522.24207382854638</v>
      </c>
      <c r="E542" s="35" t="s">
        <v>2654</v>
      </c>
      <c r="F542" s="37">
        <v>379.98108944792756</v>
      </c>
      <c r="G542" s="35" t="s">
        <v>2656</v>
      </c>
      <c r="H542" s="37">
        <v>395.24320361481574</v>
      </c>
      <c r="I542" s="37" t="s">
        <v>2655</v>
      </c>
      <c r="J542" s="35">
        <v>2010</v>
      </c>
      <c r="K542" s="35" t="s">
        <v>1950</v>
      </c>
      <c r="L542" s="35" t="s">
        <v>1950</v>
      </c>
      <c r="M542" s="36">
        <v>954</v>
      </c>
      <c r="N542" s="52">
        <v>911</v>
      </c>
      <c r="O542" s="38">
        <v>0.95492662473794554</v>
      </c>
      <c r="P542" s="35">
        <v>0</v>
      </c>
      <c r="Q542" s="35" t="s">
        <v>1589</v>
      </c>
      <c r="R542" s="53">
        <v>0</v>
      </c>
      <c r="S542" s="53">
        <v>0</v>
      </c>
    </row>
    <row r="543" spans="1:19" x14ac:dyDescent="0.3">
      <c r="A543" s="35" t="s">
        <v>1586</v>
      </c>
      <c r="B543" s="35" t="s">
        <v>12</v>
      </c>
      <c r="C543" s="35" t="s">
        <v>17</v>
      </c>
      <c r="D543" s="37">
        <v>360.78557605916097</v>
      </c>
      <c r="E543" s="35" t="s">
        <v>2656</v>
      </c>
      <c r="F543" s="37">
        <v>365.50120948234155</v>
      </c>
      <c r="G543" s="35" t="s">
        <v>2656</v>
      </c>
      <c r="H543" s="37">
        <v>384.37880986937591</v>
      </c>
      <c r="I543" s="37" t="s">
        <v>2655</v>
      </c>
      <c r="J543" s="35">
        <v>2014</v>
      </c>
      <c r="K543" s="35" t="s">
        <v>25</v>
      </c>
      <c r="L543" s="35" t="s">
        <v>1600</v>
      </c>
      <c r="M543" s="36">
        <v>28938</v>
      </c>
      <c r="N543" s="52">
        <v>28938</v>
      </c>
      <c r="O543" s="38">
        <v>1</v>
      </c>
      <c r="P543" s="35">
        <v>0</v>
      </c>
      <c r="Q543" s="35" t="s">
        <v>1589</v>
      </c>
      <c r="R543" s="53">
        <v>8</v>
      </c>
      <c r="S543" s="53">
        <v>-1.35</v>
      </c>
    </row>
    <row r="544" spans="1:19" x14ac:dyDescent="0.3">
      <c r="A544" s="35" t="s">
        <v>1586</v>
      </c>
      <c r="B544" s="35" t="s">
        <v>12</v>
      </c>
      <c r="C544" s="35" t="s">
        <v>17</v>
      </c>
      <c r="D544" s="37">
        <v>380.05379084536179</v>
      </c>
      <c r="E544" s="35" t="s">
        <v>2656</v>
      </c>
      <c r="F544" s="37">
        <v>416.99688768687372</v>
      </c>
      <c r="G544" s="35" t="s">
        <v>2655</v>
      </c>
      <c r="H544" s="37">
        <v>376.39127592844676</v>
      </c>
      <c r="I544" s="37" t="s">
        <v>2655</v>
      </c>
      <c r="J544" s="35">
        <v>1996</v>
      </c>
      <c r="K544" s="35" t="s">
        <v>1950</v>
      </c>
      <c r="L544" s="35" t="s">
        <v>1950</v>
      </c>
      <c r="M544" s="36">
        <v>16675.7</v>
      </c>
      <c r="N544" s="52">
        <v>26200</v>
      </c>
      <c r="O544" s="38">
        <v>1.5711484375468496</v>
      </c>
      <c r="P544" s="35">
        <v>0</v>
      </c>
      <c r="Q544" s="35" t="s">
        <v>1589</v>
      </c>
      <c r="R544" s="53">
        <v>8</v>
      </c>
      <c r="S544" s="53">
        <v>0</v>
      </c>
    </row>
    <row r="545" spans="1:19" x14ac:dyDescent="0.3">
      <c r="A545" s="35" t="s">
        <v>1586</v>
      </c>
      <c r="B545" s="35" t="s">
        <v>12</v>
      </c>
      <c r="C545" s="35" t="s">
        <v>17</v>
      </c>
      <c r="D545" s="37">
        <v>374.96145214069111</v>
      </c>
      <c r="E545" s="35" t="s">
        <v>2656</v>
      </c>
      <c r="F545" s="37">
        <v>363.82248282478713</v>
      </c>
      <c r="G545" s="35" t="s">
        <v>2656</v>
      </c>
      <c r="H545" s="37">
        <v>374.51648135140226</v>
      </c>
      <c r="I545" s="37" t="s">
        <v>2655</v>
      </c>
      <c r="J545" s="35">
        <v>2014</v>
      </c>
      <c r="K545" s="35" t="s">
        <v>19</v>
      </c>
      <c r="L545" s="35" t="s">
        <v>1603</v>
      </c>
      <c r="M545" s="36">
        <v>58369</v>
      </c>
      <c r="N545" s="52">
        <v>49572</v>
      </c>
      <c r="O545" s="38">
        <v>0.84928643629323786</v>
      </c>
      <c r="P545" s="35">
        <v>235</v>
      </c>
      <c r="Q545" s="35" t="s">
        <v>1589</v>
      </c>
      <c r="R545" s="53">
        <v>8</v>
      </c>
      <c r="S545" s="53">
        <v>0</v>
      </c>
    </row>
    <row r="546" spans="1:19" x14ac:dyDescent="0.3">
      <c r="A546" s="35" t="s">
        <v>1586</v>
      </c>
      <c r="B546" s="35" t="s">
        <v>12</v>
      </c>
      <c r="C546" s="35" t="s">
        <v>17</v>
      </c>
      <c r="D546" s="37">
        <v>342.28062157221206</v>
      </c>
      <c r="E546" s="35" t="s">
        <v>2656</v>
      </c>
      <c r="F546" s="37">
        <v>351.86881170018285</v>
      </c>
      <c r="G546" s="35" t="s">
        <v>2656</v>
      </c>
      <c r="H546" s="37">
        <v>371.54138939670935</v>
      </c>
      <c r="I546" s="37" t="s">
        <v>2655</v>
      </c>
      <c r="J546" s="35">
        <v>2009</v>
      </c>
      <c r="K546" s="35" t="s">
        <v>19</v>
      </c>
      <c r="L546" s="35" t="s">
        <v>1601</v>
      </c>
      <c r="M546" s="36">
        <v>65640</v>
      </c>
      <c r="N546" s="52">
        <v>40727</v>
      </c>
      <c r="O546" s="38">
        <v>0.62046008531383301</v>
      </c>
      <c r="P546" s="35">
        <v>0</v>
      </c>
      <c r="Q546" s="35" t="s">
        <v>1589</v>
      </c>
      <c r="R546" s="53">
        <v>14</v>
      </c>
      <c r="S546" s="53">
        <v>0.58199999999999996</v>
      </c>
    </row>
    <row r="547" spans="1:19" x14ac:dyDescent="0.3">
      <c r="A547" s="35" t="s">
        <v>1586</v>
      </c>
      <c r="B547" s="35" t="s">
        <v>12</v>
      </c>
      <c r="C547" s="35" t="s">
        <v>17</v>
      </c>
      <c r="D547" s="37">
        <v>390.29871967625706</v>
      </c>
      <c r="E547" s="35" t="s">
        <v>2655</v>
      </c>
      <c r="F547" s="37">
        <v>367.57863400913351</v>
      </c>
      <c r="G547" s="35" t="s">
        <v>2656</v>
      </c>
      <c r="H547" s="37">
        <v>371.26960086864455</v>
      </c>
      <c r="I547" s="37" t="s">
        <v>2655</v>
      </c>
      <c r="J547" s="35">
        <v>2008</v>
      </c>
      <c r="K547" s="35" t="s">
        <v>1950</v>
      </c>
      <c r="L547" s="35" t="s">
        <v>1950</v>
      </c>
      <c r="M547" s="36">
        <v>20712.73</v>
      </c>
      <c r="N547" s="52">
        <v>17617</v>
      </c>
      <c r="O547" s="38">
        <v>0.85053974053637549</v>
      </c>
      <c r="P547" s="35">
        <v>0</v>
      </c>
      <c r="Q547" s="35" t="s">
        <v>1589</v>
      </c>
      <c r="R547" s="53">
        <v>14</v>
      </c>
      <c r="S547" s="53">
        <v>0</v>
      </c>
    </row>
    <row r="548" spans="1:19" x14ac:dyDescent="0.3">
      <c r="A548" s="35" t="s">
        <v>1586</v>
      </c>
      <c r="B548" s="35" t="s">
        <v>12</v>
      </c>
      <c r="C548" s="35" t="s">
        <v>17</v>
      </c>
      <c r="D548" s="37">
        <v>331.66838102548792</v>
      </c>
      <c r="E548" s="35" t="s">
        <v>2656</v>
      </c>
      <c r="F548" s="37">
        <v>346.45278235034903</v>
      </c>
      <c r="G548" s="35" t="s">
        <v>2656</v>
      </c>
      <c r="H548" s="37">
        <v>368.53428191678393</v>
      </c>
      <c r="I548" s="37" t="s">
        <v>2655</v>
      </c>
      <c r="J548" s="35">
        <v>1998</v>
      </c>
      <c r="K548" s="35" t="s">
        <v>25</v>
      </c>
      <c r="L548" s="35" t="s">
        <v>1818</v>
      </c>
      <c r="M548" s="36">
        <v>70347</v>
      </c>
      <c r="N548" s="52">
        <v>46162</v>
      </c>
      <c r="O548" s="38">
        <v>0.65620424467283611</v>
      </c>
      <c r="P548" s="35">
        <v>0</v>
      </c>
      <c r="Q548" s="35" t="s">
        <v>1589</v>
      </c>
      <c r="R548" s="53">
        <v>17</v>
      </c>
      <c r="S548" s="53">
        <v>0.67300000000000004</v>
      </c>
    </row>
    <row r="549" spans="1:19" x14ac:dyDescent="0.3">
      <c r="A549" s="35" t="s">
        <v>1586</v>
      </c>
      <c r="B549" s="35" t="s">
        <v>12</v>
      </c>
      <c r="C549" s="35" t="s">
        <v>17</v>
      </c>
      <c r="D549" s="37">
        <v>308.63545161290324</v>
      </c>
      <c r="E549" s="35" t="s">
        <v>2656</v>
      </c>
      <c r="F549" s="37">
        <v>329.59983870967744</v>
      </c>
      <c r="G549" s="35" t="s">
        <v>2656</v>
      </c>
      <c r="H549" s="37">
        <v>367.44566129032256</v>
      </c>
      <c r="I549" s="37" t="s">
        <v>2655</v>
      </c>
      <c r="J549" s="35">
        <v>2012</v>
      </c>
      <c r="K549" s="35" t="s">
        <v>25</v>
      </c>
      <c r="L549" s="35" t="s">
        <v>1783</v>
      </c>
      <c r="M549" s="36">
        <v>62000</v>
      </c>
      <c r="N549" s="52">
        <v>48097</v>
      </c>
      <c r="O549" s="38">
        <v>0.77575806451612905</v>
      </c>
      <c r="P549" s="35">
        <v>0</v>
      </c>
      <c r="Q549" s="35" t="s">
        <v>1589</v>
      </c>
      <c r="R549" s="53">
        <v>12</v>
      </c>
      <c r="S549" s="53">
        <v>0</v>
      </c>
    </row>
    <row r="550" spans="1:19" x14ac:dyDescent="0.3">
      <c r="A550" s="35" t="s">
        <v>1586</v>
      </c>
      <c r="B550" s="35" t="s">
        <v>12</v>
      </c>
      <c r="C550" s="35" t="s">
        <v>17</v>
      </c>
      <c r="D550" s="37">
        <v>348.83202201766392</v>
      </c>
      <c r="E550" s="35" t="s">
        <v>2656</v>
      </c>
      <c r="F550" s="37">
        <v>355.07095098892898</v>
      </c>
      <c r="G550" s="35" t="s">
        <v>2656</v>
      </c>
      <c r="H550" s="37">
        <v>354.53933947008335</v>
      </c>
      <c r="I550" s="37" t="s">
        <v>2656</v>
      </c>
      <c r="J550" s="35">
        <v>1996</v>
      </c>
      <c r="K550" s="35" t="s">
        <v>19</v>
      </c>
      <c r="L550" s="35" t="s">
        <v>1601</v>
      </c>
      <c r="M550" s="36">
        <v>29450</v>
      </c>
      <c r="N550" s="52">
        <v>26202</v>
      </c>
      <c r="O550" s="38">
        <v>0.8897113752122241</v>
      </c>
      <c r="P550" s="35">
        <v>0</v>
      </c>
      <c r="Q550" s="35" t="s">
        <v>1589</v>
      </c>
      <c r="R550" s="53">
        <v>6</v>
      </c>
      <c r="S550" s="53">
        <v>0.57899999999999996</v>
      </c>
    </row>
    <row r="551" spans="1:19" x14ac:dyDescent="0.3">
      <c r="A551" s="35" t="s">
        <v>1586</v>
      </c>
      <c r="B551" s="35" t="s">
        <v>12</v>
      </c>
      <c r="C551" s="35" t="s">
        <v>17</v>
      </c>
      <c r="D551" s="37">
        <v>312.17482365557601</v>
      </c>
      <c r="E551" s="35" t="s">
        <v>2656</v>
      </c>
      <c r="F551" s="37">
        <v>332.25913154415775</v>
      </c>
      <c r="G551" s="35" t="s">
        <v>2656</v>
      </c>
      <c r="H551" s="37">
        <v>349.12188334920359</v>
      </c>
      <c r="I551" s="37" t="s">
        <v>2656</v>
      </c>
      <c r="J551" s="35">
        <v>2013</v>
      </c>
      <c r="K551" s="35" t="s">
        <v>19</v>
      </c>
      <c r="L551" s="35" t="s">
        <v>1818</v>
      </c>
      <c r="M551" s="36">
        <v>108169</v>
      </c>
      <c r="N551" s="52">
        <v>94786</v>
      </c>
      <c r="O551" s="38">
        <v>0.87627693701522613</v>
      </c>
      <c r="P551" s="35">
        <v>0</v>
      </c>
      <c r="Q551" s="35" t="s">
        <v>1589</v>
      </c>
      <c r="R551" s="53">
        <v>9</v>
      </c>
      <c r="S551" s="53">
        <v>0.55000000000000004</v>
      </c>
    </row>
    <row r="552" spans="1:19" x14ac:dyDescent="0.3">
      <c r="A552" s="35" t="s">
        <v>1586</v>
      </c>
      <c r="B552" s="35" t="s">
        <v>12</v>
      </c>
      <c r="C552" s="35" t="s">
        <v>17</v>
      </c>
      <c r="D552" s="37">
        <v>339.11801878007134</v>
      </c>
      <c r="E552" s="35" t="s">
        <v>2656</v>
      </c>
      <c r="F552" s="37">
        <v>341.45705339127721</v>
      </c>
      <c r="G552" s="35" t="s">
        <v>2656</v>
      </c>
      <c r="H552" s="37">
        <v>342.8671449635263</v>
      </c>
      <c r="I552" s="37" t="s">
        <v>2656</v>
      </c>
      <c r="J552" s="35">
        <v>1980</v>
      </c>
      <c r="K552" s="35" t="s">
        <v>25</v>
      </c>
      <c r="L552" s="35" t="s">
        <v>1818</v>
      </c>
      <c r="M552" s="36">
        <v>25772</v>
      </c>
      <c r="N552" s="52">
        <v>23879</v>
      </c>
      <c r="O552" s="38">
        <v>0.92654819183610115</v>
      </c>
      <c r="P552" s="35">
        <v>0</v>
      </c>
      <c r="Q552" s="35" t="s">
        <v>1589</v>
      </c>
      <c r="R552" s="53">
        <v>5</v>
      </c>
      <c r="S552" s="53">
        <v>0.68</v>
      </c>
    </row>
    <row r="553" spans="1:19" x14ac:dyDescent="0.3">
      <c r="A553" s="35" t="s">
        <v>1586</v>
      </c>
      <c r="B553" s="35" t="s">
        <v>12</v>
      </c>
      <c r="C553" s="35" t="s">
        <v>17</v>
      </c>
      <c r="D553" s="37">
        <v>358.97795491771308</v>
      </c>
      <c r="E553" s="35" t="s">
        <v>2656</v>
      </c>
      <c r="F553" s="37">
        <v>354.97631619998435</v>
      </c>
      <c r="G553" s="35" t="s">
        <v>2656</v>
      </c>
      <c r="H553" s="37">
        <v>340.9273718898682</v>
      </c>
      <c r="I553" s="37" t="s">
        <v>2656</v>
      </c>
      <c r="J553" s="35">
        <v>2009</v>
      </c>
      <c r="K553" s="35" t="s">
        <v>1950</v>
      </c>
      <c r="L553" s="35" t="s">
        <v>1950</v>
      </c>
      <c r="M553" s="36">
        <v>25642</v>
      </c>
      <c r="N553" s="52">
        <v>25642</v>
      </c>
      <c r="O553" s="38">
        <v>1</v>
      </c>
      <c r="P553" s="35">
        <v>0</v>
      </c>
      <c r="Q553" s="35" t="s">
        <v>1589</v>
      </c>
      <c r="R553" s="53">
        <v>13</v>
      </c>
      <c r="S553" s="53">
        <v>0</v>
      </c>
    </row>
    <row r="554" spans="1:19" x14ac:dyDescent="0.3">
      <c r="A554" s="35" t="s">
        <v>1586</v>
      </c>
      <c r="B554" s="35" t="s">
        <v>12</v>
      </c>
      <c r="C554" s="35" t="s">
        <v>17</v>
      </c>
      <c r="D554" s="37">
        <v>301.03409274140205</v>
      </c>
      <c r="E554" s="35" t="s">
        <v>2656</v>
      </c>
      <c r="F554" s="37">
        <v>311.9121295957483</v>
      </c>
      <c r="G554" s="35" t="s">
        <v>2656</v>
      </c>
      <c r="H554" s="37">
        <v>340.43878167895792</v>
      </c>
      <c r="I554" s="37" t="s">
        <v>2656</v>
      </c>
      <c r="J554" s="35">
        <v>1986</v>
      </c>
      <c r="K554" s="35" t="s">
        <v>1950</v>
      </c>
      <c r="L554" s="35" t="s">
        <v>1950</v>
      </c>
      <c r="M554" s="36">
        <v>40063.660000000003</v>
      </c>
      <c r="N554" s="52">
        <v>38000</v>
      </c>
      <c r="O554" s="38">
        <v>0.94849047740520953</v>
      </c>
      <c r="P554" s="35">
        <v>0</v>
      </c>
      <c r="Q554" s="35" t="s">
        <v>1589</v>
      </c>
      <c r="R554" s="53">
        <v>17</v>
      </c>
      <c r="S554" s="53">
        <v>0.82</v>
      </c>
    </row>
    <row r="555" spans="1:19" x14ac:dyDescent="0.3">
      <c r="A555" s="35" t="s">
        <v>1586</v>
      </c>
      <c r="B555" s="35" t="s">
        <v>12</v>
      </c>
      <c r="C555" s="35" t="s">
        <v>17</v>
      </c>
      <c r="D555" s="37">
        <v>321.01136231208483</v>
      </c>
      <c r="E555" s="35" t="s">
        <v>2656</v>
      </c>
      <c r="F555" s="37">
        <v>340.81127967708784</v>
      </c>
      <c r="G555" s="35" t="s">
        <v>2656</v>
      </c>
      <c r="H555" s="37">
        <v>329.87432594209196</v>
      </c>
      <c r="I555" s="37" t="s">
        <v>2656</v>
      </c>
      <c r="J555" s="35">
        <v>2005</v>
      </c>
      <c r="K555" s="35" t="s">
        <v>47</v>
      </c>
      <c r="L555" s="35" t="s">
        <v>1601</v>
      </c>
      <c r="M555" s="36">
        <v>94391</v>
      </c>
      <c r="N555" s="52">
        <v>79687</v>
      </c>
      <c r="O555" s="38">
        <v>0.84422243646110329</v>
      </c>
      <c r="P555" s="35">
        <v>0</v>
      </c>
      <c r="Q555" s="35" t="s">
        <v>1589</v>
      </c>
      <c r="R555" s="53">
        <v>7</v>
      </c>
      <c r="S555" s="53">
        <v>0.68</v>
      </c>
    </row>
    <row r="556" spans="1:19" x14ac:dyDescent="0.3">
      <c r="A556" s="35" t="s">
        <v>1586</v>
      </c>
      <c r="B556" s="35" t="s">
        <v>12</v>
      </c>
      <c r="C556" s="35" t="s">
        <v>17</v>
      </c>
      <c r="D556" s="37">
        <v>333.65013411078718</v>
      </c>
      <c r="E556" s="39" t="s">
        <v>1950</v>
      </c>
      <c r="F556" s="37">
        <v>338.560193877551</v>
      </c>
      <c r="G556" s="35" t="s">
        <v>1950</v>
      </c>
      <c r="H556" s="37">
        <v>328.87674052478133</v>
      </c>
      <c r="I556" s="37" t="s">
        <v>1950</v>
      </c>
      <c r="J556" s="35">
        <v>2010</v>
      </c>
      <c r="K556" s="35" t="s">
        <v>19</v>
      </c>
      <c r="L556" s="35" t="s">
        <v>1603</v>
      </c>
      <c r="M556" s="36">
        <v>343000</v>
      </c>
      <c r="N556" s="52">
        <v>230000</v>
      </c>
      <c r="O556" s="38">
        <v>0.67055393586005829</v>
      </c>
      <c r="P556" s="35">
        <v>1612</v>
      </c>
      <c r="Q556" s="35" t="s">
        <v>1821</v>
      </c>
      <c r="R556" s="53">
        <v>0</v>
      </c>
      <c r="S556" s="53">
        <v>0</v>
      </c>
    </row>
    <row r="557" spans="1:19" x14ac:dyDescent="0.3">
      <c r="A557" s="35" t="s">
        <v>1586</v>
      </c>
      <c r="B557" s="35" t="s">
        <v>12</v>
      </c>
      <c r="C557" s="35" t="s">
        <v>17</v>
      </c>
      <c r="D557" s="37">
        <v>292.08533951753412</v>
      </c>
      <c r="E557" s="35" t="s">
        <v>2656</v>
      </c>
      <c r="F557" s="37">
        <v>275.6541066038431</v>
      </c>
      <c r="G557" s="35" t="s">
        <v>2656</v>
      </c>
      <c r="H557" s="37">
        <v>300.63401752190236</v>
      </c>
      <c r="I557" s="37" t="s">
        <v>2656</v>
      </c>
      <c r="J557" s="35">
        <v>1982</v>
      </c>
      <c r="K557" s="35" t="s">
        <v>21</v>
      </c>
      <c r="L557" s="35" t="s">
        <v>1601</v>
      </c>
      <c r="M557" s="36">
        <v>40749</v>
      </c>
      <c r="N557" s="52">
        <v>38547</v>
      </c>
      <c r="O557" s="38">
        <v>0.94596186409482441</v>
      </c>
      <c r="P557" s="35">
        <v>0</v>
      </c>
      <c r="Q557" s="35" t="s">
        <v>1589</v>
      </c>
      <c r="R557" s="53">
        <v>8</v>
      </c>
      <c r="S557" s="53">
        <v>0.62</v>
      </c>
    </row>
    <row r="558" spans="1:19" x14ac:dyDescent="0.3">
      <c r="A558" s="35" t="s">
        <v>1586</v>
      </c>
      <c r="B558" s="35" t="s">
        <v>12</v>
      </c>
      <c r="C558" s="35" t="s">
        <v>17</v>
      </c>
      <c r="D558" s="37">
        <v>255.52121624883617</v>
      </c>
      <c r="E558" s="35" t="s">
        <v>2656</v>
      </c>
      <c r="F558" s="37">
        <v>269.42127410523733</v>
      </c>
      <c r="G558" s="35" t="s">
        <v>2656</v>
      </c>
      <c r="H558" s="37">
        <v>297.74319708342432</v>
      </c>
      <c r="I558" s="37" t="s">
        <v>2656</v>
      </c>
      <c r="J558" s="35">
        <v>1986</v>
      </c>
      <c r="K558" s="35" t="s">
        <v>25</v>
      </c>
      <c r="L558" s="35" t="s">
        <v>1783</v>
      </c>
      <c r="M558" s="36">
        <v>122022</v>
      </c>
      <c r="N558" s="52">
        <v>103485</v>
      </c>
      <c r="O558" s="38">
        <v>0.84808477159856421</v>
      </c>
      <c r="P558" s="35">
        <v>0</v>
      </c>
      <c r="Q558" s="35" t="s">
        <v>1589</v>
      </c>
      <c r="R558" s="53">
        <v>15</v>
      </c>
      <c r="S558" s="53">
        <v>0.64500000000000002</v>
      </c>
    </row>
    <row r="559" spans="1:19" x14ac:dyDescent="0.3">
      <c r="A559" s="35" t="s">
        <v>1586</v>
      </c>
      <c r="B559" s="35" t="s">
        <v>12</v>
      </c>
      <c r="C559" s="35" t="s">
        <v>17</v>
      </c>
      <c r="D559" s="37">
        <v>286.59232548701317</v>
      </c>
      <c r="E559" s="35" t="s">
        <v>2656</v>
      </c>
      <c r="F559" s="37">
        <v>272.0842188568011</v>
      </c>
      <c r="G559" s="35" t="s">
        <v>2656</v>
      </c>
      <c r="H559" s="37">
        <v>296.80462448735477</v>
      </c>
      <c r="I559" s="37" t="s">
        <v>2656</v>
      </c>
      <c r="J559" s="35">
        <v>1979</v>
      </c>
      <c r="K559" s="35" t="s">
        <v>19</v>
      </c>
      <c r="L559" s="35" t="s">
        <v>1601</v>
      </c>
      <c r="M559" s="36">
        <v>46816</v>
      </c>
      <c r="N559" s="52">
        <v>43903</v>
      </c>
      <c r="O559" s="38">
        <v>0.93777768284347229</v>
      </c>
      <c r="P559" s="35">
        <v>0</v>
      </c>
      <c r="Q559" s="35" t="s">
        <v>1589</v>
      </c>
      <c r="R559" s="53">
        <v>8</v>
      </c>
      <c r="S559" s="53">
        <v>0.56999999999999995</v>
      </c>
    </row>
    <row r="560" spans="1:19" x14ac:dyDescent="0.3">
      <c r="A560" s="35" t="s">
        <v>1586</v>
      </c>
      <c r="B560" s="35" t="s">
        <v>12</v>
      </c>
      <c r="C560" s="35" t="s">
        <v>17</v>
      </c>
      <c r="D560" s="37">
        <v>360.6765755869834</v>
      </c>
      <c r="E560" s="35" t="s">
        <v>2656</v>
      </c>
      <c r="F560" s="37">
        <v>266.56672387752297</v>
      </c>
      <c r="G560" s="35" t="s">
        <v>2656</v>
      </c>
      <c r="H560" s="37">
        <v>293.45061101194563</v>
      </c>
      <c r="I560" s="37" t="s">
        <v>2656</v>
      </c>
      <c r="J560" s="35">
        <v>1998</v>
      </c>
      <c r="K560" s="35" t="s">
        <v>1950</v>
      </c>
      <c r="L560" s="35" t="s">
        <v>1950</v>
      </c>
      <c r="M560" s="36">
        <v>29132</v>
      </c>
      <c r="N560" s="52">
        <v>29179</v>
      </c>
      <c r="O560" s="38">
        <v>1.0016133461485652</v>
      </c>
      <c r="P560" s="35">
        <v>324</v>
      </c>
      <c r="Q560" s="35" t="s">
        <v>1589</v>
      </c>
      <c r="R560" s="53">
        <v>4</v>
      </c>
      <c r="S560" s="53">
        <v>0.75</v>
      </c>
    </row>
    <row r="561" spans="1:19" x14ac:dyDescent="0.3">
      <c r="A561" s="35" t="s">
        <v>1586</v>
      </c>
      <c r="B561" s="35" t="s">
        <v>12</v>
      </c>
      <c r="C561" s="35" t="s">
        <v>17</v>
      </c>
      <c r="D561" s="37">
        <v>282.60610181730652</v>
      </c>
      <c r="E561" s="35" t="s">
        <v>2656</v>
      </c>
      <c r="F561" s="37">
        <v>270.45122758454687</v>
      </c>
      <c r="G561" s="35" t="s">
        <v>2656</v>
      </c>
      <c r="H561" s="37">
        <v>288.75424238777231</v>
      </c>
      <c r="I561" s="37" t="s">
        <v>2656</v>
      </c>
      <c r="J561" s="35">
        <v>2008</v>
      </c>
      <c r="K561" s="35" t="s">
        <v>1950</v>
      </c>
      <c r="L561" s="35" t="s">
        <v>1950</v>
      </c>
      <c r="M561" s="36">
        <v>30768</v>
      </c>
      <c r="N561" s="52">
        <v>27690</v>
      </c>
      <c r="O561" s="38">
        <v>0.8999609984399376</v>
      </c>
      <c r="P561" s="35">
        <v>0</v>
      </c>
      <c r="Q561" s="35" t="s">
        <v>1589</v>
      </c>
      <c r="R561" s="53">
        <v>13</v>
      </c>
      <c r="S561" s="53">
        <v>0</v>
      </c>
    </row>
    <row r="562" spans="1:19" x14ac:dyDescent="0.3">
      <c r="A562" s="35" t="s">
        <v>1586</v>
      </c>
      <c r="B562" s="35" t="s">
        <v>12</v>
      </c>
      <c r="C562" s="35" t="s">
        <v>17</v>
      </c>
      <c r="D562" s="37">
        <v>259.90542849277358</v>
      </c>
      <c r="E562" s="35" t="s">
        <v>2656</v>
      </c>
      <c r="F562" s="37">
        <v>287.21469015829319</v>
      </c>
      <c r="G562" s="35" t="s">
        <v>2656</v>
      </c>
      <c r="H562" s="37">
        <v>276.59927763248453</v>
      </c>
      <c r="I562" s="37" t="s">
        <v>2656</v>
      </c>
      <c r="J562" s="35">
        <v>1987</v>
      </c>
      <c r="K562" s="35" t="s">
        <v>25</v>
      </c>
      <c r="L562" s="35" t="s">
        <v>1783</v>
      </c>
      <c r="M562" s="36">
        <v>36325</v>
      </c>
      <c r="N562" s="52">
        <v>28453</v>
      </c>
      <c r="O562" s="38">
        <v>0.78328974535443907</v>
      </c>
      <c r="P562" s="35">
        <v>0</v>
      </c>
      <c r="Q562" s="35" t="s">
        <v>1589</v>
      </c>
      <c r="R562" s="53">
        <v>8</v>
      </c>
      <c r="S562" s="53">
        <v>0.64</v>
      </c>
    </row>
    <row r="563" spans="1:19" x14ac:dyDescent="0.3">
      <c r="A563" s="35" t="s">
        <v>1586</v>
      </c>
      <c r="B563" s="35" t="s">
        <v>12</v>
      </c>
      <c r="C563" s="35" t="s">
        <v>17</v>
      </c>
      <c r="D563" s="37">
        <v>241.57569153449799</v>
      </c>
      <c r="E563" s="35" t="s">
        <v>2655</v>
      </c>
      <c r="F563" s="37">
        <v>262.26515711523825</v>
      </c>
      <c r="G563" s="35" t="s">
        <v>2655</v>
      </c>
      <c r="H563" s="37">
        <v>275.57195064342017</v>
      </c>
      <c r="I563" s="37" t="s">
        <v>2655</v>
      </c>
      <c r="J563" s="35">
        <v>1996</v>
      </c>
      <c r="K563" s="35" t="s">
        <v>25</v>
      </c>
      <c r="L563" s="35" t="s">
        <v>1818</v>
      </c>
      <c r="M563" s="36">
        <v>38276</v>
      </c>
      <c r="N563" s="52">
        <v>28985</v>
      </c>
      <c r="O563" s="38">
        <v>0.75726303688995711</v>
      </c>
      <c r="P563" s="35">
        <v>0</v>
      </c>
      <c r="Q563" s="35" t="s">
        <v>1821</v>
      </c>
      <c r="R563" s="53">
        <v>0</v>
      </c>
      <c r="S563" s="53">
        <v>0.67</v>
      </c>
    </row>
    <row r="564" spans="1:19" x14ac:dyDescent="0.3">
      <c r="A564" s="35" t="s">
        <v>1586</v>
      </c>
      <c r="B564" s="35" t="s">
        <v>12</v>
      </c>
      <c r="C564" s="35" t="s">
        <v>17</v>
      </c>
      <c r="D564" s="37">
        <v>240.19704427319988</v>
      </c>
      <c r="E564" s="35" t="s">
        <v>2656</v>
      </c>
      <c r="F564" s="37">
        <v>271.20217076805636</v>
      </c>
      <c r="G564" s="35" t="s">
        <v>2656</v>
      </c>
      <c r="H564" s="37">
        <v>261.21072152956998</v>
      </c>
      <c r="I564" s="37" t="s">
        <v>2656</v>
      </c>
      <c r="J564" s="35">
        <v>1983</v>
      </c>
      <c r="K564" s="35" t="s">
        <v>21</v>
      </c>
      <c r="L564" s="35" t="s">
        <v>1599</v>
      </c>
      <c r="M564" s="36">
        <v>55022</v>
      </c>
      <c r="N564" s="52">
        <v>43000</v>
      </c>
      <c r="O564" s="38">
        <v>0.78150557958634725</v>
      </c>
      <c r="P564" s="35">
        <v>0</v>
      </c>
      <c r="Q564" s="35" t="s">
        <v>1589</v>
      </c>
      <c r="R564" s="53">
        <v>16</v>
      </c>
      <c r="S564" s="53">
        <v>0</v>
      </c>
    </row>
    <row r="565" spans="1:19" x14ac:dyDescent="0.3">
      <c r="A565" s="35" t="s">
        <v>1586</v>
      </c>
      <c r="B565" s="35" t="s">
        <v>12</v>
      </c>
      <c r="C565" s="35" t="s">
        <v>17</v>
      </c>
      <c r="D565" s="37">
        <v>222.40847037185185</v>
      </c>
      <c r="E565" s="35" t="s">
        <v>2656</v>
      </c>
      <c r="F565" s="37">
        <v>216.24076793489922</v>
      </c>
      <c r="G565" s="35" t="s">
        <v>2656</v>
      </c>
      <c r="H565" s="37">
        <v>232.20557225812436</v>
      </c>
      <c r="I565" s="37" t="s">
        <v>2656</v>
      </c>
      <c r="J565" s="35">
        <v>1995</v>
      </c>
      <c r="K565" s="35" t="s">
        <v>25</v>
      </c>
      <c r="L565" s="35" t="s">
        <v>1783</v>
      </c>
      <c r="M565" s="36">
        <v>142032</v>
      </c>
      <c r="N565" s="52">
        <v>138405</v>
      </c>
      <c r="O565" s="38">
        <v>0.97446350118283209</v>
      </c>
      <c r="P565" s="35">
        <v>0</v>
      </c>
      <c r="Q565" s="35" t="s">
        <v>1589</v>
      </c>
      <c r="R565" s="53">
        <v>9</v>
      </c>
      <c r="S565" s="53">
        <v>0.61</v>
      </c>
    </row>
    <row r="566" spans="1:19" x14ac:dyDescent="0.3">
      <c r="A566" s="35" t="s">
        <v>1586</v>
      </c>
      <c r="B566" s="35" t="s">
        <v>12</v>
      </c>
      <c r="C566" s="35" t="s">
        <v>17</v>
      </c>
      <c r="D566" s="37">
        <v>214.07487505567931</v>
      </c>
      <c r="E566" s="35" t="s">
        <v>2656</v>
      </c>
      <c r="F566" s="37">
        <v>225.51983674832965</v>
      </c>
      <c r="G566" s="35" t="s">
        <v>2656</v>
      </c>
      <c r="H566" s="37">
        <v>224.38559643652559</v>
      </c>
      <c r="I566" s="37" t="s">
        <v>2656</v>
      </c>
      <c r="J566" s="35">
        <v>1968</v>
      </c>
      <c r="K566" s="35" t="s">
        <v>1950</v>
      </c>
      <c r="L566" s="35" t="s">
        <v>1950</v>
      </c>
      <c r="M566" s="36">
        <v>44900</v>
      </c>
      <c r="N566" s="52">
        <v>20276</v>
      </c>
      <c r="O566" s="38">
        <v>0.45158129175946549</v>
      </c>
      <c r="P566" s="35">
        <v>0</v>
      </c>
      <c r="Q566" s="35" t="s">
        <v>1589</v>
      </c>
      <c r="R566" s="53">
        <v>1</v>
      </c>
      <c r="S566" s="53">
        <v>0</v>
      </c>
    </row>
    <row r="567" spans="1:19" x14ac:dyDescent="0.3">
      <c r="A567" s="35" t="s">
        <v>1586</v>
      </c>
      <c r="B567" s="35" t="s">
        <v>12</v>
      </c>
      <c r="C567" s="35" t="s">
        <v>17</v>
      </c>
      <c r="D567" s="37">
        <v>220.48799156978092</v>
      </c>
      <c r="E567" s="35" t="s">
        <v>2656</v>
      </c>
      <c r="F567" s="37">
        <v>225.7675089165779</v>
      </c>
      <c r="G567" s="35" t="s">
        <v>2656</v>
      </c>
      <c r="H567" s="37">
        <v>223.28352401686044</v>
      </c>
      <c r="I567" s="37" t="s">
        <v>2656</v>
      </c>
      <c r="J567" s="35">
        <v>1994</v>
      </c>
      <c r="K567" s="35" t="s">
        <v>19</v>
      </c>
      <c r="L567" s="35" t="s">
        <v>1601</v>
      </c>
      <c r="M567" s="36">
        <v>82269</v>
      </c>
      <c r="N567" s="52">
        <v>62958</v>
      </c>
      <c r="O567" s="38">
        <v>0.76527002880793493</v>
      </c>
      <c r="P567" s="35">
        <v>0</v>
      </c>
      <c r="Q567" s="35" t="s">
        <v>1589</v>
      </c>
      <c r="R567" s="53">
        <v>7</v>
      </c>
      <c r="S567" s="53">
        <v>0.59699999999999998</v>
      </c>
    </row>
    <row r="568" spans="1:19" x14ac:dyDescent="0.3">
      <c r="A568" s="35" t="s">
        <v>1586</v>
      </c>
      <c r="B568" s="35" t="s">
        <v>12</v>
      </c>
      <c r="C568" s="35" t="s">
        <v>17</v>
      </c>
      <c r="D568" s="37">
        <v>228.82981029047511</v>
      </c>
      <c r="E568" s="35" t="s">
        <v>2656</v>
      </c>
      <c r="F568" s="37">
        <v>196.7271166403963</v>
      </c>
      <c r="G568" s="35" t="s">
        <v>2656</v>
      </c>
      <c r="H568" s="37">
        <v>221.72100878180589</v>
      </c>
      <c r="I568" s="37" t="s">
        <v>2656</v>
      </c>
      <c r="J568" s="35">
        <v>2002</v>
      </c>
      <c r="K568" s="35" t="s">
        <v>1950</v>
      </c>
      <c r="L568" s="35" t="s">
        <v>1950</v>
      </c>
      <c r="M568" s="36">
        <v>11035</v>
      </c>
      <c r="N568" s="52">
        <v>9985</v>
      </c>
      <c r="O568" s="38">
        <v>0.90484821024014495</v>
      </c>
      <c r="P568" s="35">
        <v>0</v>
      </c>
      <c r="Q568" s="35" t="s">
        <v>1589</v>
      </c>
      <c r="R568" s="53">
        <v>3</v>
      </c>
      <c r="S568" s="53">
        <v>0.57999999999999996</v>
      </c>
    </row>
    <row r="569" spans="1:19" x14ac:dyDescent="0.3">
      <c r="A569" s="35" t="s">
        <v>1586</v>
      </c>
      <c r="B569" s="35" t="s">
        <v>12</v>
      </c>
      <c r="C569" s="35" t="s">
        <v>17</v>
      </c>
      <c r="D569" s="37">
        <v>186.64757135703556</v>
      </c>
      <c r="E569" s="35" t="s">
        <v>2657</v>
      </c>
      <c r="F569" s="37">
        <v>196.22864296444666</v>
      </c>
      <c r="G569" s="35" t="s">
        <v>2656</v>
      </c>
      <c r="H569" s="37">
        <v>216.93720580871306</v>
      </c>
      <c r="I569" s="37" t="s">
        <v>2656</v>
      </c>
      <c r="J569" s="35">
        <v>2016</v>
      </c>
      <c r="K569" s="35" t="s">
        <v>1950</v>
      </c>
      <c r="L569" s="35" t="s">
        <v>1950</v>
      </c>
      <c r="M569" s="36">
        <v>19970</v>
      </c>
      <c r="N569" s="52">
        <v>16646</v>
      </c>
      <c r="O569" s="38">
        <v>0.83355032548823238</v>
      </c>
      <c r="P569" s="35">
        <v>0</v>
      </c>
      <c r="Q569" s="35" t="s">
        <v>28</v>
      </c>
      <c r="R569" s="53">
        <v>0</v>
      </c>
      <c r="S569" s="53">
        <v>0</v>
      </c>
    </row>
    <row r="570" spans="1:19" x14ac:dyDescent="0.3">
      <c r="A570" s="35" t="s">
        <v>1586</v>
      </c>
      <c r="B570" s="35" t="s">
        <v>12</v>
      </c>
      <c r="C570" s="35" t="s">
        <v>17</v>
      </c>
      <c r="D570" s="37">
        <v>180.1741315705483</v>
      </c>
      <c r="E570" s="35" t="s">
        <v>2657</v>
      </c>
      <c r="F570" s="37">
        <v>193.50629559236651</v>
      </c>
      <c r="G570" s="35" t="s">
        <v>2657</v>
      </c>
      <c r="H570" s="37">
        <v>212.94531802434719</v>
      </c>
      <c r="I570" s="37" t="s">
        <v>2656</v>
      </c>
      <c r="J570" s="35">
        <v>2015</v>
      </c>
      <c r="K570" s="35" t="s">
        <v>19</v>
      </c>
      <c r="L570" s="35" t="s">
        <v>1603</v>
      </c>
      <c r="M570" s="36">
        <v>11892.97</v>
      </c>
      <c r="N570" s="52">
        <v>29991</v>
      </c>
      <c r="O570" s="38">
        <v>2.5217418357231205</v>
      </c>
      <c r="P570" s="35">
        <v>0</v>
      </c>
      <c r="Q570" s="35" t="s">
        <v>1589</v>
      </c>
      <c r="R570" s="53">
        <v>7</v>
      </c>
      <c r="S570" s="53">
        <v>0.84</v>
      </c>
    </row>
    <row r="571" spans="1:19" x14ac:dyDescent="0.3">
      <c r="A571" s="35" t="s">
        <v>1586</v>
      </c>
      <c r="B571" s="35" t="s">
        <v>12</v>
      </c>
      <c r="C571" s="35" t="s">
        <v>17</v>
      </c>
      <c r="D571" s="37">
        <v>183.79834330039864</v>
      </c>
      <c r="E571" s="35" t="s">
        <v>2657</v>
      </c>
      <c r="F571" s="37">
        <v>192.34934910729763</v>
      </c>
      <c r="G571" s="35" t="s">
        <v>2657</v>
      </c>
      <c r="H571" s="37">
        <v>200.34215808632345</v>
      </c>
      <c r="I571" s="37" t="s">
        <v>2656</v>
      </c>
      <c r="J571" s="35">
        <v>1981</v>
      </c>
      <c r="K571" s="35" t="s">
        <v>1950</v>
      </c>
      <c r="L571" s="35" t="s">
        <v>1950</v>
      </c>
      <c r="M571" s="36">
        <v>23076</v>
      </c>
      <c r="N571" s="52">
        <v>21202</v>
      </c>
      <c r="O571" s="38">
        <v>0.91879008493673076</v>
      </c>
      <c r="P571" s="35">
        <v>0</v>
      </c>
      <c r="Q571" s="35" t="s">
        <v>1589</v>
      </c>
      <c r="R571" s="53">
        <v>0</v>
      </c>
      <c r="S571" s="53">
        <v>0</v>
      </c>
    </row>
    <row r="572" spans="1:19" x14ac:dyDescent="0.3">
      <c r="A572" s="35" t="s">
        <v>1586</v>
      </c>
      <c r="B572" s="35" t="s">
        <v>12</v>
      </c>
      <c r="C572" s="35" t="s">
        <v>17</v>
      </c>
      <c r="D572" s="37">
        <v>190.03987221591925</v>
      </c>
      <c r="E572" s="35" t="s">
        <v>2656</v>
      </c>
      <c r="F572" s="37">
        <v>193.33151489819079</v>
      </c>
      <c r="G572" s="35" t="s">
        <v>2657</v>
      </c>
      <c r="H572" s="37">
        <v>190.79320833582133</v>
      </c>
      <c r="I572" s="37" t="s">
        <v>2656</v>
      </c>
      <c r="J572" s="35">
        <v>1983</v>
      </c>
      <c r="K572" s="35" t="s">
        <v>25</v>
      </c>
      <c r="L572" s="35" t="s">
        <v>1601</v>
      </c>
      <c r="M572" s="36">
        <v>16747</v>
      </c>
      <c r="N572" s="52">
        <v>14500</v>
      </c>
      <c r="O572" s="38">
        <v>0.86582671523257893</v>
      </c>
      <c r="P572" s="35">
        <v>0</v>
      </c>
      <c r="Q572" s="35" t="s">
        <v>1589</v>
      </c>
      <c r="R572" s="53">
        <v>3</v>
      </c>
      <c r="S572" s="53">
        <v>0.61</v>
      </c>
    </row>
    <row r="573" spans="1:19" x14ac:dyDescent="0.3">
      <c r="A573" s="35" t="s">
        <v>1586</v>
      </c>
      <c r="B573" s="35" t="s">
        <v>12</v>
      </c>
      <c r="C573" s="35" t="s">
        <v>17</v>
      </c>
      <c r="D573" s="37">
        <v>190.24797648636931</v>
      </c>
      <c r="E573" s="35" t="s">
        <v>2656</v>
      </c>
      <c r="F573" s="37">
        <v>191.67915848029352</v>
      </c>
      <c r="G573" s="35" t="s">
        <v>2657</v>
      </c>
      <c r="H573" s="37">
        <v>189.25778948198996</v>
      </c>
      <c r="I573" s="37" t="s">
        <v>2656</v>
      </c>
      <c r="J573" s="35">
        <v>1982</v>
      </c>
      <c r="K573" s="35" t="s">
        <v>19</v>
      </c>
      <c r="L573" s="35" t="s">
        <v>1601</v>
      </c>
      <c r="M573" s="36">
        <v>25347</v>
      </c>
      <c r="N573" s="52">
        <v>24535</v>
      </c>
      <c r="O573" s="38">
        <v>0.96796465064899195</v>
      </c>
      <c r="P573" s="35">
        <v>0</v>
      </c>
      <c r="Q573" s="35" t="s">
        <v>1589</v>
      </c>
      <c r="R573" s="53">
        <v>0</v>
      </c>
      <c r="S573" s="53">
        <v>0</v>
      </c>
    </row>
    <row r="574" spans="1:19" x14ac:dyDescent="0.3">
      <c r="A574" s="35" t="s">
        <v>1586</v>
      </c>
      <c r="B574" s="35" t="s">
        <v>12</v>
      </c>
      <c r="C574" s="35" t="s">
        <v>17</v>
      </c>
      <c r="D574" s="37">
        <v>152.56850342573108</v>
      </c>
      <c r="E574" s="35" t="s">
        <v>2657</v>
      </c>
      <c r="F574" s="37">
        <v>149.60898661054139</v>
      </c>
      <c r="G574" s="35" t="s">
        <v>2657</v>
      </c>
      <c r="H574" s="37">
        <v>188.28017957099996</v>
      </c>
      <c r="I574" s="37" t="s">
        <v>2657</v>
      </c>
      <c r="J574" s="35">
        <v>1982</v>
      </c>
      <c r="K574" s="35" t="s">
        <v>21</v>
      </c>
      <c r="L574" s="35" t="s">
        <v>1601</v>
      </c>
      <c r="M574" s="36">
        <v>22331</v>
      </c>
      <c r="N574" s="52">
        <v>79421</v>
      </c>
      <c r="O574" s="38">
        <v>3.5565357574671981</v>
      </c>
      <c r="P574" s="35">
        <v>0</v>
      </c>
      <c r="Q574" s="35" t="s">
        <v>1589</v>
      </c>
      <c r="R574" s="53">
        <v>7</v>
      </c>
      <c r="S574" s="53">
        <v>0.53</v>
      </c>
    </row>
    <row r="575" spans="1:19" x14ac:dyDescent="0.3">
      <c r="A575" s="35" t="s">
        <v>1586</v>
      </c>
      <c r="B575" s="35" t="s">
        <v>12</v>
      </c>
      <c r="C575" s="35" t="s">
        <v>17</v>
      </c>
      <c r="D575" s="37">
        <v>206.02332083067898</v>
      </c>
      <c r="E575" s="35" t="s">
        <v>2656</v>
      </c>
      <c r="F575" s="37">
        <v>174.78867752769295</v>
      </c>
      <c r="G575" s="35" t="s">
        <v>2657</v>
      </c>
      <c r="H575" s="37">
        <v>187.4948532485476</v>
      </c>
      <c r="I575" s="37" t="s">
        <v>2657</v>
      </c>
      <c r="J575" s="35">
        <v>1981</v>
      </c>
      <c r="K575" s="35" t="s">
        <v>25</v>
      </c>
      <c r="L575" s="35" t="s">
        <v>1599</v>
      </c>
      <c r="M575" s="36">
        <v>21003.54</v>
      </c>
      <c r="N575" s="52">
        <v>21000</v>
      </c>
      <c r="O575" s="38">
        <v>0.99983145698296572</v>
      </c>
      <c r="P575" s="35">
        <v>0</v>
      </c>
      <c r="Q575" s="35" t="s">
        <v>1589</v>
      </c>
      <c r="R575" s="53">
        <v>3</v>
      </c>
      <c r="S575" s="53">
        <v>0.74</v>
      </c>
    </row>
    <row r="576" spans="1:19" x14ac:dyDescent="0.3">
      <c r="A576" s="35" t="s">
        <v>1586</v>
      </c>
      <c r="B576" s="35" t="s">
        <v>12</v>
      </c>
      <c r="C576" s="35" t="s">
        <v>17</v>
      </c>
      <c r="D576" s="37">
        <v>160.70071813333334</v>
      </c>
      <c r="E576" s="35" t="s">
        <v>2657</v>
      </c>
      <c r="F576" s="37">
        <v>192.11924440000001</v>
      </c>
      <c r="G576" s="35" t="s">
        <v>2657</v>
      </c>
      <c r="H576" s="37">
        <v>186.85195253333333</v>
      </c>
      <c r="I576" s="37" t="s">
        <v>2657</v>
      </c>
      <c r="J576" s="35">
        <v>2012</v>
      </c>
      <c r="K576" s="35" t="s">
        <v>1950</v>
      </c>
      <c r="L576" s="35" t="s">
        <v>1950</v>
      </c>
      <c r="M576" s="36">
        <v>75000</v>
      </c>
      <c r="N576" s="52">
        <v>20000</v>
      </c>
      <c r="O576" s="38">
        <v>0.26666666666666666</v>
      </c>
      <c r="P576" s="35">
        <v>0</v>
      </c>
      <c r="Q576" s="35" t="s">
        <v>28</v>
      </c>
      <c r="R576" s="53">
        <v>0</v>
      </c>
      <c r="S576" s="53">
        <v>0</v>
      </c>
    </row>
    <row r="577" spans="1:19" x14ac:dyDescent="0.3">
      <c r="A577" s="35" t="s">
        <v>1586</v>
      </c>
      <c r="B577" s="35" t="s">
        <v>12</v>
      </c>
      <c r="C577" s="35" t="s">
        <v>17</v>
      </c>
      <c r="D577" s="37">
        <v>169.06902809359005</v>
      </c>
      <c r="E577" s="35" t="s">
        <v>2657</v>
      </c>
      <c r="F577" s="37">
        <v>172.19353808150063</v>
      </c>
      <c r="G577" s="35" t="s">
        <v>2657</v>
      </c>
      <c r="H577" s="37">
        <v>178.90607174187241</v>
      </c>
      <c r="I577" s="37" t="s">
        <v>2657</v>
      </c>
      <c r="J577" s="35">
        <v>2008</v>
      </c>
      <c r="K577" s="35" t="s">
        <v>1950</v>
      </c>
      <c r="L577" s="35" t="s">
        <v>1950</v>
      </c>
      <c r="M577" s="36">
        <v>22912.7</v>
      </c>
      <c r="N577" s="52">
        <v>0</v>
      </c>
      <c r="O577" s="38">
        <v>0</v>
      </c>
      <c r="P577" s="35">
        <v>0</v>
      </c>
      <c r="Q577" s="35" t="s">
        <v>28</v>
      </c>
      <c r="R577" s="53">
        <v>0</v>
      </c>
      <c r="S577" s="53">
        <v>0</v>
      </c>
    </row>
    <row r="578" spans="1:19" x14ac:dyDescent="0.3">
      <c r="A578" s="35" t="s">
        <v>1586</v>
      </c>
      <c r="B578" s="35" t="s">
        <v>12</v>
      </c>
      <c r="C578" s="35" t="s">
        <v>17</v>
      </c>
      <c r="D578" s="37">
        <v>144.89773472745611</v>
      </c>
      <c r="E578" s="35" t="s">
        <v>2657</v>
      </c>
      <c r="F578" s="37">
        <v>167.59115280505279</v>
      </c>
      <c r="G578" s="35" t="s">
        <v>2657</v>
      </c>
      <c r="H578" s="37">
        <v>163.15972612918634</v>
      </c>
      <c r="I578" s="37" t="s">
        <v>2657</v>
      </c>
      <c r="J578" s="35">
        <v>1983</v>
      </c>
      <c r="K578" s="35" t="s">
        <v>1950</v>
      </c>
      <c r="L578" s="35" t="s">
        <v>1950</v>
      </c>
      <c r="M578" s="36">
        <v>18841</v>
      </c>
      <c r="N578" s="52">
        <v>13352</v>
      </c>
      <c r="O578" s="38">
        <v>0.70866726819170955</v>
      </c>
      <c r="P578" s="35">
        <v>0</v>
      </c>
      <c r="Q578" s="35" t="s">
        <v>1589</v>
      </c>
      <c r="R578" s="53">
        <v>19</v>
      </c>
      <c r="S578" s="53">
        <v>0</v>
      </c>
    </row>
    <row r="579" spans="1:19" x14ac:dyDescent="0.3">
      <c r="A579" s="35" t="s">
        <v>1586</v>
      </c>
      <c r="B579" s="35" t="s">
        <v>12</v>
      </c>
      <c r="C579" s="35" t="s">
        <v>17</v>
      </c>
      <c r="D579" s="37">
        <v>166.31268740629687</v>
      </c>
      <c r="E579" s="35" t="s">
        <v>2657</v>
      </c>
      <c r="F579" s="37">
        <v>153.28149925037485</v>
      </c>
      <c r="G579" s="35" t="s">
        <v>2657</v>
      </c>
      <c r="H579" s="37">
        <v>155.26020816514819</v>
      </c>
      <c r="I579" s="37" t="s">
        <v>2657</v>
      </c>
      <c r="J579" s="35">
        <v>2002</v>
      </c>
      <c r="K579" s="35" t="s">
        <v>1950</v>
      </c>
      <c r="L579" s="35" t="s">
        <v>1950</v>
      </c>
      <c r="M579" s="36">
        <v>34684</v>
      </c>
      <c r="N579" s="52">
        <v>25164</v>
      </c>
      <c r="O579" s="38">
        <v>0.72552185445738671</v>
      </c>
      <c r="P579" s="35">
        <v>0</v>
      </c>
      <c r="Q579" s="35" t="s">
        <v>1589</v>
      </c>
      <c r="R579" s="53">
        <v>21</v>
      </c>
      <c r="S579" s="53">
        <v>0.89</v>
      </c>
    </row>
    <row r="580" spans="1:19" x14ac:dyDescent="0.3">
      <c r="A580" s="35" t="s">
        <v>1586</v>
      </c>
      <c r="B580" s="35" t="s">
        <v>12</v>
      </c>
      <c r="C580" s="35" t="s">
        <v>17</v>
      </c>
      <c r="D580" s="37">
        <v>141.81612622480097</v>
      </c>
      <c r="E580" s="35" t="s">
        <v>2657</v>
      </c>
      <c r="F580" s="37">
        <v>153.09776531186176</v>
      </c>
      <c r="G580" s="35" t="s">
        <v>2657</v>
      </c>
      <c r="H580" s="37">
        <v>154.10118794588675</v>
      </c>
      <c r="I580" s="37" t="s">
        <v>2657</v>
      </c>
      <c r="J580" s="35">
        <v>1983</v>
      </c>
      <c r="K580" s="35" t="s">
        <v>1950</v>
      </c>
      <c r="L580" s="35" t="s">
        <v>1950</v>
      </c>
      <c r="M580" s="36">
        <v>33781</v>
      </c>
      <c r="N580" s="52">
        <v>24602</v>
      </c>
      <c r="O580" s="38">
        <v>0.7282792102069211</v>
      </c>
      <c r="P580" s="35">
        <v>0</v>
      </c>
      <c r="Q580" s="35" t="s">
        <v>1589</v>
      </c>
      <c r="R580" s="53">
        <v>16</v>
      </c>
      <c r="S580" s="53">
        <v>0</v>
      </c>
    </row>
    <row r="581" spans="1:19" x14ac:dyDescent="0.3">
      <c r="A581" s="35" t="s">
        <v>1586</v>
      </c>
      <c r="B581" s="35" t="s">
        <v>12</v>
      </c>
      <c r="C581" s="35" t="s">
        <v>17</v>
      </c>
      <c r="D581" s="37">
        <v>169.7738951580011</v>
      </c>
      <c r="E581" s="35" t="s">
        <v>2657</v>
      </c>
      <c r="F581" s="37">
        <v>158.85193349777617</v>
      </c>
      <c r="G581" s="35" t="s">
        <v>2657</v>
      </c>
      <c r="H581" s="37">
        <v>150.27471594771495</v>
      </c>
      <c r="I581" s="37" t="s">
        <v>2657</v>
      </c>
      <c r="J581" s="35">
        <v>1990</v>
      </c>
      <c r="K581" s="35" t="s">
        <v>21</v>
      </c>
      <c r="L581" s="35" t="s">
        <v>1783</v>
      </c>
      <c r="M581" s="36">
        <v>9250</v>
      </c>
      <c r="N581" s="52">
        <v>8953</v>
      </c>
      <c r="O581" s="38">
        <v>0.96789189189189184</v>
      </c>
      <c r="P581" s="35">
        <v>0</v>
      </c>
      <c r="Q581" s="35" t="s">
        <v>1589</v>
      </c>
      <c r="R581" s="53">
        <v>3</v>
      </c>
      <c r="S581" s="53">
        <v>0.62</v>
      </c>
    </row>
    <row r="582" spans="1:19" x14ac:dyDescent="0.3">
      <c r="A582" s="35" t="s">
        <v>1586</v>
      </c>
      <c r="B582" s="35" t="s">
        <v>12</v>
      </c>
      <c r="C582" s="35" t="s">
        <v>17</v>
      </c>
      <c r="D582" s="37">
        <v>126.64284695045995</v>
      </c>
      <c r="E582" s="35" t="s">
        <v>2657</v>
      </c>
      <c r="F582" s="37">
        <v>129.82727925910078</v>
      </c>
      <c r="G582" s="35" t="s">
        <v>2657</v>
      </c>
      <c r="H582" s="37">
        <v>130.1908598104969</v>
      </c>
      <c r="I582" s="37" t="s">
        <v>2657</v>
      </c>
      <c r="J582" s="35">
        <v>1990</v>
      </c>
      <c r="K582" s="35" t="s">
        <v>25</v>
      </c>
      <c r="L582" s="35" t="s">
        <v>1601</v>
      </c>
      <c r="M582" s="36">
        <v>79471</v>
      </c>
      <c r="N582" s="52">
        <v>39210</v>
      </c>
      <c r="O582" s="38">
        <v>0.49338752500912281</v>
      </c>
      <c r="P582" s="35">
        <v>576</v>
      </c>
      <c r="Q582" s="35" t="s">
        <v>1589</v>
      </c>
      <c r="R582" s="53">
        <v>1.5</v>
      </c>
      <c r="S582" s="53">
        <v>0</v>
      </c>
    </row>
    <row r="583" spans="1:19" x14ac:dyDescent="0.3">
      <c r="A583" s="35" t="s">
        <v>1586</v>
      </c>
      <c r="B583" s="35" t="s">
        <v>12</v>
      </c>
      <c r="C583" s="35" t="s">
        <v>17</v>
      </c>
      <c r="D583" s="37">
        <v>111.50924341523775</v>
      </c>
      <c r="E583" s="35" t="s">
        <v>2657</v>
      </c>
      <c r="F583" s="37">
        <v>143.21436096871133</v>
      </c>
      <c r="G583" s="35" t="s">
        <v>2657</v>
      </c>
      <c r="H583" s="37">
        <v>129.86225561251547</v>
      </c>
      <c r="I583" s="37" t="s">
        <v>2657</v>
      </c>
      <c r="J583" s="35">
        <v>2014</v>
      </c>
      <c r="K583" s="35" t="s">
        <v>1950</v>
      </c>
      <c r="L583" s="35" t="s">
        <v>1950</v>
      </c>
      <c r="M583" s="36">
        <v>16971</v>
      </c>
      <c r="N583" s="52">
        <v>16167</v>
      </c>
      <c r="O583" s="38">
        <v>0.95262506628955279</v>
      </c>
      <c r="P583" s="35">
        <v>0</v>
      </c>
      <c r="Q583" s="35" t="s">
        <v>1589</v>
      </c>
      <c r="R583" s="53">
        <v>8</v>
      </c>
      <c r="S583" s="53">
        <v>0.79</v>
      </c>
    </row>
    <row r="584" spans="1:19" x14ac:dyDescent="0.3">
      <c r="A584" s="35" t="s">
        <v>1586</v>
      </c>
      <c r="B584" s="35" t="s">
        <v>12</v>
      </c>
      <c r="C584" s="35" t="s">
        <v>17</v>
      </c>
      <c r="D584" s="37">
        <v>122.15765643204713</v>
      </c>
      <c r="E584" s="35" t="s">
        <v>2657</v>
      </c>
      <c r="F584" s="37">
        <v>129.89587793845521</v>
      </c>
      <c r="G584" s="35" t="s">
        <v>2657</v>
      </c>
      <c r="H584" s="37">
        <v>129.00093208142005</v>
      </c>
      <c r="I584" s="37" t="s">
        <v>2657</v>
      </c>
      <c r="J584" s="35">
        <v>1980</v>
      </c>
      <c r="K584" s="35" t="s">
        <v>25</v>
      </c>
      <c r="L584" s="35" t="s">
        <v>1783</v>
      </c>
      <c r="M584" s="36">
        <v>29182</v>
      </c>
      <c r="N584" s="52">
        <v>0</v>
      </c>
      <c r="O584" s="38">
        <v>0</v>
      </c>
      <c r="P584" s="35">
        <v>0</v>
      </c>
      <c r="Q584" s="35" t="s">
        <v>28</v>
      </c>
      <c r="R584" s="53">
        <v>0</v>
      </c>
      <c r="S584" s="53">
        <v>0</v>
      </c>
    </row>
    <row r="585" spans="1:19" x14ac:dyDescent="0.3">
      <c r="A585" s="35" t="s">
        <v>1586</v>
      </c>
      <c r="B585" s="35" t="s">
        <v>12</v>
      </c>
      <c r="C585" s="35" t="s">
        <v>17</v>
      </c>
      <c r="D585" s="37">
        <v>124.12184253759639</v>
      </c>
      <c r="E585" s="35" t="s">
        <v>2657</v>
      </c>
      <c r="F585" s="37">
        <v>120.21771473103333</v>
      </c>
      <c r="G585" s="35" t="s">
        <v>2657</v>
      </c>
      <c r="H585" s="37">
        <v>121.07360946122415</v>
      </c>
      <c r="I585" s="37" t="s">
        <v>2657</v>
      </c>
      <c r="J585" s="35">
        <v>1983</v>
      </c>
      <c r="K585" s="35" t="s">
        <v>1950</v>
      </c>
      <c r="L585" s="35" t="s">
        <v>1950</v>
      </c>
      <c r="M585" s="36">
        <v>47478</v>
      </c>
      <c r="N585" s="52">
        <v>22804</v>
      </c>
      <c r="O585" s="38">
        <v>0.48030666835165758</v>
      </c>
      <c r="P585" s="35">
        <v>0</v>
      </c>
      <c r="Q585" s="35" t="s">
        <v>1589</v>
      </c>
      <c r="R585" s="53">
        <v>6</v>
      </c>
      <c r="S585" s="53">
        <v>0</v>
      </c>
    </row>
    <row r="586" spans="1:19" x14ac:dyDescent="0.3">
      <c r="A586" s="35" t="s">
        <v>1586</v>
      </c>
      <c r="B586" s="35" t="s">
        <v>12</v>
      </c>
      <c r="C586" s="35" t="s">
        <v>17</v>
      </c>
      <c r="D586" s="37">
        <v>109.1991364635241</v>
      </c>
      <c r="E586" s="35" t="s">
        <v>2657</v>
      </c>
      <c r="F586" s="37">
        <v>70.282100962580088</v>
      </c>
      <c r="G586" s="35" t="s">
        <v>2657</v>
      </c>
      <c r="H586" s="37">
        <v>118.48220464885945</v>
      </c>
      <c r="I586" s="37" t="s">
        <v>2657</v>
      </c>
      <c r="J586" s="35">
        <v>1999</v>
      </c>
      <c r="K586" s="35" t="s">
        <v>19</v>
      </c>
      <c r="L586" s="35" t="s">
        <v>1783</v>
      </c>
      <c r="M586" s="36">
        <v>161545</v>
      </c>
      <c r="N586" s="52">
        <v>119109</v>
      </c>
      <c r="O586" s="38">
        <v>0.73731158500727356</v>
      </c>
      <c r="P586" s="35">
        <v>0</v>
      </c>
      <c r="Q586" s="35" t="s">
        <v>1589</v>
      </c>
      <c r="R586" s="53">
        <v>5</v>
      </c>
      <c r="S586" s="53">
        <v>0.6</v>
      </c>
    </row>
    <row r="587" spans="1:19" x14ac:dyDescent="0.3">
      <c r="A587" s="35" t="s">
        <v>1586</v>
      </c>
      <c r="B587" s="35" t="s">
        <v>12</v>
      </c>
      <c r="C587" s="35" t="s">
        <v>17</v>
      </c>
      <c r="D587" s="37">
        <v>114.90452177998523</v>
      </c>
      <c r="E587" s="35" t="s">
        <v>2657</v>
      </c>
      <c r="F587" s="37">
        <v>117.85875461440367</v>
      </c>
      <c r="G587" s="35" t="s">
        <v>2657</v>
      </c>
      <c r="H587" s="37">
        <v>117.52576750117457</v>
      </c>
      <c r="I587" s="37" t="s">
        <v>2657</v>
      </c>
      <c r="J587" s="35">
        <v>1999</v>
      </c>
      <c r="K587" s="35" t="s">
        <v>1950</v>
      </c>
      <c r="L587" s="35" t="s">
        <v>1950</v>
      </c>
      <c r="M587" s="36">
        <v>29798</v>
      </c>
      <c r="N587" s="52">
        <v>7800</v>
      </c>
      <c r="O587" s="38">
        <v>0.26176253439828179</v>
      </c>
      <c r="P587" s="35">
        <v>0</v>
      </c>
      <c r="Q587" s="35" t="s">
        <v>28</v>
      </c>
      <c r="R587" s="53">
        <v>0</v>
      </c>
      <c r="S587" s="53">
        <v>0</v>
      </c>
    </row>
    <row r="588" spans="1:19" x14ac:dyDescent="0.3">
      <c r="A588" s="35" t="s">
        <v>1586</v>
      </c>
      <c r="B588" s="35" t="s">
        <v>12</v>
      </c>
      <c r="C588" s="35" t="s">
        <v>17</v>
      </c>
      <c r="D588" s="37">
        <v>109.71788168896323</v>
      </c>
      <c r="E588" s="35" t="s">
        <v>2657</v>
      </c>
      <c r="F588" s="37">
        <v>115.52963001672242</v>
      </c>
      <c r="G588" s="35" t="s">
        <v>2657</v>
      </c>
      <c r="H588" s="37">
        <v>115.03502675585284</v>
      </c>
      <c r="I588" s="37" t="s">
        <v>2657</v>
      </c>
      <c r="J588" s="35">
        <v>1984</v>
      </c>
      <c r="K588" s="35" t="s">
        <v>21</v>
      </c>
      <c r="L588" s="35" t="s">
        <v>1601</v>
      </c>
      <c r="M588" s="36">
        <v>47840</v>
      </c>
      <c r="N588" s="52">
        <v>3827</v>
      </c>
      <c r="O588" s="38">
        <v>7.9995819397993315E-2</v>
      </c>
      <c r="P588" s="35">
        <v>0</v>
      </c>
      <c r="Q588" s="35" t="s">
        <v>1589</v>
      </c>
      <c r="R588" s="53">
        <v>5</v>
      </c>
      <c r="S588" s="53">
        <v>0.56100000000000005</v>
      </c>
    </row>
    <row r="589" spans="1:19" x14ac:dyDescent="0.3">
      <c r="A589" s="35" t="s">
        <v>1586</v>
      </c>
      <c r="B589" s="35" t="s">
        <v>12</v>
      </c>
      <c r="C589" s="35" t="s">
        <v>17</v>
      </c>
      <c r="D589" s="37">
        <v>110.55892167522778</v>
      </c>
      <c r="E589" s="35" t="s">
        <v>2657</v>
      </c>
      <c r="F589" s="37">
        <v>115.79929511454388</v>
      </c>
      <c r="G589" s="35" t="s">
        <v>2657</v>
      </c>
      <c r="H589" s="37">
        <v>114.80158224288553</v>
      </c>
      <c r="I589" s="37" t="s">
        <v>2657</v>
      </c>
      <c r="J589" s="35">
        <v>1990</v>
      </c>
      <c r="K589" s="35" t="s">
        <v>1950</v>
      </c>
      <c r="L589" s="35" t="s">
        <v>1950</v>
      </c>
      <c r="M589" s="36">
        <v>26671</v>
      </c>
      <c r="N589" s="52">
        <v>24094</v>
      </c>
      <c r="O589" s="38">
        <v>0.90337820104233058</v>
      </c>
      <c r="P589" s="35">
        <v>88</v>
      </c>
      <c r="Q589" s="35" t="s">
        <v>1589</v>
      </c>
      <c r="R589" s="53">
        <v>19</v>
      </c>
      <c r="S589" s="53">
        <v>0</v>
      </c>
    </row>
    <row r="590" spans="1:19" x14ac:dyDescent="0.3">
      <c r="A590" s="35" t="s">
        <v>1586</v>
      </c>
      <c r="B590" s="35" t="s">
        <v>12</v>
      </c>
      <c r="C590" s="35" t="s">
        <v>17</v>
      </c>
      <c r="D590" s="37">
        <v>70.680261356814086</v>
      </c>
      <c r="E590" s="35" t="s">
        <v>2657</v>
      </c>
      <c r="F590" s="37">
        <v>107.06485011006602</v>
      </c>
      <c r="G590" s="35" t="s">
        <v>2657</v>
      </c>
      <c r="H590" s="37">
        <v>98.310601961176715</v>
      </c>
      <c r="I590" s="37" t="s">
        <v>2657</v>
      </c>
      <c r="J590" s="35">
        <v>1991</v>
      </c>
      <c r="K590" s="35" t="s">
        <v>1950</v>
      </c>
      <c r="L590" s="35" t="s">
        <v>1950</v>
      </c>
      <c r="M590" s="36">
        <v>24985</v>
      </c>
      <c r="N590" s="52">
        <v>21237</v>
      </c>
      <c r="O590" s="38">
        <v>0.84998999399639785</v>
      </c>
      <c r="P590" s="35">
        <v>0</v>
      </c>
      <c r="Q590" s="35" t="s">
        <v>28</v>
      </c>
      <c r="R590" s="53">
        <v>0</v>
      </c>
      <c r="S590" s="53">
        <v>0</v>
      </c>
    </row>
    <row r="591" spans="1:19" x14ac:dyDescent="0.3">
      <c r="A591" s="35" t="s">
        <v>1586</v>
      </c>
      <c r="B591" s="35" t="s">
        <v>12</v>
      </c>
      <c r="C591" s="35" t="s">
        <v>17</v>
      </c>
      <c r="D591" s="37">
        <v>53.496766621677132</v>
      </c>
      <c r="E591" s="35" t="s">
        <v>2657</v>
      </c>
      <c r="F591" s="37">
        <v>56.849534316396593</v>
      </c>
      <c r="G591" s="35" t="s">
        <v>2657</v>
      </c>
      <c r="H591" s="37">
        <v>63.483263054649711</v>
      </c>
      <c r="I591" s="37" t="s">
        <v>2657</v>
      </c>
      <c r="J591" s="35">
        <v>2014</v>
      </c>
      <c r="K591" s="35" t="s">
        <v>1950</v>
      </c>
      <c r="L591" s="35" t="s">
        <v>1950</v>
      </c>
      <c r="M591" s="36">
        <v>119287</v>
      </c>
      <c r="N591" s="52">
        <v>6882</v>
      </c>
      <c r="O591" s="38">
        <v>5.7692791335183215E-2</v>
      </c>
      <c r="P591" s="35">
        <v>0</v>
      </c>
      <c r="Q591" s="35" t="s">
        <v>1590</v>
      </c>
      <c r="R591" s="53">
        <v>0</v>
      </c>
      <c r="S591" s="53">
        <v>0</v>
      </c>
    </row>
    <row r="592" spans="1:19" x14ac:dyDescent="0.3">
      <c r="A592" s="35" t="s">
        <v>1586</v>
      </c>
      <c r="B592" s="35" t="s">
        <v>12</v>
      </c>
      <c r="C592" s="35" t="s">
        <v>17</v>
      </c>
      <c r="D592" s="37">
        <v>37.179162159560953</v>
      </c>
      <c r="E592" s="35" t="s">
        <v>2657</v>
      </c>
      <c r="F592" s="37">
        <v>36.251923845431214</v>
      </c>
      <c r="G592" s="35" t="s">
        <v>2657</v>
      </c>
      <c r="H592" s="37">
        <v>39.585985115566729</v>
      </c>
      <c r="I592" s="37" t="s">
        <v>2657</v>
      </c>
      <c r="J592" s="35">
        <v>2004</v>
      </c>
      <c r="K592" s="35" t="s">
        <v>25</v>
      </c>
      <c r="L592" s="35" t="s">
        <v>1597</v>
      </c>
      <c r="M592" s="36">
        <v>38235.919999999998</v>
      </c>
      <c r="N592" s="52">
        <v>0</v>
      </c>
      <c r="O592" s="38">
        <v>0</v>
      </c>
      <c r="P592" s="35">
        <v>0</v>
      </c>
      <c r="Q592" s="35" t="s">
        <v>28</v>
      </c>
      <c r="R592" s="53">
        <v>0</v>
      </c>
      <c r="S592" s="53">
        <v>0</v>
      </c>
    </row>
    <row r="593" spans="1:19" x14ac:dyDescent="0.3">
      <c r="A593" s="35" t="s">
        <v>1586</v>
      </c>
      <c r="B593" s="35" t="s">
        <v>12</v>
      </c>
      <c r="C593" s="35" t="s">
        <v>17</v>
      </c>
      <c r="D593" s="37">
        <v>30.768456337051379</v>
      </c>
      <c r="E593" s="35" t="s">
        <v>2657</v>
      </c>
      <c r="F593" s="37">
        <v>6.9794794736943491</v>
      </c>
      <c r="G593" s="35" t="s">
        <v>2657</v>
      </c>
      <c r="H593" s="37">
        <v>13.224134543142807</v>
      </c>
      <c r="I593" s="37" t="s">
        <v>2657</v>
      </c>
      <c r="J593" s="35">
        <v>2007</v>
      </c>
      <c r="K593" s="35" t="s">
        <v>1950</v>
      </c>
      <c r="L593" s="35" t="s">
        <v>1950</v>
      </c>
      <c r="M593" s="36">
        <v>51909</v>
      </c>
      <c r="N593" s="52">
        <v>51909</v>
      </c>
      <c r="O593" s="38">
        <v>1</v>
      </c>
      <c r="P593" s="35">
        <v>0</v>
      </c>
      <c r="Q593" s="35" t="s">
        <v>1589</v>
      </c>
      <c r="R593" s="53">
        <v>15</v>
      </c>
      <c r="S593" s="53">
        <v>0</v>
      </c>
    </row>
    <row r="594" spans="1:19" x14ac:dyDescent="0.3">
      <c r="A594" s="35" t="s">
        <v>1586</v>
      </c>
      <c r="B594" s="35" t="s">
        <v>12</v>
      </c>
      <c r="C594" s="35" t="s">
        <v>17</v>
      </c>
      <c r="D594" s="37">
        <v>1.1060492104535622</v>
      </c>
      <c r="E594" s="35" t="s">
        <v>2657</v>
      </c>
      <c r="F594" s="37">
        <v>1.2323720707095347</v>
      </c>
      <c r="G594" s="35" t="s">
        <v>2657</v>
      </c>
      <c r="H594" s="37">
        <v>1.3018074514969671</v>
      </c>
      <c r="I594" s="37" t="s">
        <v>2657</v>
      </c>
      <c r="J594" s="35">
        <v>2018</v>
      </c>
      <c r="K594" s="35" t="s">
        <v>1950</v>
      </c>
      <c r="L594" s="35" t="s">
        <v>1950</v>
      </c>
      <c r="M594" s="36">
        <v>614910</v>
      </c>
      <c r="N594" s="52">
        <v>202973</v>
      </c>
      <c r="O594" s="38">
        <v>0.33008570359890066</v>
      </c>
      <c r="P594" s="35">
        <v>0</v>
      </c>
      <c r="Q594" s="35" t="s">
        <v>28</v>
      </c>
      <c r="R594" s="53">
        <v>0</v>
      </c>
      <c r="S594" s="53">
        <v>0</v>
      </c>
    </row>
    <row r="595" spans="1:19" x14ac:dyDescent="0.3">
      <c r="A595" s="35" t="s">
        <v>1586</v>
      </c>
      <c r="B595" s="35" t="s">
        <v>12</v>
      </c>
      <c r="C595" s="35" t="s">
        <v>1588</v>
      </c>
      <c r="D595" s="37">
        <v>1368.3704660396209</v>
      </c>
      <c r="E595" s="35" t="s">
        <v>2654</v>
      </c>
      <c r="F595" s="37">
        <v>1475.6650498755052</v>
      </c>
      <c r="G595" s="35" t="s">
        <v>2654</v>
      </c>
      <c r="H595" s="37">
        <v>1414.9932360497839</v>
      </c>
      <c r="I595" s="37" t="s">
        <v>2654</v>
      </c>
      <c r="J595" s="35">
        <v>2014</v>
      </c>
      <c r="K595" s="35" t="s">
        <v>25</v>
      </c>
      <c r="L595" s="35" t="s">
        <v>1783</v>
      </c>
      <c r="M595" s="36">
        <v>11590.86</v>
      </c>
      <c r="N595" s="52">
        <v>11591</v>
      </c>
      <c r="O595" s="38">
        <v>1.0000120784825284</v>
      </c>
      <c r="P595" s="35">
        <v>0</v>
      </c>
      <c r="Q595" s="35" t="s">
        <v>1589</v>
      </c>
      <c r="R595" s="53">
        <v>8</v>
      </c>
      <c r="S595" s="53">
        <v>0.63</v>
      </c>
    </row>
    <row r="596" spans="1:19" x14ac:dyDescent="0.3">
      <c r="A596" s="35" t="s">
        <v>1586</v>
      </c>
      <c r="B596" s="35" t="s">
        <v>12</v>
      </c>
      <c r="C596" s="35" t="s">
        <v>1588</v>
      </c>
      <c r="D596" s="37">
        <v>753.13068299346287</v>
      </c>
      <c r="E596" s="35" t="s">
        <v>2654</v>
      </c>
      <c r="F596" s="37">
        <v>803.26235144892178</v>
      </c>
      <c r="G596" s="35" t="s">
        <v>2654</v>
      </c>
      <c r="H596" s="37">
        <v>820.68887110937658</v>
      </c>
      <c r="I596" s="37" t="s">
        <v>2654</v>
      </c>
      <c r="J596" s="35">
        <v>2000</v>
      </c>
      <c r="K596" s="35" t="s">
        <v>21</v>
      </c>
      <c r="L596" s="35" t="s">
        <v>1599</v>
      </c>
      <c r="M596" s="36">
        <v>10249</v>
      </c>
      <c r="N596" s="52">
        <v>7541</v>
      </c>
      <c r="O596" s="38">
        <v>0.73577910040003902</v>
      </c>
      <c r="P596" s="35">
        <v>0</v>
      </c>
      <c r="Q596" s="35" t="s">
        <v>1589</v>
      </c>
      <c r="R596" s="53">
        <v>0</v>
      </c>
      <c r="S596" s="53">
        <v>0</v>
      </c>
    </row>
    <row r="597" spans="1:19" x14ac:dyDescent="0.3">
      <c r="A597" s="35" t="s">
        <v>1586</v>
      </c>
      <c r="B597" s="35" t="s">
        <v>12</v>
      </c>
      <c r="C597" s="35" t="s">
        <v>1588</v>
      </c>
      <c r="D597" s="37">
        <v>735.40950489457828</v>
      </c>
      <c r="E597" s="35" t="s">
        <v>2654</v>
      </c>
      <c r="F597" s="37">
        <v>741.57609186746993</v>
      </c>
      <c r="G597" s="35" t="s">
        <v>2654</v>
      </c>
      <c r="H597" s="37">
        <v>723.44072289156634</v>
      </c>
      <c r="I597" s="37" t="s">
        <v>2654</v>
      </c>
      <c r="J597" s="35">
        <v>2010</v>
      </c>
      <c r="K597" s="35" t="s">
        <v>1950</v>
      </c>
      <c r="L597" s="35" t="s">
        <v>1950</v>
      </c>
      <c r="M597" s="36">
        <v>5312</v>
      </c>
      <c r="N597" s="52">
        <v>2433</v>
      </c>
      <c r="O597" s="38">
        <v>0.45801957831325302</v>
      </c>
      <c r="P597" s="35">
        <v>0</v>
      </c>
      <c r="Q597" s="35" t="s">
        <v>28</v>
      </c>
      <c r="R597" s="53">
        <v>0</v>
      </c>
      <c r="S597" s="53">
        <v>0</v>
      </c>
    </row>
    <row r="598" spans="1:19" x14ac:dyDescent="0.3">
      <c r="A598" s="35" t="s">
        <v>1586</v>
      </c>
      <c r="B598" s="35" t="s">
        <v>12</v>
      </c>
      <c r="C598" s="35" t="s">
        <v>1588</v>
      </c>
      <c r="D598" s="37">
        <v>136.2666177769924</v>
      </c>
      <c r="E598" s="35" t="s">
        <v>2657</v>
      </c>
      <c r="F598" s="37">
        <v>693.67779289627151</v>
      </c>
      <c r="G598" s="35" t="s">
        <v>2654</v>
      </c>
      <c r="H598" s="37">
        <v>692.58762325499208</v>
      </c>
      <c r="I598" s="37" t="s">
        <v>2654</v>
      </c>
      <c r="J598" s="35">
        <v>1996</v>
      </c>
      <c r="K598" s="35" t="s">
        <v>1950</v>
      </c>
      <c r="L598" s="35" t="s">
        <v>1950</v>
      </c>
      <c r="M598" s="36">
        <v>5659</v>
      </c>
      <c r="N598" s="52">
        <v>2115</v>
      </c>
      <c r="O598" s="38">
        <v>0.37374094362961652</v>
      </c>
      <c r="P598" s="35">
        <v>0</v>
      </c>
      <c r="Q598" s="35" t="s">
        <v>28</v>
      </c>
      <c r="R598" s="53">
        <v>0</v>
      </c>
      <c r="S598" s="53">
        <v>0</v>
      </c>
    </row>
    <row r="599" spans="1:19" x14ac:dyDescent="0.3">
      <c r="A599" s="35" t="s">
        <v>1586</v>
      </c>
      <c r="B599" s="35" t="s">
        <v>12</v>
      </c>
      <c r="C599" s="35" t="s">
        <v>1588</v>
      </c>
      <c r="D599" s="37">
        <v>512.27944242424246</v>
      </c>
      <c r="E599" s="35" t="s">
        <v>2654</v>
      </c>
      <c r="F599" s="37">
        <v>662.76753838383843</v>
      </c>
      <c r="G599" s="35" t="s">
        <v>2654</v>
      </c>
      <c r="H599" s="37">
        <v>675.29959090909097</v>
      </c>
      <c r="I599" s="37" t="s">
        <v>2654</v>
      </c>
      <c r="J599" s="35">
        <v>1996</v>
      </c>
      <c r="K599" s="35" t="s">
        <v>1950</v>
      </c>
      <c r="L599" s="35" t="s">
        <v>1950</v>
      </c>
      <c r="M599" s="36">
        <v>9900</v>
      </c>
      <c r="N599" s="52">
        <v>99</v>
      </c>
      <c r="O599" s="38">
        <v>0.01</v>
      </c>
      <c r="P599" s="35">
        <v>0</v>
      </c>
      <c r="Q599" s="35" t="s">
        <v>28</v>
      </c>
      <c r="R599" s="53">
        <v>0</v>
      </c>
      <c r="S599" s="53">
        <v>0</v>
      </c>
    </row>
    <row r="600" spans="1:19" x14ac:dyDescent="0.3">
      <c r="A600" s="35" t="s">
        <v>1586</v>
      </c>
      <c r="B600" s="35" t="s">
        <v>12</v>
      </c>
      <c r="C600" s="35" t="s">
        <v>1588</v>
      </c>
      <c r="D600" s="37">
        <v>577.85401283316878</v>
      </c>
      <c r="E600" s="35" t="s">
        <v>2654</v>
      </c>
      <c r="F600" s="37">
        <v>697.08098716683128</v>
      </c>
      <c r="G600" s="35" t="s">
        <v>2654</v>
      </c>
      <c r="H600" s="37">
        <v>660.08662882527153</v>
      </c>
      <c r="I600" s="37" t="s">
        <v>2654</v>
      </c>
      <c r="J600" s="35">
        <v>2018</v>
      </c>
      <c r="K600" s="35" t="s">
        <v>1950</v>
      </c>
      <c r="L600" s="35" t="s">
        <v>1950</v>
      </c>
      <c r="M600" s="36">
        <v>2026</v>
      </c>
      <c r="N600" s="52">
        <v>1600</v>
      </c>
      <c r="O600" s="38">
        <v>0.7897334649555775</v>
      </c>
      <c r="P600" s="35">
        <v>0</v>
      </c>
      <c r="Q600" s="35" t="s">
        <v>28</v>
      </c>
      <c r="R600" s="53">
        <v>0</v>
      </c>
      <c r="S600" s="53">
        <v>0</v>
      </c>
    </row>
    <row r="601" spans="1:19" x14ac:dyDescent="0.3">
      <c r="A601" s="35" t="s">
        <v>1586</v>
      </c>
      <c r="B601" s="35" t="s">
        <v>12</v>
      </c>
      <c r="C601" s="35" t="s">
        <v>1588</v>
      </c>
      <c r="D601" s="37">
        <v>608.69518768637079</v>
      </c>
      <c r="E601" s="35" t="s">
        <v>2654</v>
      </c>
      <c r="F601" s="37">
        <v>660.31351692685496</v>
      </c>
      <c r="G601" s="35" t="s">
        <v>2654</v>
      </c>
      <c r="H601" s="37">
        <v>649.23231187510964</v>
      </c>
      <c r="I601" s="37" t="s">
        <v>2654</v>
      </c>
      <c r="J601" s="35">
        <v>1984</v>
      </c>
      <c r="K601" s="35" t="s">
        <v>1950</v>
      </c>
      <c r="L601" s="35" t="s">
        <v>1950</v>
      </c>
      <c r="M601" s="36">
        <v>11402</v>
      </c>
      <c r="N601" s="52">
        <v>11302</v>
      </c>
      <c r="O601" s="38">
        <v>0.99122960884055433</v>
      </c>
      <c r="P601" s="35">
        <v>0</v>
      </c>
      <c r="Q601" s="35" t="s">
        <v>28</v>
      </c>
      <c r="R601" s="53">
        <v>0</v>
      </c>
      <c r="S601" s="53">
        <v>0</v>
      </c>
    </row>
    <row r="602" spans="1:19" x14ac:dyDescent="0.3">
      <c r="A602" s="35" t="s">
        <v>1586</v>
      </c>
      <c r="B602" s="35" t="s">
        <v>12</v>
      </c>
      <c r="C602" s="35" t="s">
        <v>1588</v>
      </c>
      <c r="D602" s="37">
        <v>599.42878676470593</v>
      </c>
      <c r="E602" s="35" t="s">
        <v>2654</v>
      </c>
      <c r="F602" s="37">
        <v>594.62014705882359</v>
      </c>
      <c r="G602" s="35" t="s">
        <v>2654</v>
      </c>
      <c r="H602" s="37">
        <v>593.12832720588233</v>
      </c>
      <c r="I602" s="37" t="s">
        <v>2654</v>
      </c>
      <c r="J602" s="35">
        <v>2008</v>
      </c>
      <c r="K602" s="35" t="s">
        <v>47</v>
      </c>
      <c r="L602" s="35" t="s">
        <v>1601</v>
      </c>
      <c r="M602" s="36">
        <v>10880</v>
      </c>
      <c r="N602" s="52">
        <v>7490</v>
      </c>
      <c r="O602" s="38">
        <v>0.68841911764705888</v>
      </c>
      <c r="P602" s="35">
        <v>0</v>
      </c>
      <c r="Q602" s="35" t="s">
        <v>1589</v>
      </c>
      <c r="R602" s="53">
        <v>12</v>
      </c>
      <c r="S602" s="53">
        <v>0</v>
      </c>
    </row>
    <row r="603" spans="1:19" x14ac:dyDescent="0.3">
      <c r="A603" s="35" t="s">
        <v>1586</v>
      </c>
      <c r="B603" s="35" t="s">
        <v>12</v>
      </c>
      <c r="C603" s="35" t="s">
        <v>1588</v>
      </c>
      <c r="D603" s="37">
        <v>433.6282274847506</v>
      </c>
      <c r="E603" s="35" t="s">
        <v>2655</v>
      </c>
      <c r="F603" s="37">
        <v>533.00991747398643</v>
      </c>
      <c r="G603" s="35" t="s">
        <v>2654</v>
      </c>
      <c r="H603" s="37">
        <v>553.22312881234302</v>
      </c>
      <c r="I603" s="37" t="s">
        <v>2654</v>
      </c>
      <c r="J603" s="35">
        <v>1992</v>
      </c>
      <c r="K603" s="35" t="s">
        <v>1950</v>
      </c>
      <c r="L603" s="35" t="s">
        <v>1950</v>
      </c>
      <c r="M603" s="36">
        <v>5574</v>
      </c>
      <c r="N603" s="52">
        <v>5017</v>
      </c>
      <c r="O603" s="38">
        <v>0.90007176175098669</v>
      </c>
      <c r="P603" s="35">
        <v>0</v>
      </c>
      <c r="Q603" s="35" t="s">
        <v>28</v>
      </c>
      <c r="R603" s="53">
        <v>0</v>
      </c>
      <c r="S603" s="53">
        <v>0</v>
      </c>
    </row>
    <row r="604" spans="1:19" x14ac:dyDescent="0.3">
      <c r="A604" s="35" t="s">
        <v>1586</v>
      </c>
      <c r="B604" s="35" t="s">
        <v>12</v>
      </c>
      <c r="C604" s="35" t="s">
        <v>1588</v>
      </c>
      <c r="D604" s="37">
        <v>441.84723345269725</v>
      </c>
      <c r="E604" s="35" t="s">
        <v>2654</v>
      </c>
      <c r="F604" s="37">
        <v>479.35318239574912</v>
      </c>
      <c r="G604" s="35" t="s">
        <v>2655</v>
      </c>
      <c r="H604" s="37">
        <v>543.46245812637176</v>
      </c>
      <c r="I604" s="37" t="s">
        <v>2654</v>
      </c>
      <c r="J604" s="35">
        <v>2017</v>
      </c>
      <c r="K604" s="35" t="s">
        <v>21</v>
      </c>
      <c r="L604" s="35" t="s">
        <v>1818</v>
      </c>
      <c r="M604" s="36">
        <v>8657</v>
      </c>
      <c r="N604" s="52">
        <v>6047</v>
      </c>
      <c r="O604" s="38">
        <v>0.69850987640060069</v>
      </c>
      <c r="P604" s="35">
        <v>300</v>
      </c>
      <c r="Q604" s="35" t="s">
        <v>1589</v>
      </c>
      <c r="R604" s="53">
        <v>0</v>
      </c>
      <c r="S604" s="53">
        <v>0</v>
      </c>
    </row>
    <row r="605" spans="1:19" x14ac:dyDescent="0.3">
      <c r="A605" s="35" t="s">
        <v>1586</v>
      </c>
      <c r="B605" s="35" t="s">
        <v>12</v>
      </c>
      <c r="C605" s="35" t="s">
        <v>1588</v>
      </c>
      <c r="D605" s="37">
        <v>434.12614417873976</v>
      </c>
      <c r="E605" s="35" t="s">
        <v>2654</v>
      </c>
      <c r="F605" s="37">
        <v>493.9200610926863</v>
      </c>
      <c r="G605" s="35" t="s">
        <v>2655</v>
      </c>
      <c r="H605" s="37">
        <v>539.91543026706233</v>
      </c>
      <c r="I605" s="37" t="s">
        <v>2654</v>
      </c>
      <c r="J605" s="35">
        <v>2012</v>
      </c>
      <c r="K605" s="35" t="s">
        <v>1950</v>
      </c>
      <c r="L605" s="35" t="s">
        <v>1950</v>
      </c>
      <c r="M605" s="36">
        <v>5729</v>
      </c>
      <c r="N605" s="52">
        <v>3836</v>
      </c>
      <c r="O605" s="38">
        <v>0.66957584220631872</v>
      </c>
      <c r="P605" s="35">
        <v>0</v>
      </c>
      <c r="Q605" s="35" t="s">
        <v>28</v>
      </c>
      <c r="R605" s="53">
        <v>0</v>
      </c>
      <c r="S605" s="53">
        <v>0</v>
      </c>
    </row>
    <row r="606" spans="1:19" x14ac:dyDescent="0.3">
      <c r="A606" s="35" t="s">
        <v>1586</v>
      </c>
      <c r="B606" s="35" t="s">
        <v>12</v>
      </c>
      <c r="C606" s="35" t="s">
        <v>1588</v>
      </c>
      <c r="D606" s="37">
        <v>463.57152387289972</v>
      </c>
      <c r="E606" s="35" t="s">
        <v>2654</v>
      </c>
      <c r="F606" s="37">
        <v>448.18296123773081</v>
      </c>
      <c r="G606" s="35" t="s">
        <v>2655</v>
      </c>
      <c r="H606" s="37">
        <v>514.45595075694564</v>
      </c>
      <c r="I606" s="37" t="s">
        <v>2654</v>
      </c>
      <c r="J606" s="35">
        <v>2018</v>
      </c>
      <c r="K606" s="35" t="s">
        <v>1950</v>
      </c>
      <c r="L606" s="35" t="s">
        <v>1950</v>
      </c>
      <c r="M606" s="36">
        <v>6011</v>
      </c>
      <c r="N606" s="52">
        <v>4900</v>
      </c>
      <c r="O606" s="38">
        <v>0.81517218432873062</v>
      </c>
      <c r="P606" s="35">
        <v>0</v>
      </c>
      <c r="Q606" s="35" t="s">
        <v>1589</v>
      </c>
      <c r="R606" s="53">
        <v>7</v>
      </c>
      <c r="S606" s="53">
        <v>0.72699999999999998</v>
      </c>
    </row>
    <row r="607" spans="1:19" x14ac:dyDescent="0.3">
      <c r="A607" s="35" t="s">
        <v>1586</v>
      </c>
      <c r="B607" s="35" t="s">
        <v>12</v>
      </c>
      <c r="C607" s="35" t="s">
        <v>1588</v>
      </c>
      <c r="D607" s="37">
        <v>446.7995365355589</v>
      </c>
      <c r="E607" s="35" t="s">
        <v>2654</v>
      </c>
      <c r="F607" s="37">
        <v>467.86461511142682</v>
      </c>
      <c r="G607" s="35" t="s">
        <v>2655</v>
      </c>
      <c r="H607" s="37">
        <v>510.87151291840536</v>
      </c>
      <c r="I607" s="37" t="s">
        <v>2654</v>
      </c>
      <c r="J607" s="35">
        <v>2014</v>
      </c>
      <c r="K607" s="35" t="s">
        <v>1950</v>
      </c>
      <c r="L607" s="35" t="s">
        <v>1950</v>
      </c>
      <c r="M607" s="36">
        <v>11263</v>
      </c>
      <c r="N607" s="52">
        <v>11259</v>
      </c>
      <c r="O607" s="38">
        <v>0.99964485483441357</v>
      </c>
      <c r="P607" s="35">
        <v>0</v>
      </c>
      <c r="Q607" s="35" t="s">
        <v>28</v>
      </c>
      <c r="R607" s="53">
        <v>0</v>
      </c>
      <c r="S607" s="53">
        <v>0</v>
      </c>
    </row>
    <row r="608" spans="1:19" x14ac:dyDescent="0.3">
      <c r="A608" s="35" t="s">
        <v>1586</v>
      </c>
      <c r="B608" s="35" t="s">
        <v>12</v>
      </c>
      <c r="C608" s="35" t="s">
        <v>1588</v>
      </c>
      <c r="D608" s="37">
        <v>489.05947820620275</v>
      </c>
      <c r="E608" s="35" t="s">
        <v>2654</v>
      </c>
      <c r="F608" s="37">
        <v>491.62694991617775</v>
      </c>
      <c r="G608" s="35" t="s">
        <v>2655</v>
      </c>
      <c r="H608" s="37">
        <v>503.03119132439235</v>
      </c>
      <c r="I608" s="37" t="s">
        <v>2654</v>
      </c>
      <c r="J608" s="35">
        <v>1997</v>
      </c>
      <c r="K608" s="35" t="s">
        <v>1950</v>
      </c>
      <c r="L608" s="35" t="s">
        <v>1950</v>
      </c>
      <c r="M608" s="36">
        <v>9544</v>
      </c>
      <c r="N608" s="52">
        <v>8924</v>
      </c>
      <c r="O608" s="38">
        <v>0.93503772003352892</v>
      </c>
      <c r="P608" s="35">
        <v>0</v>
      </c>
      <c r="Q608" s="35" t="s">
        <v>1589</v>
      </c>
      <c r="R608" s="53">
        <v>0</v>
      </c>
      <c r="S608" s="53">
        <v>0</v>
      </c>
    </row>
    <row r="609" spans="1:19" x14ac:dyDescent="0.3">
      <c r="A609" s="35" t="s">
        <v>1586</v>
      </c>
      <c r="B609" s="35" t="s">
        <v>12</v>
      </c>
      <c r="C609" s="35" t="s">
        <v>1588</v>
      </c>
      <c r="D609" s="37">
        <v>419.84715989159889</v>
      </c>
      <c r="E609" s="35" t="s">
        <v>2655</v>
      </c>
      <c r="F609" s="37">
        <v>475.72986991869914</v>
      </c>
      <c r="G609" s="35" t="s">
        <v>2655</v>
      </c>
      <c r="H609" s="37">
        <v>483.41340921409216</v>
      </c>
      <c r="I609" s="37" t="s">
        <v>2654</v>
      </c>
      <c r="J609" s="35">
        <v>2016</v>
      </c>
      <c r="K609" s="35" t="s">
        <v>1950</v>
      </c>
      <c r="L609" s="35" t="s">
        <v>1950</v>
      </c>
      <c r="M609" s="36">
        <v>5535</v>
      </c>
      <c r="N609" s="52">
        <v>3000</v>
      </c>
      <c r="O609" s="38">
        <v>0.54200542005420049</v>
      </c>
      <c r="P609" s="35">
        <v>0</v>
      </c>
      <c r="Q609" s="35" t="s">
        <v>28</v>
      </c>
      <c r="R609" s="53">
        <v>0</v>
      </c>
      <c r="S609" s="53">
        <v>0</v>
      </c>
    </row>
    <row r="610" spans="1:19" x14ac:dyDescent="0.3">
      <c r="A610" s="35" t="s">
        <v>1586</v>
      </c>
      <c r="B610" s="35" t="s">
        <v>12</v>
      </c>
      <c r="C610" s="35" t="s">
        <v>1588</v>
      </c>
      <c r="D610" s="37">
        <v>19.204727272727272</v>
      </c>
      <c r="E610" s="35" t="s">
        <v>2657</v>
      </c>
      <c r="F610" s="37">
        <v>447.13630818181821</v>
      </c>
      <c r="G610" s="35" t="s">
        <v>2655</v>
      </c>
      <c r="H610" s="37">
        <v>480.45750636363641</v>
      </c>
      <c r="I610" s="37" t="s">
        <v>2654</v>
      </c>
      <c r="J610" s="35">
        <v>2019</v>
      </c>
      <c r="K610" s="35" t="s">
        <v>1950</v>
      </c>
      <c r="L610" s="35" t="s">
        <v>1950</v>
      </c>
      <c r="M610" s="36">
        <v>11000</v>
      </c>
      <c r="N610" s="52">
        <v>9800</v>
      </c>
      <c r="O610" s="38">
        <v>0.89090909090909087</v>
      </c>
      <c r="P610" s="35">
        <v>0</v>
      </c>
      <c r="Q610" s="35" t="s">
        <v>1589</v>
      </c>
      <c r="R610" s="53">
        <v>3</v>
      </c>
      <c r="S610" s="53">
        <v>0.5</v>
      </c>
    </row>
    <row r="611" spans="1:19" x14ac:dyDescent="0.3">
      <c r="A611" s="35" t="s">
        <v>1586</v>
      </c>
      <c r="B611" s="35" t="s">
        <v>12</v>
      </c>
      <c r="C611" s="35" t="s">
        <v>1588</v>
      </c>
      <c r="D611" s="37">
        <v>516.42230263916099</v>
      </c>
      <c r="E611" s="35" t="s">
        <v>2654</v>
      </c>
      <c r="F611" s="37">
        <v>477.78713841189341</v>
      </c>
      <c r="G611" s="35" t="s">
        <v>2655</v>
      </c>
      <c r="H611" s="37">
        <v>478.49308401521267</v>
      </c>
      <c r="I611" s="37" t="s">
        <v>2655</v>
      </c>
      <c r="J611" s="35">
        <v>2014</v>
      </c>
      <c r="K611" s="35" t="s">
        <v>1950</v>
      </c>
      <c r="L611" s="35" t="s">
        <v>1950</v>
      </c>
      <c r="M611" s="36">
        <v>8677</v>
      </c>
      <c r="N611" s="52">
        <v>1758</v>
      </c>
      <c r="O611" s="38">
        <v>0.20260458683876917</v>
      </c>
      <c r="P611" s="35">
        <v>0</v>
      </c>
      <c r="Q611" s="35" t="s">
        <v>1589</v>
      </c>
      <c r="R611" s="53">
        <v>8</v>
      </c>
      <c r="S611" s="53">
        <v>0.63</v>
      </c>
    </row>
    <row r="612" spans="1:19" x14ac:dyDescent="0.3">
      <c r="A612" s="35" t="s">
        <v>1586</v>
      </c>
      <c r="B612" s="35" t="s">
        <v>12</v>
      </c>
      <c r="C612" s="35" t="s">
        <v>1588</v>
      </c>
      <c r="D612" s="37">
        <v>459.86852309058617</v>
      </c>
      <c r="E612" s="35" t="s">
        <v>2654</v>
      </c>
      <c r="F612" s="37">
        <v>456.20925399644761</v>
      </c>
      <c r="G612" s="35" t="s">
        <v>2655</v>
      </c>
      <c r="H612" s="37">
        <v>475.62365452930726</v>
      </c>
      <c r="I612" s="37" t="s">
        <v>2655</v>
      </c>
      <c r="J612" s="35">
        <v>1999</v>
      </c>
      <c r="K612" s="35" t="s">
        <v>25</v>
      </c>
      <c r="L612" s="35" t="s">
        <v>1605</v>
      </c>
      <c r="M612" s="36">
        <v>11260</v>
      </c>
      <c r="N612" s="52">
        <v>3000</v>
      </c>
      <c r="O612" s="38">
        <v>0.26642984014209592</v>
      </c>
      <c r="P612" s="35">
        <v>0</v>
      </c>
      <c r="Q612" s="35" t="s">
        <v>28</v>
      </c>
      <c r="R612" s="53">
        <v>0</v>
      </c>
      <c r="S612" s="53">
        <v>0</v>
      </c>
    </row>
    <row r="613" spans="1:19" x14ac:dyDescent="0.3">
      <c r="A613" s="35" t="s">
        <v>1586</v>
      </c>
      <c r="B613" s="35" t="s">
        <v>12</v>
      </c>
      <c r="C613" s="35" t="s">
        <v>1588</v>
      </c>
      <c r="D613" s="37">
        <v>439.09726834751888</v>
      </c>
      <c r="E613" s="35" t="s">
        <v>2654</v>
      </c>
      <c r="F613" s="37">
        <v>428.25365665649593</v>
      </c>
      <c r="G613" s="35" t="s">
        <v>2655</v>
      </c>
      <c r="H613" s="37">
        <v>434.5128745784487</v>
      </c>
      <c r="I613" s="37" t="s">
        <v>2655</v>
      </c>
      <c r="J613" s="35">
        <v>2001</v>
      </c>
      <c r="K613" s="35" t="s">
        <v>25</v>
      </c>
      <c r="L613" s="35" t="s">
        <v>1599</v>
      </c>
      <c r="M613" s="36">
        <v>6227</v>
      </c>
      <c r="N613" s="52">
        <v>6227</v>
      </c>
      <c r="O613" s="38">
        <v>1</v>
      </c>
      <c r="P613" s="35">
        <v>0</v>
      </c>
      <c r="Q613" s="35" t="s">
        <v>28</v>
      </c>
      <c r="R613" s="53">
        <v>0</v>
      </c>
      <c r="S613" s="53">
        <v>0.88</v>
      </c>
    </row>
    <row r="614" spans="1:19" x14ac:dyDescent="0.3">
      <c r="A614" s="35" t="s">
        <v>1586</v>
      </c>
      <c r="B614" s="35" t="s">
        <v>12</v>
      </c>
      <c r="C614" s="35" t="s">
        <v>1588</v>
      </c>
      <c r="D614" s="37">
        <v>430.71871397509136</v>
      </c>
      <c r="E614" s="35" t="s">
        <v>2655</v>
      </c>
      <c r="F614" s="37">
        <v>433.69281689187119</v>
      </c>
      <c r="G614" s="35" t="s">
        <v>2655</v>
      </c>
      <c r="H614" s="37">
        <v>423.62194838092114</v>
      </c>
      <c r="I614" s="37" t="s">
        <v>2655</v>
      </c>
      <c r="J614" s="35">
        <v>2010</v>
      </c>
      <c r="K614" s="35" t="s">
        <v>1950</v>
      </c>
      <c r="L614" s="35" t="s">
        <v>1950</v>
      </c>
      <c r="M614" s="36">
        <v>12153.916999999999</v>
      </c>
      <c r="N614" s="52">
        <v>11588</v>
      </c>
      <c r="O614" s="38">
        <v>0.95343748027899156</v>
      </c>
      <c r="P614" s="35">
        <v>0</v>
      </c>
      <c r="Q614" s="35" t="s">
        <v>1589</v>
      </c>
      <c r="R614" s="53">
        <v>0</v>
      </c>
      <c r="S614" s="53">
        <v>0</v>
      </c>
    </row>
    <row r="615" spans="1:19" x14ac:dyDescent="0.3">
      <c r="A615" s="35" t="s">
        <v>1586</v>
      </c>
      <c r="B615" s="35" t="s">
        <v>12</v>
      </c>
      <c r="C615" s="35" t="s">
        <v>1588</v>
      </c>
      <c r="D615" s="35">
        <v>0</v>
      </c>
      <c r="E615" s="35" t="s">
        <v>2654</v>
      </c>
      <c r="F615" s="37">
        <v>0</v>
      </c>
      <c r="G615" s="35" t="s">
        <v>2654</v>
      </c>
      <c r="H615" s="37">
        <v>416.20269311113202</v>
      </c>
      <c r="I615" s="37" t="s">
        <v>2655</v>
      </c>
      <c r="J615" s="35">
        <v>2024</v>
      </c>
      <c r="K615" s="35" t="s">
        <v>47</v>
      </c>
      <c r="L615" s="35" t="s">
        <v>1599</v>
      </c>
      <c r="M615" s="36">
        <v>9904.5299999999988</v>
      </c>
      <c r="N615" s="52">
        <v>18357</v>
      </c>
      <c r="O615" s="38">
        <v>1.8533943559159296</v>
      </c>
      <c r="P615" s="35">
        <v>0</v>
      </c>
      <c r="Q615" s="35" t="s">
        <v>1589</v>
      </c>
      <c r="R615" s="53">
        <v>0</v>
      </c>
      <c r="S615" s="53">
        <v>0</v>
      </c>
    </row>
    <row r="616" spans="1:19" x14ac:dyDescent="0.3">
      <c r="A616" s="35" t="s">
        <v>1586</v>
      </c>
      <c r="B616" s="35" t="s">
        <v>12</v>
      </c>
      <c r="C616" s="35" t="s">
        <v>1588</v>
      </c>
      <c r="D616" s="37">
        <v>405.70082507015894</v>
      </c>
      <c r="E616" s="35" t="s">
        <v>2655</v>
      </c>
      <c r="F616" s="37">
        <v>397.02455940130966</v>
      </c>
      <c r="G616" s="35" t="s">
        <v>2655</v>
      </c>
      <c r="H616" s="37">
        <v>411.93669597754916</v>
      </c>
      <c r="I616" s="37" t="s">
        <v>2655</v>
      </c>
      <c r="J616" s="35">
        <v>2010</v>
      </c>
      <c r="K616" s="35" t="s">
        <v>21</v>
      </c>
      <c r="L616" s="35" t="s">
        <v>1601</v>
      </c>
      <c r="M616" s="36">
        <v>5345</v>
      </c>
      <c r="N616" s="52">
        <v>0</v>
      </c>
      <c r="O616" s="38">
        <v>0</v>
      </c>
      <c r="P616" s="35">
        <v>0</v>
      </c>
      <c r="Q616" s="35" t="s">
        <v>28</v>
      </c>
      <c r="R616" s="53">
        <v>0</v>
      </c>
      <c r="S616" s="53">
        <v>5</v>
      </c>
    </row>
    <row r="617" spans="1:19" x14ac:dyDescent="0.3">
      <c r="A617" s="35" t="s">
        <v>1586</v>
      </c>
      <c r="B617" s="35" t="s">
        <v>12</v>
      </c>
      <c r="C617" s="35" t="s">
        <v>1588</v>
      </c>
      <c r="D617" s="37">
        <v>324.97206728425164</v>
      </c>
      <c r="E617" s="35" t="s">
        <v>2655</v>
      </c>
      <c r="F617" s="37">
        <v>389.06113846903952</v>
      </c>
      <c r="G617" s="35" t="s">
        <v>2655</v>
      </c>
      <c r="H617" s="37">
        <v>383.91498049731837</v>
      </c>
      <c r="I617" s="37" t="s">
        <v>2655</v>
      </c>
      <c r="J617" s="35">
        <v>2008</v>
      </c>
      <c r="K617" s="35" t="s">
        <v>1950</v>
      </c>
      <c r="L617" s="35" t="s">
        <v>1950</v>
      </c>
      <c r="M617" s="36">
        <v>4102</v>
      </c>
      <c r="N617" s="52">
        <v>4012</v>
      </c>
      <c r="O617" s="38">
        <v>0.97805948317893709</v>
      </c>
      <c r="P617" s="35">
        <v>0</v>
      </c>
      <c r="Q617" s="35" t="s">
        <v>1589</v>
      </c>
      <c r="R617" s="53">
        <v>1</v>
      </c>
      <c r="S617" s="53">
        <v>0</v>
      </c>
    </row>
    <row r="618" spans="1:19" x14ac:dyDescent="0.3">
      <c r="A618" s="35" t="s">
        <v>1586</v>
      </c>
      <c r="B618" s="35" t="s">
        <v>12</v>
      </c>
      <c r="C618" s="35" t="s">
        <v>1588</v>
      </c>
      <c r="D618" s="37">
        <v>381.69998561759712</v>
      </c>
      <c r="E618" s="35" t="s">
        <v>2655</v>
      </c>
      <c r="F618" s="37">
        <v>387.4017614213198</v>
      </c>
      <c r="G618" s="35" t="s">
        <v>2655</v>
      </c>
      <c r="H618" s="37">
        <v>375.29742216582065</v>
      </c>
      <c r="I618" s="37" t="s">
        <v>2655</v>
      </c>
      <c r="J618" s="35">
        <v>1996</v>
      </c>
      <c r="K618" s="35" t="s">
        <v>25</v>
      </c>
      <c r="L618" s="35" t="s">
        <v>1597</v>
      </c>
      <c r="M618" s="36">
        <v>11820</v>
      </c>
      <c r="N618" s="52">
        <v>7656</v>
      </c>
      <c r="O618" s="38">
        <v>0.64771573604060917</v>
      </c>
      <c r="P618" s="35">
        <v>0</v>
      </c>
      <c r="Q618" s="35" t="s">
        <v>28</v>
      </c>
      <c r="R618" s="53">
        <v>0</v>
      </c>
      <c r="S618" s="53">
        <v>0</v>
      </c>
    </row>
    <row r="619" spans="1:19" x14ac:dyDescent="0.3">
      <c r="A619" s="35" t="s">
        <v>1586</v>
      </c>
      <c r="B619" s="35" t="s">
        <v>12</v>
      </c>
      <c r="C619" s="35" t="s">
        <v>1588</v>
      </c>
      <c r="D619" s="37">
        <v>380.2342604349588</v>
      </c>
      <c r="E619" s="35" t="s">
        <v>2655</v>
      </c>
      <c r="F619" s="37">
        <v>349.56582196406868</v>
      </c>
      <c r="G619" s="35" t="s">
        <v>2655</v>
      </c>
      <c r="H619" s="37">
        <v>374.36435228961227</v>
      </c>
      <c r="I619" s="37" t="s">
        <v>2655</v>
      </c>
      <c r="J619" s="35">
        <v>1972</v>
      </c>
      <c r="K619" s="35" t="s">
        <v>1950</v>
      </c>
      <c r="L619" s="35" t="s">
        <v>1950</v>
      </c>
      <c r="M619" s="36">
        <v>7403</v>
      </c>
      <c r="N619" s="52">
        <v>7200</v>
      </c>
      <c r="O619" s="38">
        <v>0.97257868431716876</v>
      </c>
      <c r="P619" s="35">
        <v>0</v>
      </c>
      <c r="Q619" s="35" t="s">
        <v>1787</v>
      </c>
      <c r="R619" s="53">
        <v>0</v>
      </c>
      <c r="S619" s="53">
        <v>0</v>
      </c>
    </row>
    <row r="620" spans="1:19" x14ac:dyDescent="0.3">
      <c r="A620" s="35" t="s">
        <v>1586</v>
      </c>
      <c r="B620" s="35" t="s">
        <v>12</v>
      </c>
      <c r="C620" s="35" t="s">
        <v>1588</v>
      </c>
      <c r="D620" s="37">
        <v>362.94146781206911</v>
      </c>
      <c r="E620" s="35" t="s">
        <v>2655</v>
      </c>
      <c r="F620" s="37">
        <v>369.88184749178066</v>
      </c>
      <c r="G620" s="35" t="s">
        <v>2655</v>
      </c>
      <c r="H620" s="37">
        <v>373.36525506416376</v>
      </c>
      <c r="I620" s="37" t="s">
        <v>2655</v>
      </c>
      <c r="J620" s="35">
        <v>2001</v>
      </c>
      <c r="K620" s="35" t="s">
        <v>1950</v>
      </c>
      <c r="L620" s="35" t="s">
        <v>1950</v>
      </c>
      <c r="M620" s="36">
        <v>9429</v>
      </c>
      <c r="N620" s="52">
        <v>5600</v>
      </c>
      <c r="O620" s="38">
        <v>0.59391239792130657</v>
      </c>
      <c r="P620" s="35">
        <v>0</v>
      </c>
      <c r="Q620" s="35" t="s">
        <v>28</v>
      </c>
      <c r="R620" s="53">
        <v>0</v>
      </c>
      <c r="S620" s="53">
        <v>0</v>
      </c>
    </row>
    <row r="621" spans="1:19" x14ac:dyDescent="0.3">
      <c r="A621" s="35" t="s">
        <v>1586</v>
      </c>
      <c r="B621" s="35" t="s">
        <v>12</v>
      </c>
      <c r="C621" s="35" t="s">
        <v>1588</v>
      </c>
      <c r="D621" s="37">
        <v>347.13597899999996</v>
      </c>
      <c r="E621" s="35" t="s">
        <v>2655</v>
      </c>
      <c r="F621" s="37">
        <v>349.91612099999998</v>
      </c>
      <c r="G621" s="35" t="s">
        <v>2655</v>
      </c>
      <c r="H621" s="37">
        <v>359.30265200000002</v>
      </c>
      <c r="I621" s="37" t="s">
        <v>2655</v>
      </c>
      <c r="J621" s="35">
        <v>2000</v>
      </c>
      <c r="K621" s="35" t="s">
        <v>1950</v>
      </c>
      <c r="L621" s="35" t="s">
        <v>1950</v>
      </c>
      <c r="M621" s="36">
        <v>10000</v>
      </c>
      <c r="N621" s="52">
        <v>6000</v>
      </c>
      <c r="O621" s="38">
        <v>0.6</v>
      </c>
      <c r="P621" s="35">
        <v>0</v>
      </c>
      <c r="Q621" s="35" t="s">
        <v>28</v>
      </c>
      <c r="R621" s="53">
        <v>0</v>
      </c>
      <c r="S621" s="53">
        <v>0</v>
      </c>
    </row>
    <row r="622" spans="1:19" x14ac:dyDescent="0.3">
      <c r="A622" s="35" t="s">
        <v>1586</v>
      </c>
      <c r="B622" s="35" t="s">
        <v>12</v>
      </c>
      <c r="C622" s="35" t="s">
        <v>1588</v>
      </c>
      <c r="D622" s="37">
        <v>365.78430141287288</v>
      </c>
      <c r="E622" s="35" t="s">
        <v>2655</v>
      </c>
      <c r="F622" s="37">
        <v>362.90958202511774</v>
      </c>
      <c r="G622" s="35" t="s">
        <v>2655</v>
      </c>
      <c r="H622" s="37">
        <v>338.19780612244898</v>
      </c>
      <c r="I622" s="37" t="s">
        <v>2655</v>
      </c>
      <c r="J622" s="35">
        <v>2011</v>
      </c>
      <c r="K622" s="35" t="s">
        <v>1950</v>
      </c>
      <c r="L622" s="35" t="s">
        <v>1950</v>
      </c>
      <c r="M622" s="36">
        <v>5096</v>
      </c>
      <c r="N622" s="52">
        <v>4777</v>
      </c>
      <c r="O622" s="38">
        <v>0.93740188383045531</v>
      </c>
      <c r="P622" s="35">
        <v>0</v>
      </c>
      <c r="Q622" s="35" t="s">
        <v>1787</v>
      </c>
      <c r="R622" s="53">
        <v>0</v>
      </c>
      <c r="S622" s="53">
        <v>0</v>
      </c>
    </row>
    <row r="623" spans="1:19" x14ac:dyDescent="0.3">
      <c r="A623" s="35" t="s">
        <v>1586</v>
      </c>
      <c r="B623" s="35" t="s">
        <v>12</v>
      </c>
      <c r="C623" s="35" t="s">
        <v>1588</v>
      </c>
      <c r="D623" s="37">
        <v>266.74522729563557</v>
      </c>
      <c r="E623" s="35" t="s">
        <v>2656</v>
      </c>
      <c r="F623" s="37">
        <v>311.30549138191719</v>
      </c>
      <c r="G623" s="35" t="s">
        <v>2656</v>
      </c>
      <c r="H623" s="37">
        <v>333.39637032557204</v>
      </c>
      <c r="I623" s="37" t="s">
        <v>2655</v>
      </c>
      <c r="J623" s="35">
        <v>2016</v>
      </c>
      <c r="K623" s="35" t="s">
        <v>1950</v>
      </c>
      <c r="L623" s="35" t="s">
        <v>1950</v>
      </c>
      <c r="M623" s="36">
        <v>9921</v>
      </c>
      <c r="N623" s="52">
        <v>7374</v>
      </c>
      <c r="O623" s="38">
        <v>0.74327184759600851</v>
      </c>
      <c r="P623" s="35">
        <v>0</v>
      </c>
      <c r="Q623" s="35" t="s">
        <v>1589</v>
      </c>
      <c r="R623" s="53">
        <v>7</v>
      </c>
      <c r="S623" s="53">
        <v>0</v>
      </c>
    </row>
    <row r="624" spans="1:19" x14ac:dyDescent="0.3">
      <c r="A624" s="35" t="s">
        <v>1586</v>
      </c>
      <c r="B624" s="35" t="s">
        <v>12</v>
      </c>
      <c r="C624" s="35" t="s">
        <v>1588</v>
      </c>
      <c r="D624" s="37">
        <v>249.76407059756741</v>
      </c>
      <c r="E624" s="35" t="s">
        <v>2656</v>
      </c>
      <c r="F624" s="37">
        <v>267.75227128503434</v>
      </c>
      <c r="G624" s="35" t="s">
        <v>2656</v>
      </c>
      <c r="H624" s="37">
        <v>330.62065441565306</v>
      </c>
      <c r="I624" s="37" t="s">
        <v>2656</v>
      </c>
      <c r="J624" s="35">
        <v>2015</v>
      </c>
      <c r="K624" s="35" t="s">
        <v>19</v>
      </c>
      <c r="L624" s="35" t="s">
        <v>1598</v>
      </c>
      <c r="M624" s="36">
        <v>7564</v>
      </c>
      <c r="N624" s="52">
        <v>6564</v>
      </c>
      <c r="O624" s="38">
        <v>0.86779481755684817</v>
      </c>
      <c r="P624" s="35">
        <v>0</v>
      </c>
      <c r="Q624" s="35" t="s">
        <v>1589</v>
      </c>
      <c r="R624" s="53">
        <v>7</v>
      </c>
      <c r="S624" s="53">
        <v>119</v>
      </c>
    </row>
    <row r="625" spans="1:19" x14ac:dyDescent="0.3">
      <c r="A625" s="35" t="s">
        <v>1586</v>
      </c>
      <c r="B625" s="35" t="s">
        <v>12</v>
      </c>
      <c r="C625" s="35" t="s">
        <v>1588</v>
      </c>
      <c r="D625" s="37">
        <v>293.9727419893191</v>
      </c>
      <c r="E625" s="35" t="s">
        <v>2656</v>
      </c>
      <c r="F625" s="37">
        <v>305.72114152202943</v>
      </c>
      <c r="G625" s="35" t="s">
        <v>2656</v>
      </c>
      <c r="H625" s="37">
        <v>316.22520527369824</v>
      </c>
      <c r="I625" s="37" t="s">
        <v>2656</v>
      </c>
      <c r="J625" s="35">
        <v>1993</v>
      </c>
      <c r="K625" s="35" t="s">
        <v>1950</v>
      </c>
      <c r="L625" s="35" t="s">
        <v>1950</v>
      </c>
      <c r="M625" s="36">
        <v>5992</v>
      </c>
      <c r="N625" s="52">
        <v>3534</v>
      </c>
      <c r="O625" s="38">
        <v>0.58978638184245658</v>
      </c>
      <c r="P625" s="35">
        <v>0</v>
      </c>
      <c r="Q625" s="35" t="s">
        <v>1590</v>
      </c>
      <c r="R625" s="53">
        <v>0</v>
      </c>
      <c r="S625" s="53">
        <v>0</v>
      </c>
    </row>
    <row r="626" spans="1:19" x14ac:dyDescent="0.3">
      <c r="A626" s="35" t="s">
        <v>1586</v>
      </c>
      <c r="B626" s="35" t="s">
        <v>12</v>
      </c>
      <c r="C626" s="35" t="s">
        <v>1588</v>
      </c>
      <c r="D626" s="37">
        <v>343.44797961983147</v>
      </c>
      <c r="E626" s="35" t="s">
        <v>2655</v>
      </c>
      <c r="F626" s="37">
        <v>392.85292181069957</v>
      </c>
      <c r="G626" s="35" t="s">
        <v>2655</v>
      </c>
      <c r="H626" s="37">
        <v>315.85197922790513</v>
      </c>
      <c r="I626" s="37" t="s">
        <v>2656</v>
      </c>
      <c r="J626" s="35">
        <v>2013</v>
      </c>
      <c r="K626" s="35" t="s">
        <v>1950</v>
      </c>
      <c r="L626" s="35" t="s">
        <v>1950</v>
      </c>
      <c r="M626" s="36">
        <v>5103</v>
      </c>
      <c r="N626" s="52">
        <v>4500</v>
      </c>
      <c r="O626" s="38">
        <v>0.88183421516754845</v>
      </c>
      <c r="P626" s="35">
        <v>0</v>
      </c>
      <c r="Q626" s="35" t="s">
        <v>1589</v>
      </c>
      <c r="R626" s="53">
        <v>6</v>
      </c>
      <c r="S626" s="53">
        <v>0.8</v>
      </c>
    </row>
    <row r="627" spans="1:19" x14ac:dyDescent="0.3">
      <c r="A627" s="35" t="s">
        <v>1586</v>
      </c>
      <c r="B627" s="35" t="s">
        <v>12</v>
      </c>
      <c r="C627" s="35" t="s">
        <v>1588</v>
      </c>
      <c r="D627" s="37">
        <v>263.60153601150722</v>
      </c>
      <c r="E627" s="35" t="s">
        <v>2656</v>
      </c>
      <c r="F627" s="37">
        <v>288.4306739956848</v>
      </c>
      <c r="G627" s="35" t="s">
        <v>2656</v>
      </c>
      <c r="H627" s="37">
        <v>315.11512380560976</v>
      </c>
      <c r="I627" s="37" t="s">
        <v>2656</v>
      </c>
      <c r="J627" s="35">
        <v>2014</v>
      </c>
      <c r="K627" s="35" t="s">
        <v>25</v>
      </c>
      <c r="L627" s="35" t="s">
        <v>1603</v>
      </c>
      <c r="M627" s="36">
        <v>9733</v>
      </c>
      <c r="N627" s="52">
        <v>8363</v>
      </c>
      <c r="O627" s="38">
        <v>0.85924175485461829</v>
      </c>
      <c r="P627" s="35">
        <v>0</v>
      </c>
      <c r="Q627" s="35" t="s">
        <v>1590</v>
      </c>
      <c r="R627" s="53">
        <v>0</v>
      </c>
      <c r="S627" s="53">
        <v>0</v>
      </c>
    </row>
    <row r="628" spans="1:19" x14ac:dyDescent="0.3">
      <c r="A628" s="35" t="s">
        <v>1586</v>
      </c>
      <c r="B628" s="35" t="s">
        <v>12</v>
      </c>
      <c r="C628" s="35" t="s">
        <v>1588</v>
      </c>
      <c r="D628" s="37">
        <v>298.90591893349762</v>
      </c>
      <c r="E628" s="35" t="s">
        <v>2655</v>
      </c>
      <c r="F628" s="37">
        <v>310.42825306311158</v>
      </c>
      <c r="G628" s="35" t="s">
        <v>2656</v>
      </c>
      <c r="H628" s="37">
        <v>310.13556677198119</v>
      </c>
      <c r="I628" s="37" t="s">
        <v>2656</v>
      </c>
      <c r="J628" s="35">
        <v>1974</v>
      </c>
      <c r="K628" s="35" t="s">
        <v>1950</v>
      </c>
      <c r="L628" s="35" t="s">
        <v>1950</v>
      </c>
      <c r="M628" s="36">
        <v>12977</v>
      </c>
      <c r="N628" s="52">
        <v>7925</v>
      </c>
      <c r="O628" s="38">
        <v>0.61069584649764974</v>
      </c>
      <c r="P628" s="35">
        <v>0</v>
      </c>
      <c r="Q628" s="35" t="s">
        <v>1589</v>
      </c>
      <c r="R628" s="53">
        <v>24</v>
      </c>
      <c r="S628" s="53">
        <v>0</v>
      </c>
    </row>
    <row r="629" spans="1:19" x14ac:dyDescent="0.3">
      <c r="A629" s="35" t="s">
        <v>1586</v>
      </c>
      <c r="B629" s="35" t="s">
        <v>12</v>
      </c>
      <c r="C629" s="35" t="s">
        <v>1588</v>
      </c>
      <c r="D629" s="37">
        <v>248.72013897866842</v>
      </c>
      <c r="E629" s="35" t="s">
        <v>2656</v>
      </c>
      <c r="F629" s="37">
        <v>246.83280219780221</v>
      </c>
      <c r="G629" s="35" t="s">
        <v>2656</v>
      </c>
      <c r="H629" s="37">
        <v>297.45038461538462</v>
      </c>
      <c r="I629" s="37" t="s">
        <v>2656</v>
      </c>
      <c r="J629" s="35">
        <v>1984</v>
      </c>
      <c r="K629" s="35" t="s">
        <v>1950</v>
      </c>
      <c r="L629" s="35" t="s">
        <v>1950</v>
      </c>
      <c r="M629" s="36">
        <v>6188</v>
      </c>
      <c r="N629" s="52">
        <v>4800</v>
      </c>
      <c r="O629" s="38">
        <v>0.77569489334195219</v>
      </c>
      <c r="P629" s="35">
        <v>0</v>
      </c>
      <c r="Q629" s="35" t="s">
        <v>28</v>
      </c>
      <c r="R629" s="53">
        <v>0</v>
      </c>
      <c r="S629" s="53">
        <v>0</v>
      </c>
    </row>
    <row r="630" spans="1:19" x14ac:dyDescent="0.3">
      <c r="A630" s="35" t="s">
        <v>1586</v>
      </c>
      <c r="B630" s="35" t="s">
        <v>12</v>
      </c>
      <c r="C630" s="35" t="s">
        <v>1588</v>
      </c>
      <c r="D630" s="37">
        <v>303.60411114722137</v>
      </c>
      <c r="E630" s="35" t="s">
        <v>2655</v>
      </c>
      <c r="F630" s="37">
        <v>316.38981962950919</v>
      </c>
      <c r="G630" s="35" t="s">
        <v>2656</v>
      </c>
      <c r="H630" s="37">
        <v>291.68561260968477</v>
      </c>
      <c r="I630" s="37" t="s">
        <v>2656</v>
      </c>
      <c r="J630" s="35">
        <v>1988</v>
      </c>
      <c r="K630" s="35" t="s">
        <v>1950</v>
      </c>
      <c r="L630" s="35" t="s">
        <v>1950</v>
      </c>
      <c r="M630" s="36">
        <v>6154</v>
      </c>
      <c r="N630" s="52">
        <v>4315</v>
      </c>
      <c r="O630" s="38">
        <v>0.70116997075073129</v>
      </c>
      <c r="P630" s="35">
        <v>0</v>
      </c>
      <c r="Q630" s="35" t="s">
        <v>1590</v>
      </c>
      <c r="R630" s="53">
        <v>0</v>
      </c>
      <c r="S630" s="53">
        <v>0</v>
      </c>
    </row>
    <row r="631" spans="1:19" x14ac:dyDescent="0.3">
      <c r="A631" s="35" t="s">
        <v>1586</v>
      </c>
      <c r="B631" s="35" t="s">
        <v>12</v>
      </c>
      <c r="C631" s="35" t="s">
        <v>1588</v>
      </c>
      <c r="D631" s="37">
        <v>889.98511149577428</v>
      </c>
      <c r="E631" s="35" t="s">
        <v>2654</v>
      </c>
      <c r="F631" s="37">
        <v>796.02719071377658</v>
      </c>
      <c r="G631" s="35" t="s">
        <v>2654</v>
      </c>
      <c r="H631" s="37">
        <v>285.24186946339478</v>
      </c>
      <c r="I631" s="37" t="s">
        <v>2656</v>
      </c>
      <c r="J631" s="35">
        <v>2012</v>
      </c>
      <c r="K631" s="35" t="s">
        <v>1950</v>
      </c>
      <c r="L631" s="35" t="s">
        <v>1950</v>
      </c>
      <c r="M631" s="36">
        <v>9821</v>
      </c>
      <c r="N631" s="52">
        <v>8500</v>
      </c>
      <c r="O631" s="38">
        <v>0.86549231239181346</v>
      </c>
      <c r="P631" s="35">
        <v>0</v>
      </c>
      <c r="Q631" s="35" t="s">
        <v>1590</v>
      </c>
      <c r="R631" s="53">
        <v>0</v>
      </c>
      <c r="S631" s="53">
        <v>0</v>
      </c>
    </row>
    <row r="632" spans="1:19" x14ac:dyDescent="0.3">
      <c r="A632" s="35" t="s">
        <v>1586</v>
      </c>
      <c r="B632" s="35" t="s">
        <v>12</v>
      </c>
      <c r="C632" s="35" t="s">
        <v>1588</v>
      </c>
      <c r="D632" s="37">
        <v>228.4735791791162</v>
      </c>
      <c r="E632" s="35" t="s">
        <v>2656</v>
      </c>
      <c r="F632" s="37">
        <v>259.35923572888811</v>
      </c>
      <c r="G632" s="35" t="s">
        <v>2656</v>
      </c>
      <c r="H632" s="37">
        <v>283.07884415788646</v>
      </c>
      <c r="I632" s="37" t="s">
        <v>2656</v>
      </c>
      <c r="J632" s="35">
        <v>2016</v>
      </c>
      <c r="K632" s="35" t="s">
        <v>1950</v>
      </c>
      <c r="L632" s="35" t="s">
        <v>1950</v>
      </c>
      <c r="M632" s="36">
        <v>6359</v>
      </c>
      <c r="N632" s="52">
        <v>87</v>
      </c>
      <c r="O632" s="38">
        <v>1.3681396445982073E-2</v>
      </c>
      <c r="P632" s="35">
        <v>0</v>
      </c>
      <c r="Q632" s="35" t="s">
        <v>28</v>
      </c>
      <c r="R632" s="53">
        <v>0</v>
      </c>
      <c r="S632" s="53">
        <v>2</v>
      </c>
    </row>
    <row r="633" spans="1:19" x14ac:dyDescent="0.3">
      <c r="A633" s="35" t="s">
        <v>1586</v>
      </c>
      <c r="B633" s="35" t="s">
        <v>12</v>
      </c>
      <c r="C633" s="35" t="s">
        <v>1588</v>
      </c>
      <c r="D633" s="37">
        <v>244.26050943396226</v>
      </c>
      <c r="E633" s="35" t="s">
        <v>2656</v>
      </c>
      <c r="F633" s="37">
        <v>293.11222641509437</v>
      </c>
      <c r="G633" s="35" t="s">
        <v>2656</v>
      </c>
      <c r="H633" s="37">
        <v>282.57639622641506</v>
      </c>
      <c r="I633" s="37" t="s">
        <v>2656</v>
      </c>
      <c r="J633" s="35">
        <v>2018</v>
      </c>
      <c r="K633" s="35" t="s">
        <v>1950</v>
      </c>
      <c r="L633" s="35" t="s">
        <v>1950</v>
      </c>
      <c r="M633" s="36">
        <v>5300</v>
      </c>
      <c r="N633" s="52">
        <v>5000</v>
      </c>
      <c r="O633" s="38">
        <v>0.94339622641509435</v>
      </c>
      <c r="P633" s="35">
        <v>0</v>
      </c>
      <c r="Q633" s="35" t="s">
        <v>28</v>
      </c>
      <c r="R633" s="53">
        <v>0</v>
      </c>
      <c r="S633" s="53">
        <v>0</v>
      </c>
    </row>
    <row r="634" spans="1:19" x14ac:dyDescent="0.3">
      <c r="A634" s="35" t="s">
        <v>1586</v>
      </c>
      <c r="B634" s="35" t="s">
        <v>12</v>
      </c>
      <c r="C634" s="35" t="s">
        <v>1588</v>
      </c>
      <c r="D634" s="37">
        <v>242.54334615384616</v>
      </c>
      <c r="E634" s="35" t="s">
        <v>2656</v>
      </c>
      <c r="F634" s="37">
        <v>253.80134615384614</v>
      </c>
      <c r="G634" s="35" t="s">
        <v>2656</v>
      </c>
      <c r="H634" s="37">
        <v>281.18407692307693</v>
      </c>
      <c r="I634" s="37" t="s">
        <v>2656</v>
      </c>
      <c r="J634" s="35">
        <v>2009</v>
      </c>
      <c r="K634" s="35" t="s">
        <v>47</v>
      </c>
      <c r="L634" s="35" t="s">
        <v>1606</v>
      </c>
      <c r="M634" s="36">
        <v>13000</v>
      </c>
      <c r="N634" s="52">
        <v>7508</v>
      </c>
      <c r="O634" s="38">
        <v>0.57753846153846156</v>
      </c>
      <c r="P634" s="35">
        <v>0</v>
      </c>
      <c r="Q634" s="35" t="s">
        <v>1589</v>
      </c>
      <c r="R634" s="53">
        <v>14</v>
      </c>
      <c r="S634" s="53">
        <v>0</v>
      </c>
    </row>
    <row r="635" spans="1:19" x14ac:dyDescent="0.3">
      <c r="A635" s="35" t="s">
        <v>1586</v>
      </c>
      <c r="B635" s="35" t="s">
        <v>12</v>
      </c>
      <c r="C635" s="35" t="s">
        <v>1588</v>
      </c>
      <c r="D635" s="37">
        <v>313.49361519836094</v>
      </c>
      <c r="E635" s="35" t="s">
        <v>2655</v>
      </c>
      <c r="F635" s="37">
        <v>316.08850623952321</v>
      </c>
      <c r="G635" s="35" t="s">
        <v>2656</v>
      </c>
      <c r="H635" s="37">
        <v>275.5082007822686</v>
      </c>
      <c r="I635" s="37" t="s">
        <v>2656</v>
      </c>
      <c r="J635" s="35">
        <v>1984</v>
      </c>
      <c r="K635" s="35" t="s">
        <v>1950</v>
      </c>
      <c r="L635" s="35" t="s">
        <v>1950</v>
      </c>
      <c r="M635" s="36">
        <v>5369</v>
      </c>
      <c r="N635" s="52">
        <v>5321</v>
      </c>
      <c r="O635" s="38">
        <v>0.99105978766995717</v>
      </c>
      <c r="P635" s="35">
        <v>0</v>
      </c>
      <c r="Q635" s="35" t="s">
        <v>28</v>
      </c>
      <c r="R635" s="53">
        <v>0</v>
      </c>
      <c r="S635" s="53">
        <v>1.34</v>
      </c>
    </row>
    <row r="636" spans="1:19" x14ac:dyDescent="0.3">
      <c r="A636" s="35" t="s">
        <v>1586</v>
      </c>
      <c r="B636" s="35" t="s">
        <v>12</v>
      </c>
      <c r="C636" s="35" t="s">
        <v>1588</v>
      </c>
      <c r="D636" s="37">
        <v>188.44021135314603</v>
      </c>
      <c r="E636" s="35" t="s">
        <v>2657</v>
      </c>
      <c r="F636" s="37">
        <v>202.36249979755448</v>
      </c>
      <c r="G636" s="35" t="s">
        <v>2657</v>
      </c>
      <c r="H636" s="37">
        <v>242.7789116527654</v>
      </c>
      <c r="I636" s="37" t="s">
        <v>2657</v>
      </c>
      <c r="J636" s="35">
        <v>1990</v>
      </c>
      <c r="K636" s="35" t="s">
        <v>1950</v>
      </c>
      <c r="L636" s="35" t="s">
        <v>1950</v>
      </c>
      <c r="M636" s="36">
        <v>12349</v>
      </c>
      <c r="N636" s="52">
        <v>7732</v>
      </c>
      <c r="O636" s="38">
        <v>0.62612357275892783</v>
      </c>
      <c r="P636" s="35">
        <v>0</v>
      </c>
      <c r="Q636" s="35" t="s">
        <v>1787</v>
      </c>
      <c r="R636" s="53">
        <v>0</v>
      </c>
      <c r="S636" s="53">
        <v>0</v>
      </c>
    </row>
    <row r="637" spans="1:19" x14ac:dyDescent="0.3">
      <c r="A637" s="35" t="s">
        <v>1586</v>
      </c>
      <c r="B637" s="35" t="s">
        <v>12</v>
      </c>
      <c r="C637" s="35" t="s">
        <v>1588</v>
      </c>
      <c r="D637" s="37">
        <v>228.95700775512998</v>
      </c>
      <c r="E637" s="35" t="s">
        <v>2656</v>
      </c>
      <c r="F637" s="37">
        <v>212.68065335254957</v>
      </c>
      <c r="G637" s="35" t="s">
        <v>2657</v>
      </c>
      <c r="H637" s="37">
        <v>238.18050923066366</v>
      </c>
      <c r="I637" s="37" t="s">
        <v>2657</v>
      </c>
      <c r="J637" s="35">
        <v>1983</v>
      </c>
      <c r="K637" s="35" t="s">
        <v>1950</v>
      </c>
      <c r="L637" s="35" t="s">
        <v>1950</v>
      </c>
      <c r="M637" s="36">
        <v>14571</v>
      </c>
      <c r="N637" s="52">
        <v>8000</v>
      </c>
      <c r="O637" s="38">
        <v>0.54903575595360643</v>
      </c>
      <c r="P637" s="35">
        <v>0</v>
      </c>
      <c r="Q637" s="35" t="s">
        <v>1589</v>
      </c>
      <c r="R637" s="53">
        <v>22</v>
      </c>
      <c r="S637" s="53">
        <v>0.65</v>
      </c>
    </row>
    <row r="638" spans="1:19" x14ac:dyDescent="0.3">
      <c r="A638" s="35" t="s">
        <v>1586</v>
      </c>
      <c r="B638" s="35" t="s">
        <v>12</v>
      </c>
      <c r="C638" s="35" t="s">
        <v>1588</v>
      </c>
      <c r="D638" s="37">
        <v>215.92111439659951</v>
      </c>
      <c r="E638" s="35" t="s">
        <v>2657</v>
      </c>
      <c r="F638" s="37">
        <v>226.81536314914064</v>
      </c>
      <c r="G638" s="35" t="s">
        <v>2657</v>
      </c>
      <c r="H638" s="37">
        <v>230.27824801330624</v>
      </c>
      <c r="I638" s="37" t="s">
        <v>2657</v>
      </c>
      <c r="J638" s="35">
        <v>1980</v>
      </c>
      <c r="K638" s="35" t="s">
        <v>1950</v>
      </c>
      <c r="L638" s="35" t="s">
        <v>1950</v>
      </c>
      <c r="M638" s="36">
        <v>5411</v>
      </c>
      <c r="N638" s="52">
        <v>3589</v>
      </c>
      <c r="O638" s="38">
        <v>0.66327850674551836</v>
      </c>
      <c r="P638" s="35">
        <v>0</v>
      </c>
      <c r="Q638" s="35" t="s">
        <v>1589</v>
      </c>
      <c r="R638" s="53">
        <v>34</v>
      </c>
      <c r="S638" s="53">
        <v>0</v>
      </c>
    </row>
    <row r="639" spans="1:19" x14ac:dyDescent="0.3">
      <c r="A639" s="35" t="s">
        <v>1586</v>
      </c>
      <c r="B639" s="35" t="s">
        <v>12</v>
      </c>
      <c r="C639" s="35" t="s">
        <v>1588</v>
      </c>
      <c r="D639" s="37">
        <v>220.36148066837418</v>
      </c>
      <c r="E639" s="35" t="s">
        <v>2656</v>
      </c>
      <c r="F639" s="37">
        <v>214.70191120868395</v>
      </c>
      <c r="G639" s="35" t="s">
        <v>2657</v>
      </c>
      <c r="H639" s="37">
        <v>214.14383705329919</v>
      </c>
      <c r="I639" s="37" t="s">
        <v>2657</v>
      </c>
      <c r="J639" s="35">
        <v>1984</v>
      </c>
      <c r="K639" s="35" t="s">
        <v>1950</v>
      </c>
      <c r="L639" s="35" t="s">
        <v>1950</v>
      </c>
      <c r="M639" s="36">
        <v>8199</v>
      </c>
      <c r="N639" s="52">
        <v>3304</v>
      </c>
      <c r="O639" s="38">
        <v>0.40297597267959506</v>
      </c>
      <c r="P639" s="35">
        <v>0</v>
      </c>
      <c r="Q639" s="35" t="s">
        <v>1787</v>
      </c>
      <c r="R639" s="53">
        <v>0</v>
      </c>
      <c r="S639" s="53">
        <v>0</v>
      </c>
    </row>
    <row r="640" spans="1:19" x14ac:dyDescent="0.3">
      <c r="A640" s="35" t="s">
        <v>1586</v>
      </c>
      <c r="B640" s="35" t="s">
        <v>12</v>
      </c>
      <c r="C640" s="35" t="s">
        <v>1588</v>
      </c>
      <c r="D640" s="37">
        <v>165.16148311013393</v>
      </c>
      <c r="E640" s="35" t="s">
        <v>2657</v>
      </c>
      <c r="F640" s="37">
        <v>177.84702778333002</v>
      </c>
      <c r="G640" s="35" t="s">
        <v>2657</v>
      </c>
      <c r="H640" s="37">
        <v>203.4838896662003</v>
      </c>
      <c r="I640" s="37" t="s">
        <v>2657</v>
      </c>
      <c r="J640" s="35">
        <v>2015</v>
      </c>
      <c r="K640" s="35" t="s">
        <v>1950</v>
      </c>
      <c r="L640" s="35" t="s">
        <v>1950</v>
      </c>
      <c r="M640" s="36">
        <v>5003</v>
      </c>
      <c r="N640" s="52">
        <v>4800</v>
      </c>
      <c r="O640" s="38">
        <v>0.95942434539276433</v>
      </c>
      <c r="P640" s="35">
        <v>0</v>
      </c>
      <c r="Q640" s="35" t="s">
        <v>1787</v>
      </c>
      <c r="R640" s="53">
        <v>0</v>
      </c>
      <c r="S640" s="53">
        <v>0</v>
      </c>
    </row>
    <row r="641" spans="1:19" x14ac:dyDescent="0.3">
      <c r="A641" s="35" t="s">
        <v>1586</v>
      </c>
      <c r="B641" s="35" t="s">
        <v>12</v>
      </c>
      <c r="C641" s="35" t="s">
        <v>1588</v>
      </c>
      <c r="D641" s="37">
        <v>179.59110459040116</v>
      </c>
      <c r="E641" s="35" t="s">
        <v>2657</v>
      </c>
      <c r="F641" s="37">
        <v>203.77393681164079</v>
      </c>
      <c r="G641" s="35" t="s">
        <v>2657</v>
      </c>
      <c r="H641" s="37">
        <v>199.69065037382427</v>
      </c>
      <c r="I641" s="37" t="s">
        <v>2657</v>
      </c>
      <c r="J641" s="35">
        <v>2003</v>
      </c>
      <c r="K641" s="35" t="s">
        <v>1950</v>
      </c>
      <c r="L641" s="35" t="s">
        <v>1950</v>
      </c>
      <c r="M641" s="36">
        <v>12439</v>
      </c>
      <c r="N641" s="52">
        <v>11430</v>
      </c>
      <c r="O641" s="38">
        <v>0.9188841546748131</v>
      </c>
      <c r="P641" s="35">
        <v>0</v>
      </c>
      <c r="Q641" s="35" t="s">
        <v>1589</v>
      </c>
      <c r="R641" s="53">
        <v>20</v>
      </c>
      <c r="S641" s="53">
        <v>0</v>
      </c>
    </row>
    <row r="642" spans="1:19" x14ac:dyDescent="0.3">
      <c r="A642" s="35" t="s">
        <v>1586</v>
      </c>
      <c r="B642" s="35" t="s">
        <v>12</v>
      </c>
      <c r="C642" s="35" t="s">
        <v>1588</v>
      </c>
      <c r="D642" s="37">
        <v>121.72271206896552</v>
      </c>
      <c r="E642" s="35" t="s">
        <v>2657</v>
      </c>
      <c r="F642" s="37">
        <v>160.99870862068968</v>
      </c>
      <c r="G642" s="35" t="s">
        <v>2657</v>
      </c>
      <c r="H642" s="37">
        <v>190.88208103448278</v>
      </c>
      <c r="I642" s="37" t="s">
        <v>2657</v>
      </c>
      <c r="J642" s="35">
        <v>2017</v>
      </c>
      <c r="K642" s="35" t="s">
        <v>1950</v>
      </c>
      <c r="L642" s="35" t="s">
        <v>1950</v>
      </c>
      <c r="M642" s="36">
        <v>5800</v>
      </c>
      <c r="N642" s="52">
        <v>4000</v>
      </c>
      <c r="O642" s="38">
        <v>0.68965517241379315</v>
      </c>
      <c r="P642" s="35">
        <v>0</v>
      </c>
      <c r="Q642" s="35" t="s">
        <v>28</v>
      </c>
      <c r="R642" s="53">
        <v>0</v>
      </c>
      <c r="S642" s="53">
        <v>107</v>
      </c>
    </row>
    <row r="643" spans="1:19" x14ac:dyDescent="0.3">
      <c r="A643" s="35" t="s">
        <v>1586</v>
      </c>
      <c r="B643" s="35" t="s">
        <v>12</v>
      </c>
      <c r="C643" s="35" t="s">
        <v>1588</v>
      </c>
      <c r="D643" s="37">
        <v>215.03436600643303</v>
      </c>
      <c r="E643" s="35" t="s">
        <v>2657</v>
      </c>
      <c r="F643" s="37">
        <v>179.46097850008465</v>
      </c>
      <c r="G643" s="35" t="s">
        <v>2657</v>
      </c>
      <c r="H643" s="37">
        <v>189.25050787201624</v>
      </c>
      <c r="I643" s="37" t="s">
        <v>2657</v>
      </c>
      <c r="J643" s="35">
        <v>1992</v>
      </c>
      <c r="K643" s="35" t="s">
        <v>25</v>
      </c>
      <c r="L643" s="35" t="s">
        <v>1601</v>
      </c>
      <c r="M643" s="36">
        <v>5907</v>
      </c>
      <c r="N643" s="52">
        <v>4726</v>
      </c>
      <c r="O643" s="38">
        <v>0.80006771626883355</v>
      </c>
      <c r="P643" s="35">
        <v>0</v>
      </c>
      <c r="Q643" s="35" t="s">
        <v>1589</v>
      </c>
      <c r="R643" s="53">
        <v>5</v>
      </c>
      <c r="S643" s="53">
        <v>0.67500000000000004</v>
      </c>
    </row>
    <row r="644" spans="1:19" x14ac:dyDescent="0.3">
      <c r="A644" s="35" t="s">
        <v>1586</v>
      </c>
      <c r="B644" s="35" t="s">
        <v>12</v>
      </c>
      <c r="C644" s="35" t="s">
        <v>1588</v>
      </c>
      <c r="D644" s="37">
        <v>232.35354831323463</v>
      </c>
      <c r="E644" s="35" t="s">
        <v>2656</v>
      </c>
      <c r="F644" s="37">
        <v>215.37942985803696</v>
      </c>
      <c r="G644" s="35" t="s">
        <v>2657</v>
      </c>
      <c r="H644" s="37">
        <v>175.97515493817738</v>
      </c>
      <c r="I644" s="37" t="s">
        <v>2657</v>
      </c>
      <c r="J644" s="35">
        <v>2010</v>
      </c>
      <c r="K644" s="35" t="s">
        <v>25</v>
      </c>
      <c r="L644" s="35" t="s">
        <v>1601</v>
      </c>
      <c r="M644" s="36">
        <v>13102</v>
      </c>
      <c r="N644" s="52">
        <v>8608</v>
      </c>
      <c r="O644" s="38">
        <v>0.65699893146084565</v>
      </c>
      <c r="P644" s="35">
        <v>0</v>
      </c>
      <c r="Q644" s="35" t="s">
        <v>28</v>
      </c>
      <c r="R644" s="53">
        <v>0</v>
      </c>
      <c r="S644" s="53">
        <v>0</v>
      </c>
    </row>
    <row r="645" spans="1:19" x14ac:dyDescent="0.3">
      <c r="A645" s="35" t="s">
        <v>1586</v>
      </c>
      <c r="B645" s="35" t="s">
        <v>12</v>
      </c>
      <c r="C645" s="35" t="s">
        <v>1588</v>
      </c>
      <c r="D645" s="37">
        <v>130.02997763898526</v>
      </c>
      <c r="E645" s="35" t="s">
        <v>2657</v>
      </c>
      <c r="F645" s="37">
        <v>147.78077029840387</v>
      </c>
      <c r="G645" s="35" t="s">
        <v>2657</v>
      </c>
      <c r="H645" s="37">
        <v>153.81520703215358</v>
      </c>
      <c r="I645" s="37" t="s">
        <v>2657</v>
      </c>
      <c r="J645" s="35">
        <v>1982</v>
      </c>
      <c r="K645" s="35" t="s">
        <v>25</v>
      </c>
      <c r="L645" s="35" t="s">
        <v>1601</v>
      </c>
      <c r="M645" s="36">
        <v>12969</v>
      </c>
      <c r="N645" s="52">
        <v>12000</v>
      </c>
      <c r="O645" s="38">
        <v>0.92528336803145961</v>
      </c>
      <c r="P645" s="35">
        <v>0</v>
      </c>
      <c r="Q645" s="35" t="s">
        <v>1589</v>
      </c>
      <c r="R645" s="53">
        <v>2</v>
      </c>
      <c r="S645" s="53">
        <v>0.625</v>
      </c>
    </row>
    <row r="646" spans="1:19" x14ac:dyDescent="0.3">
      <c r="A646" s="35" t="s">
        <v>1586</v>
      </c>
      <c r="B646" s="35" t="s">
        <v>12</v>
      </c>
      <c r="C646" s="35" t="s">
        <v>1588</v>
      </c>
      <c r="D646" s="37">
        <v>151.6948716402481</v>
      </c>
      <c r="E646" s="35" t="s">
        <v>2657</v>
      </c>
      <c r="F646" s="37">
        <v>152.32794796691934</v>
      </c>
      <c r="G646" s="35" t="s">
        <v>2657</v>
      </c>
      <c r="H646" s="37">
        <v>149.20697880771883</v>
      </c>
      <c r="I646" s="37" t="s">
        <v>2657</v>
      </c>
      <c r="J646" s="35">
        <v>1984</v>
      </c>
      <c r="K646" s="35" t="s">
        <v>1950</v>
      </c>
      <c r="L646" s="35" t="s">
        <v>1950</v>
      </c>
      <c r="M646" s="36">
        <v>11608</v>
      </c>
      <c r="N646" s="52">
        <v>11608</v>
      </c>
      <c r="O646" s="38">
        <v>1</v>
      </c>
      <c r="P646" s="35">
        <v>0</v>
      </c>
      <c r="Q646" s="35" t="s">
        <v>1787</v>
      </c>
      <c r="R646" s="53">
        <v>0</v>
      </c>
      <c r="S646" s="53">
        <v>0</v>
      </c>
    </row>
    <row r="647" spans="1:19" x14ac:dyDescent="0.3">
      <c r="A647" s="35" t="s">
        <v>1586</v>
      </c>
      <c r="B647" s="35" t="s">
        <v>12</v>
      </c>
      <c r="C647" s="35" t="s">
        <v>1588</v>
      </c>
      <c r="D647" s="37">
        <v>162.34619119074941</v>
      </c>
      <c r="E647" s="35" t="s">
        <v>2657</v>
      </c>
      <c r="F647" s="37">
        <v>219.4735660693795</v>
      </c>
      <c r="G647" s="35" t="s">
        <v>2657</v>
      </c>
      <c r="H647" s="37">
        <v>147.28881366404801</v>
      </c>
      <c r="I647" s="37" t="s">
        <v>2657</v>
      </c>
      <c r="J647" s="35">
        <v>1996</v>
      </c>
      <c r="K647" s="35" t="s">
        <v>19</v>
      </c>
      <c r="L647" s="35" t="s">
        <v>1599</v>
      </c>
      <c r="M647" s="36">
        <v>11329</v>
      </c>
      <c r="N647" s="52">
        <v>10551</v>
      </c>
      <c r="O647" s="38">
        <v>0.93132668373201521</v>
      </c>
      <c r="P647" s="35">
        <v>0</v>
      </c>
      <c r="Q647" s="35" t="s">
        <v>1589</v>
      </c>
      <c r="R647" s="53">
        <v>1</v>
      </c>
      <c r="S647" s="53">
        <v>0.6</v>
      </c>
    </row>
    <row r="648" spans="1:19" x14ac:dyDescent="0.3">
      <c r="A648" s="35" t="s">
        <v>1586</v>
      </c>
      <c r="B648" s="35" t="s">
        <v>12</v>
      </c>
      <c r="C648" s="35" t="s">
        <v>1588</v>
      </c>
      <c r="D648" s="37">
        <v>144.91653663261712</v>
      </c>
      <c r="E648" s="35" t="s">
        <v>2657</v>
      </c>
      <c r="F648" s="37">
        <v>155.3721239873195</v>
      </c>
      <c r="G648" s="35" t="s">
        <v>2657</v>
      </c>
      <c r="H648" s="37">
        <v>140.03907802042974</v>
      </c>
      <c r="I648" s="37" t="s">
        <v>2657</v>
      </c>
      <c r="J648" s="35">
        <v>1982</v>
      </c>
      <c r="K648" s="35" t="s">
        <v>25</v>
      </c>
      <c r="L648" s="35" t="s">
        <v>1601</v>
      </c>
      <c r="M648" s="36">
        <v>11356</v>
      </c>
      <c r="N648" s="52">
        <v>11070</v>
      </c>
      <c r="O648" s="38">
        <v>0.97481507573089121</v>
      </c>
      <c r="P648" s="35">
        <v>0</v>
      </c>
      <c r="Q648" s="35" t="s">
        <v>1589</v>
      </c>
      <c r="R648" s="53">
        <v>0</v>
      </c>
      <c r="S648" s="53">
        <v>0</v>
      </c>
    </row>
    <row r="649" spans="1:19" x14ac:dyDescent="0.3">
      <c r="A649" s="35" t="s">
        <v>1586</v>
      </c>
      <c r="B649" s="35" t="s">
        <v>12</v>
      </c>
      <c r="C649" s="35" t="s">
        <v>1588</v>
      </c>
      <c r="D649" s="37">
        <v>167.0418902210566</v>
      </c>
      <c r="E649" s="35" t="s">
        <v>2657</v>
      </c>
      <c r="F649" s="37">
        <v>137.57496253278379</v>
      </c>
      <c r="G649" s="35" t="s">
        <v>2657</v>
      </c>
      <c r="H649" s="37">
        <v>137.92984263769202</v>
      </c>
      <c r="I649" s="37" t="s">
        <v>2657</v>
      </c>
      <c r="J649" s="35">
        <v>1983</v>
      </c>
      <c r="K649" s="35" t="s">
        <v>1950</v>
      </c>
      <c r="L649" s="35" t="s">
        <v>1950</v>
      </c>
      <c r="M649" s="36">
        <v>5338</v>
      </c>
      <c r="N649" s="52">
        <v>5000</v>
      </c>
      <c r="O649" s="38">
        <v>0.93668040464593483</v>
      </c>
      <c r="P649" s="35">
        <v>0</v>
      </c>
      <c r="Q649" s="35" t="s">
        <v>1590</v>
      </c>
      <c r="R649" s="53">
        <v>0</v>
      </c>
      <c r="S649" s="53">
        <v>0</v>
      </c>
    </row>
    <row r="650" spans="1:19" x14ac:dyDescent="0.3">
      <c r="A650" s="35" t="s">
        <v>1586</v>
      </c>
      <c r="B650" s="35" t="s">
        <v>12</v>
      </c>
      <c r="C650" s="35" t="s">
        <v>1588</v>
      </c>
      <c r="D650" s="37">
        <v>103.94673799278986</v>
      </c>
      <c r="E650" s="39" t="s">
        <v>1950</v>
      </c>
      <c r="F650" s="37">
        <v>116.3053843470171</v>
      </c>
      <c r="G650" s="35" t="s">
        <v>1950</v>
      </c>
      <c r="H650" s="37">
        <v>125.26700779160367</v>
      </c>
      <c r="I650" s="37" t="s">
        <v>1950</v>
      </c>
      <c r="J650" s="35">
        <v>2011</v>
      </c>
      <c r="K650" s="35" t="s">
        <v>25</v>
      </c>
      <c r="L650" s="35" t="s">
        <v>1608</v>
      </c>
      <c r="M650" s="36">
        <v>8599</v>
      </c>
      <c r="N650" s="52">
        <v>6523</v>
      </c>
      <c r="O650" s="38">
        <v>0.75857657867193862</v>
      </c>
      <c r="P650" s="35">
        <v>0</v>
      </c>
      <c r="Q650" s="35" t="s">
        <v>1821</v>
      </c>
      <c r="R650" s="53">
        <v>0</v>
      </c>
      <c r="S650" s="53">
        <v>0</v>
      </c>
    </row>
    <row r="651" spans="1:19" x14ac:dyDescent="0.3">
      <c r="A651" s="35" t="s">
        <v>1586</v>
      </c>
      <c r="B651" s="35" t="s">
        <v>12</v>
      </c>
      <c r="C651" s="35" t="s">
        <v>1588</v>
      </c>
      <c r="D651" s="37">
        <v>102.03392716123939</v>
      </c>
      <c r="E651" s="35" t="s">
        <v>2657</v>
      </c>
      <c r="F651" s="37">
        <v>100.88074743345567</v>
      </c>
      <c r="G651" s="35" t="s">
        <v>2657</v>
      </c>
      <c r="H651" s="37">
        <v>89.957952803456124</v>
      </c>
      <c r="I651" s="37" t="s">
        <v>2657</v>
      </c>
      <c r="J651" s="35">
        <v>1984</v>
      </c>
      <c r="K651" s="35" t="s">
        <v>1950</v>
      </c>
      <c r="L651" s="35" t="s">
        <v>1950</v>
      </c>
      <c r="M651" s="36">
        <v>4305.3999999999996</v>
      </c>
      <c r="N651" s="52">
        <v>2310</v>
      </c>
      <c r="O651" s="38">
        <v>0.53653551354113449</v>
      </c>
      <c r="P651" s="35">
        <v>0</v>
      </c>
      <c r="Q651" s="35" t="s">
        <v>28</v>
      </c>
      <c r="R651" s="53">
        <v>0</v>
      </c>
      <c r="S651" s="53">
        <v>0</v>
      </c>
    </row>
    <row r="652" spans="1:19" x14ac:dyDescent="0.3">
      <c r="A652" s="35" t="s">
        <v>1586</v>
      </c>
      <c r="B652" s="35" t="s">
        <v>12</v>
      </c>
      <c r="C652" s="35" t="s">
        <v>1588</v>
      </c>
      <c r="D652" s="37">
        <v>48.755075415953975</v>
      </c>
      <c r="E652" s="35" t="s">
        <v>2657</v>
      </c>
      <c r="F652" s="37">
        <v>46.859549059244287</v>
      </c>
      <c r="G652" s="35" t="s">
        <v>2657</v>
      </c>
      <c r="H652" s="37">
        <v>40.851811537863476</v>
      </c>
      <c r="I652" s="37" t="s">
        <v>2657</v>
      </c>
      <c r="J652" s="35">
        <v>1996</v>
      </c>
      <c r="K652" s="35" t="s">
        <v>47</v>
      </c>
      <c r="L652" s="35" t="s">
        <v>1599</v>
      </c>
      <c r="M652" s="36">
        <v>6431</v>
      </c>
      <c r="N652" s="52">
        <v>6100</v>
      </c>
      <c r="O652" s="38">
        <v>0.94853055512361995</v>
      </c>
      <c r="P652" s="35">
        <v>0</v>
      </c>
      <c r="Q652" s="35" t="s">
        <v>1589</v>
      </c>
      <c r="R652" s="53">
        <v>7</v>
      </c>
      <c r="S652" s="53">
        <v>0.65</v>
      </c>
    </row>
    <row r="653" spans="1:19" x14ac:dyDescent="0.3">
      <c r="A653" s="35" t="s">
        <v>1586</v>
      </c>
      <c r="B653" s="35" t="s">
        <v>8</v>
      </c>
      <c r="C653" s="35" t="s">
        <v>1950</v>
      </c>
      <c r="D653" s="37">
        <v>2258.1253627760252</v>
      </c>
      <c r="E653" s="39" t="s">
        <v>1950</v>
      </c>
      <c r="F653" s="37">
        <v>2649.7273186119874</v>
      </c>
      <c r="G653" s="35" t="s">
        <v>1950</v>
      </c>
      <c r="H653" s="37">
        <v>3370.3713564668769</v>
      </c>
      <c r="I653" s="37" t="s">
        <v>1950</v>
      </c>
      <c r="J653" s="35">
        <v>2019</v>
      </c>
      <c r="K653" s="35" t="s">
        <v>1950</v>
      </c>
      <c r="L653" s="35" t="s">
        <v>1950</v>
      </c>
      <c r="M653" s="36">
        <v>317</v>
      </c>
      <c r="N653" s="52">
        <v>60</v>
      </c>
      <c r="O653" s="38">
        <v>0.1892744479495268</v>
      </c>
      <c r="P653" s="35">
        <v>0</v>
      </c>
      <c r="Q653" s="35" t="s">
        <v>1821</v>
      </c>
      <c r="R653" s="53">
        <v>0</v>
      </c>
      <c r="S653" s="53">
        <v>0</v>
      </c>
    </row>
    <row r="654" spans="1:19" x14ac:dyDescent="0.3">
      <c r="A654" s="35" t="s">
        <v>1586</v>
      </c>
      <c r="B654" s="35" t="s">
        <v>8</v>
      </c>
      <c r="C654" s="35" t="s">
        <v>1950</v>
      </c>
      <c r="D654" s="37">
        <v>521.5617902894196</v>
      </c>
      <c r="E654" s="35" t="s">
        <v>2654</v>
      </c>
      <c r="F654" s="37">
        <v>526.80142337498023</v>
      </c>
      <c r="G654" s="35" t="s">
        <v>2654</v>
      </c>
      <c r="H654" s="37">
        <v>533.02910011070696</v>
      </c>
      <c r="I654" s="37" t="s">
        <v>2654</v>
      </c>
      <c r="J654" s="35">
        <v>2006</v>
      </c>
      <c r="K654" s="35" t="s">
        <v>1950</v>
      </c>
      <c r="L654" s="35" t="s">
        <v>1950</v>
      </c>
      <c r="M654" s="36">
        <v>31615</v>
      </c>
      <c r="N654" s="52">
        <v>30116</v>
      </c>
      <c r="O654" s="38">
        <v>0.95258579788075282</v>
      </c>
      <c r="P654" s="35">
        <v>0</v>
      </c>
      <c r="Q654" s="35" t="s">
        <v>1589</v>
      </c>
      <c r="R654" s="53">
        <v>17</v>
      </c>
      <c r="S654" s="53">
        <v>0</v>
      </c>
    </row>
    <row r="655" spans="1:19" x14ac:dyDescent="0.3">
      <c r="A655" s="35" t="s">
        <v>1586</v>
      </c>
      <c r="B655" s="35" t="s">
        <v>8</v>
      </c>
      <c r="C655" s="35" t="s">
        <v>1950</v>
      </c>
      <c r="D655" s="37">
        <v>313.08403547266414</v>
      </c>
      <c r="E655" s="35" t="s">
        <v>2654</v>
      </c>
      <c r="F655" s="37">
        <v>324.2368038032547</v>
      </c>
      <c r="G655" s="35" t="s">
        <v>2654</v>
      </c>
      <c r="H655" s="37">
        <v>358.17011885170962</v>
      </c>
      <c r="I655" s="37" t="s">
        <v>2654</v>
      </c>
      <c r="J655" s="35">
        <v>1997</v>
      </c>
      <c r="K655" s="35" t="s">
        <v>1950</v>
      </c>
      <c r="L655" s="35" t="s">
        <v>1950</v>
      </c>
      <c r="M655" s="36">
        <v>10938</v>
      </c>
      <c r="N655" s="52">
        <v>8185</v>
      </c>
      <c r="O655" s="38">
        <v>0.74830864874748582</v>
      </c>
      <c r="P655" s="35">
        <v>0</v>
      </c>
      <c r="Q655" s="35" t="s">
        <v>1590</v>
      </c>
      <c r="R655" s="53">
        <v>0</v>
      </c>
      <c r="S655" s="53">
        <v>0</v>
      </c>
    </row>
    <row r="656" spans="1:19" x14ac:dyDescent="0.3">
      <c r="A656" s="35" t="s">
        <v>1586</v>
      </c>
      <c r="B656" s="35" t="s">
        <v>8</v>
      </c>
      <c r="C656" s="35" t="s">
        <v>1950</v>
      </c>
      <c r="D656" s="37">
        <v>344.65627663460367</v>
      </c>
      <c r="E656" s="35" t="s">
        <v>2654</v>
      </c>
      <c r="F656" s="37">
        <v>351.91077154105278</v>
      </c>
      <c r="G656" s="35" t="s">
        <v>2654</v>
      </c>
      <c r="H656" s="37">
        <v>344.52581273590647</v>
      </c>
      <c r="I656" s="37" t="s">
        <v>2654</v>
      </c>
      <c r="J656" s="35">
        <v>1985</v>
      </c>
      <c r="K656" s="35" t="s">
        <v>1950</v>
      </c>
      <c r="L656" s="35" t="s">
        <v>1950</v>
      </c>
      <c r="M656" s="36">
        <v>24639</v>
      </c>
      <c r="N656" s="52">
        <v>23238</v>
      </c>
      <c r="O656" s="38">
        <v>0.94313892609277972</v>
      </c>
      <c r="P656" s="35">
        <v>0</v>
      </c>
      <c r="Q656" s="35" t="s">
        <v>1589</v>
      </c>
      <c r="R656" s="53">
        <v>13</v>
      </c>
      <c r="S656" s="53">
        <v>0.97</v>
      </c>
    </row>
    <row r="657" spans="1:19" x14ac:dyDescent="0.3">
      <c r="A657" s="35" t="s">
        <v>1586</v>
      </c>
      <c r="B657" s="35" t="s">
        <v>8</v>
      </c>
      <c r="C657" s="35" t="s">
        <v>1950</v>
      </c>
      <c r="D657" s="37">
        <v>302.62167866898437</v>
      </c>
      <c r="E657" s="35" t="s">
        <v>2654</v>
      </c>
      <c r="F657" s="37">
        <v>308.80537621057857</v>
      </c>
      <c r="G657" s="35" t="s">
        <v>2654</v>
      </c>
      <c r="H657" s="37">
        <v>324.17457164142041</v>
      </c>
      <c r="I657" s="37" t="s">
        <v>2654</v>
      </c>
      <c r="J657" s="35">
        <v>2014</v>
      </c>
      <c r="K657" s="35" t="s">
        <v>19</v>
      </c>
      <c r="L657" s="35" t="s">
        <v>1603</v>
      </c>
      <c r="M657" s="36">
        <v>48324</v>
      </c>
      <c r="N657" s="52">
        <v>48324</v>
      </c>
      <c r="O657" s="38">
        <v>1</v>
      </c>
      <c r="P657" s="35">
        <v>499</v>
      </c>
      <c r="Q657" s="35" t="s">
        <v>1589</v>
      </c>
      <c r="R657" s="53">
        <v>9</v>
      </c>
      <c r="S657" s="53">
        <v>0</v>
      </c>
    </row>
    <row r="658" spans="1:19" x14ac:dyDescent="0.3">
      <c r="A658" s="35" t="s">
        <v>1586</v>
      </c>
      <c r="B658" s="35" t="s">
        <v>8</v>
      </c>
      <c r="C658" s="35" t="s">
        <v>1950</v>
      </c>
      <c r="D658" s="37">
        <v>303.2422529378847</v>
      </c>
      <c r="E658" s="35" t="s">
        <v>2654</v>
      </c>
      <c r="F658" s="37">
        <v>312.86981122924823</v>
      </c>
      <c r="G658" s="35" t="s">
        <v>2654</v>
      </c>
      <c r="H658" s="37">
        <v>323.71920686439097</v>
      </c>
      <c r="I658" s="37" t="s">
        <v>2654</v>
      </c>
      <c r="J658" s="35">
        <v>1990</v>
      </c>
      <c r="K658" s="35" t="s">
        <v>25</v>
      </c>
      <c r="L658" s="35" t="s">
        <v>1599</v>
      </c>
      <c r="M658" s="36">
        <v>53610</v>
      </c>
      <c r="N658" s="52">
        <v>53610</v>
      </c>
      <c r="O658" s="38">
        <v>1</v>
      </c>
      <c r="P658" s="35">
        <v>0</v>
      </c>
      <c r="Q658" s="35" t="s">
        <v>1589</v>
      </c>
      <c r="R658" s="53">
        <v>7</v>
      </c>
      <c r="S658" s="53">
        <v>0</v>
      </c>
    </row>
    <row r="659" spans="1:19" x14ac:dyDescent="0.3">
      <c r="A659" s="35" t="s">
        <v>1586</v>
      </c>
      <c r="B659" s="35" t="s">
        <v>8</v>
      </c>
      <c r="C659" s="35" t="s">
        <v>1950</v>
      </c>
      <c r="D659" s="37">
        <v>273.02289754141606</v>
      </c>
      <c r="E659" s="35" t="s">
        <v>2655</v>
      </c>
      <c r="F659" s="37">
        <v>297.71833561957021</v>
      </c>
      <c r="G659" s="35" t="s">
        <v>2654</v>
      </c>
      <c r="H659" s="37">
        <v>322.79068622278498</v>
      </c>
      <c r="I659" s="37" t="s">
        <v>2654</v>
      </c>
      <c r="J659" s="35">
        <v>2017</v>
      </c>
      <c r="K659" s="35" t="s">
        <v>1950</v>
      </c>
      <c r="L659" s="35" t="s">
        <v>1950</v>
      </c>
      <c r="M659" s="36">
        <v>28431</v>
      </c>
      <c r="N659" s="52">
        <v>9079</v>
      </c>
      <c r="O659" s="38">
        <v>0.31933452921107242</v>
      </c>
      <c r="P659" s="35">
        <v>250</v>
      </c>
      <c r="Q659" s="35" t="s">
        <v>1589</v>
      </c>
      <c r="R659" s="53">
        <v>6</v>
      </c>
      <c r="S659" s="53">
        <v>0.66400000000000003</v>
      </c>
    </row>
    <row r="660" spans="1:19" x14ac:dyDescent="0.3">
      <c r="A660" s="35" t="s">
        <v>1586</v>
      </c>
      <c r="B660" s="35" t="s">
        <v>8</v>
      </c>
      <c r="C660" s="35" t="s">
        <v>1950</v>
      </c>
      <c r="D660" s="37">
        <v>270.23499390615478</v>
      </c>
      <c r="E660" s="35" t="s">
        <v>2655</v>
      </c>
      <c r="F660" s="37">
        <v>274.91301035953688</v>
      </c>
      <c r="G660" s="35" t="s">
        <v>2654</v>
      </c>
      <c r="H660" s="37">
        <v>306.915676416819</v>
      </c>
      <c r="I660" s="37" t="s">
        <v>2654</v>
      </c>
      <c r="J660" s="35">
        <v>1996</v>
      </c>
      <c r="K660" s="35" t="s">
        <v>1950</v>
      </c>
      <c r="L660" s="35" t="s">
        <v>1950</v>
      </c>
      <c r="M660" s="36">
        <v>13128</v>
      </c>
      <c r="N660" s="52">
        <v>8981</v>
      </c>
      <c r="O660" s="38">
        <v>0.68411029859841554</v>
      </c>
      <c r="P660" s="35">
        <v>0</v>
      </c>
      <c r="Q660" s="35" t="s">
        <v>1589</v>
      </c>
      <c r="R660" s="53">
        <v>23</v>
      </c>
      <c r="S660" s="53">
        <v>1.1000000000000001</v>
      </c>
    </row>
    <row r="661" spans="1:19" x14ac:dyDescent="0.3">
      <c r="A661" s="35" t="s">
        <v>1586</v>
      </c>
      <c r="B661" s="35" t="s">
        <v>8</v>
      </c>
      <c r="C661" s="35" t="s">
        <v>1950</v>
      </c>
      <c r="D661" s="37">
        <v>288.80742873596313</v>
      </c>
      <c r="E661" s="35" t="s">
        <v>2655</v>
      </c>
      <c r="F661" s="37">
        <v>286.84428448027643</v>
      </c>
      <c r="G661" s="35" t="s">
        <v>2654</v>
      </c>
      <c r="H661" s="37">
        <v>284.91851425280737</v>
      </c>
      <c r="I661" s="37" t="s">
        <v>2654</v>
      </c>
      <c r="J661" s="35">
        <v>1988</v>
      </c>
      <c r="K661" s="35" t="s">
        <v>25</v>
      </c>
      <c r="L661" s="35" t="s">
        <v>1783</v>
      </c>
      <c r="M661" s="36">
        <v>52095</v>
      </c>
      <c r="N661" s="52">
        <v>42900</v>
      </c>
      <c r="O661" s="38">
        <v>0.82349553699971212</v>
      </c>
      <c r="P661" s="35">
        <v>384</v>
      </c>
      <c r="Q661" s="35" t="s">
        <v>1589</v>
      </c>
      <c r="R661" s="53">
        <v>5</v>
      </c>
      <c r="S661" s="53">
        <v>0</v>
      </c>
    </row>
    <row r="662" spans="1:19" x14ac:dyDescent="0.3">
      <c r="A662" s="35" t="s">
        <v>1586</v>
      </c>
      <c r="B662" s="35" t="s">
        <v>8</v>
      </c>
      <c r="C662" s="35" t="s">
        <v>1950</v>
      </c>
      <c r="D662" s="37">
        <v>352.52331932773109</v>
      </c>
      <c r="E662" s="35" t="s">
        <v>2654</v>
      </c>
      <c r="F662" s="37">
        <v>272.12122803666921</v>
      </c>
      <c r="G662" s="35" t="s">
        <v>2654</v>
      </c>
      <c r="H662" s="37">
        <v>279.79917398777695</v>
      </c>
      <c r="I662" s="37" t="s">
        <v>2654</v>
      </c>
      <c r="J662" s="35">
        <v>2019</v>
      </c>
      <c r="K662" s="35" t="s">
        <v>21</v>
      </c>
      <c r="L662" s="35" t="s">
        <v>1598</v>
      </c>
      <c r="M662" s="36">
        <v>83776</v>
      </c>
      <c r="N662" s="52">
        <v>75398</v>
      </c>
      <c r="O662" s="38">
        <v>0.89999522536287246</v>
      </c>
      <c r="P662" s="35">
        <v>400</v>
      </c>
      <c r="Q662" s="35" t="s">
        <v>1589</v>
      </c>
      <c r="R662" s="53">
        <v>4</v>
      </c>
      <c r="S662" s="53">
        <v>0.622</v>
      </c>
    </row>
    <row r="663" spans="1:19" x14ac:dyDescent="0.3">
      <c r="A663" s="35" t="s">
        <v>1586</v>
      </c>
      <c r="B663" s="35" t="s">
        <v>8</v>
      </c>
      <c r="C663" s="35" t="s">
        <v>1950</v>
      </c>
      <c r="D663" s="37">
        <v>229.78601096308481</v>
      </c>
      <c r="E663" s="35" t="s">
        <v>2655</v>
      </c>
      <c r="F663" s="37">
        <v>243.81828016332494</v>
      </c>
      <c r="G663" s="35" t="s">
        <v>2655</v>
      </c>
      <c r="H663" s="37">
        <v>276.36419605144255</v>
      </c>
      <c r="I663" s="37" t="s">
        <v>2654</v>
      </c>
      <c r="J663" s="35">
        <v>1992</v>
      </c>
      <c r="K663" s="35" t="s">
        <v>25</v>
      </c>
      <c r="L663" s="35" t="s">
        <v>1783</v>
      </c>
      <c r="M663" s="36">
        <v>4547.99</v>
      </c>
      <c r="N663" s="52">
        <v>400</v>
      </c>
      <c r="O663" s="38">
        <v>8.7950940965129648E-2</v>
      </c>
      <c r="P663" s="35">
        <v>0</v>
      </c>
      <c r="Q663" s="35" t="s">
        <v>28</v>
      </c>
      <c r="R663" s="53">
        <v>0</v>
      </c>
      <c r="S663" s="53">
        <v>0</v>
      </c>
    </row>
    <row r="664" spans="1:19" x14ac:dyDescent="0.3">
      <c r="A664" s="35" t="s">
        <v>1586</v>
      </c>
      <c r="B664" s="35" t="s">
        <v>8</v>
      </c>
      <c r="C664" s="35" t="s">
        <v>1950</v>
      </c>
      <c r="D664" s="37">
        <v>230.80828210647789</v>
      </c>
      <c r="E664" s="35" t="s">
        <v>2655</v>
      </c>
      <c r="F664" s="37">
        <v>244.67046891990856</v>
      </c>
      <c r="G664" s="35" t="s">
        <v>2655</v>
      </c>
      <c r="H664" s="37">
        <v>258.91440491777814</v>
      </c>
      <c r="I664" s="37" t="s">
        <v>2655</v>
      </c>
      <c r="J664" s="35">
        <v>1997</v>
      </c>
      <c r="K664" s="35" t="s">
        <v>21</v>
      </c>
      <c r="L664" s="35" t="s">
        <v>1601</v>
      </c>
      <c r="M664" s="36">
        <v>93730</v>
      </c>
      <c r="N664" s="52">
        <v>85731</v>
      </c>
      <c r="O664" s="38">
        <v>0.91465912728048648</v>
      </c>
      <c r="P664" s="35">
        <v>0</v>
      </c>
      <c r="Q664" s="35" t="s">
        <v>1589</v>
      </c>
      <c r="R664" s="53">
        <v>13</v>
      </c>
      <c r="S664" s="53">
        <v>0.64</v>
      </c>
    </row>
    <row r="665" spans="1:19" x14ac:dyDescent="0.3">
      <c r="A665" s="35" t="s">
        <v>1586</v>
      </c>
      <c r="B665" s="35" t="s">
        <v>8</v>
      </c>
      <c r="C665" s="35" t="s">
        <v>1950</v>
      </c>
      <c r="D665" s="37">
        <v>4.1898997159807436</v>
      </c>
      <c r="E665" s="35" t="s">
        <v>2657</v>
      </c>
      <c r="F665" s="37">
        <v>246.1826784989747</v>
      </c>
      <c r="G665" s="35" t="s">
        <v>2655</v>
      </c>
      <c r="H665" s="37">
        <v>248.2486741016109</v>
      </c>
      <c r="I665" s="37" t="s">
        <v>2655</v>
      </c>
      <c r="J665" s="35">
        <v>1993</v>
      </c>
      <c r="K665" s="35" t="s">
        <v>19</v>
      </c>
      <c r="L665" s="35" t="s">
        <v>1601</v>
      </c>
      <c r="M665" s="36">
        <v>182382</v>
      </c>
      <c r="N665" s="52">
        <v>174705</v>
      </c>
      <c r="O665" s="38">
        <v>0.95790703029904267</v>
      </c>
      <c r="P665" s="35">
        <v>0</v>
      </c>
      <c r="Q665" s="35" t="s">
        <v>1589</v>
      </c>
      <c r="R665" s="53">
        <v>7</v>
      </c>
      <c r="S665" s="53">
        <v>0.62</v>
      </c>
    </row>
    <row r="666" spans="1:19" x14ac:dyDescent="0.3">
      <c r="A666" s="35" t="s">
        <v>1586</v>
      </c>
      <c r="B666" s="35" t="s">
        <v>8</v>
      </c>
      <c r="C666" s="35" t="s">
        <v>1950</v>
      </c>
      <c r="D666" s="37">
        <v>191.17888286660641</v>
      </c>
      <c r="E666" s="35" t="s">
        <v>2656</v>
      </c>
      <c r="F666" s="37">
        <v>227.75632565492319</v>
      </c>
      <c r="G666" s="35" t="s">
        <v>2655</v>
      </c>
      <c r="H666" s="37">
        <v>242.95058115025594</v>
      </c>
      <c r="I666" s="37" t="s">
        <v>2655</v>
      </c>
      <c r="J666" s="35">
        <v>2016</v>
      </c>
      <c r="K666" s="35" t="s">
        <v>1950</v>
      </c>
      <c r="L666" s="35" t="s">
        <v>1950</v>
      </c>
      <c r="M666" s="36">
        <v>13284</v>
      </c>
      <c r="N666" s="52">
        <v>1000</v>
      </c>
      <c r="O666" s="38">
        <v>7.527853056308341E-2</v>
      </c>
      <c r="P666" s="35">
        <v>298</v>
      </c>
      <c r="Q666" s="35" t="s">
        <v>1589</v>
      </c>
      <c r="R666" s="53">
        <v>5</v>
      </c>
      <c r="S666" s="53">
        <v>0</v>
      </c>
    </row>
    <row r="667" spans="1:19" x14ac:dyDescent="0.3">
      <c r="A667" s="35" t="s">
        <v>1586</v>
      </c>
      <c r="B667" s="35" t="s">
        <v>8</v>
      </c>
      <c r="C667" s="35" t="s">
        <v>1950</v>
      </c>
      <c r="D667" s="37">
        <v>248.52146924537013</v>
      </c>
      <c r="E667" s="35" t="s">
        <v>2655</v>
      </c>
      <c r="F667" s="37">
        <v>252.44046580823886</v>
      </c>
      <c r="G667" s="35" t="s">
        <v>2655</v>
      </c>
      <c r="H667" s="37">
        <v>240.56068845226491</v>
      </c>
      <c r="I667" s="37" t="s">
        <v>2655</v>
      </c>
      <c r="J667" s="35">
        <v>1969</v>
      </c>
      <c r="K667" s="35" t="s">
        <v>1950</v>
      </c>
      <c r="L667" s="35" t="s">
        <v>1950</v>
      </c>
      <c r="M667" s="36">
        <v>38986</v>
      </c>
      <c r="N667" s="52">
        <v>30308</v>
      </c>
      <c r="O667" s="38">
        <v>0.77740727440619706</v>
      </c>
      <c r="P667" s="35">
        <v>423</v>
      </c>
      <c r="Q667" s="35" t="s">
        <v>1589</v>
      </c>
      <c r="R667" s="53">
        <v>6</v>
      </c>
      <c r="S667" s="53">
        <v>0</v>
      </c>
    </row>
    <row r="668" spans="1:19" x14ac:dyDescent="0.3">
      <c r="A668" s="35" t="s">
        <v>1586</v>
      </c>
      <c r="B668" s="35" t="s">
        <v>8</v>
      </c>
      <c r="C668" s="35" t="s">
        <v>1950</v>
      </c>
      <c r="D668" s="37">
        <v>219.96922975206604</v>
      </c>
      <c r="E668" s="35" t="s">
        <v>2655</v>
      </c>
      <c r="F668" s="37">
        <v>230.22240247933885</v>
      </c>
      <c r="G668" s="35" t="s">
        <v>2655</v>
      </c>
      <c r="H668" s="37">
        <v>234.93348016528924</v>
      </c>
      <c r="I668" s="37" t="s">
        <v>2655</v>
      </c>
      <c r="J668" s="35">
        <v>1973</v>
      </c>
      <c r="K668" s="35" t="s">
        <v>1950</v>
      </c>
      <c r="L668" s="35" t="s">
        <v>1950</v>
      </c>
      <c r="M668" s="36">
        <v>12100</v>
      </c>
      <c r="N668" s="52">
        <v>12775</v>
      </c>
      <c r="O668" s="38">
        <v>1.0557851239669422</v>
      </c>
      <c r="P668" s="35">
        <v>0</v>
      </c>
      <c r="Q668" s="35" t="s">
        <v>28</v>
      </c>
      <c r="R668" s="53">
        <v>0</v>
      </c>
      <c r="S668" s="53">
        <v>0</v>
      </c>
    </row>
    <row r="669" spans="1:19" x14ac:dyDescent="0.3">
      <c r="A669" s="35" t="s">
        <v>1586</v>
      </c>
      <c r="B669" s="35" t="s">
        <v>8</v>
      </c>
      <c r="C669" s="35" t="s">
        <v>1950</v>
      </c>
      <c r="D669" s="37">
        <v>191.56374468085107</v>
      </c>
      <c r="E669" s="35" t="s">
        <v>2656</v>
      </c>
      <c r="F669" s="37">
        <v>208.39182978723403</v>
      </c>
      <c r="G669" s="35" t="s">
        <v>2656</v>
      </c>
      <c r="H669" s="37">
        <v>232.25570212765956</v>
      </c>
      <c r="I669" s="37" t="s">
        <v>2655</v>
      </c>
      <c r="J669" s="35">
        <v>1988</v>
      </c>
      <c r="K669" s="35" t="s">
        <v>1950</v>
      </c>
      <c r="L669" s="35" t="s">
        <v>1950</v>
      </c>
      <c r="M669" s="36">
        <v>23500</v>
      </c>
      <c r="N669" s="52">
        <v>21150</v>
      </c>
      <c r="O669" s="38">
        <v>0.9</v>
      </c>
      <c r="P669" s="35">
        <v>0</v>
      </c>
      <c r="Q669" s="35" t="s">
        <v>1589</v>
      </c>
      <c r="R669" s="53">
        <v>1</v>
      </c>
      <c r="S669" s="53">
        <v>1.02</v>
      </c>
    </row>
    <row r="670" spans="1:19" x14ac:dyDescent="0.3">
      <c r="A670" s="35" t="s">
        <v>1586</v>
      </c>
      <c r="B670" s="35" t="s">
        <v>8</v>
      </c>
      <c r="C670" s="35" t="s">
        <v>1950</v>
      </c>
      <c r="D670" s="37">
        <v>250.88546863390297</v>
      </c>
      <c r="E670" s="35" t="s">
        <v>2655</v>
      </c>
      <c r="F670" s="37">
        <v>233.43420474017014</v>
      </c>
      <c r="G670" s="35" t="s">
        <v>2655</v>
      </c>
      <c r="H670" s="37">
        <v>230.94317785494411</v>
      </c>
      <c r="I670" s="37" t="s">
        <v>2655</v>
      </c>
      <c r="J670" s="35">
        <v>1984</v>
      </c>
      <c r="K670" s="35" t="s">
        <v>21</v>
      </c>
      <c r="L670" s="35" t="s">
        <v>1599</v>
      </c>
      <c r="M670" s="36">
        <v>65947</v>
      </c>
      <c r="N670" s="52">
        <v>61563</v>
      </c>
      <c r="O670" s="38">
        <v>0.93352237402762828</v>
      </c>
      <c r="P670" s="35">
        <v>0</v>
      </c>
      <c r="Q670" s="35" t="s">
        <v>1589</v>
      </c>
      <c r="R670" s="53">
        <v>2</v>
      </c>
      <c r="S670" s="53">
        <v>0.6</v>
      </c>
    </row>
    <row r="671" spans="1:19" x14ac:dyDescent="0.3">
      <c r="A671" s="35" t="s">
        <v>1586</v>
      </c>
      <c r="B671" s="35" t="s">
        <v>8</v>
      </c>
      <c r="C671" s="35" t="s">
        <v>1950</v>
      </c>
      <c r="D671" s="37">
        <v>170.31964624131396</v>
      </c>
      <c r="E671" s="35" t="s">
        <v>2656</v>
      </c>
      <c r="F671" s="37">
        <v>208.90479198628282</v>
      </c>
      <c r="G671" s="35" t="s">
        <v>2656</v>
      </c>
      <c r="H671" s="37">
        <v>226.82736215143038</v>
      </c>
      <c r="I671" s="37" t="s">
        <v>2655</v>
      </c>
      <c r="J671" s="35">
        <v>2019</v>
      </c>
      <c r="K671" s="35" t="s">
        <v>21</v>
      </c>
      <c r="L671" s="35" t="s">
        <v>1602</v>
      </c>
      <c r="M671" s="36">
        <v>22162</v>
      </c>
      <c r="N671" s="52">
        <v>10476</v>
      </c>
      <c r="O671" s="38">
        <v>0.47270101976355927</v>
      </c>
      <c r="P671" s="35">
        <v>318</v>
      </c>
      <c r="Q671" s="35" t="s">
        <v>1589</v>
      </c>
      <c r="R671" s="53">
        <v>3</v>
      </c>
      <c r="S671" s="53">
        <v>0.65</v>
      </c>
    </row>
    <row r="672" spans="1:19" x14ac:dyDescent="0.3">
      <c r="A672" s="35" t="s">
        <v>1586</v>
      </c>
      <c r="B672" s="35" t="s">
        <v>8</v>
      </c>
      <c r="C672" s="35" t="s">
        <v>1950</v>
      </c>
      <c r="D672" s="37">
        <v>233.38170055452866</v>
      </c>
      <c r="E672" s="35" t="s">
        <v>2655</v>
      </c>
      <c r="F672" s="37">
        <v>241.96520332717191</v>
      </c>
      <c r="G672" s="35" t="s">
        <v>2655</v>
      </c>
      <c r="H672" s="37">
        <v>225.62213493530498</v>
      </c>
      <c r="I672" s="37" t="s">
        <v>2656</v>
      </c>
      <c r="J672" s="35">
        <v>1993</v>
      </c>
      <c r="K672" s="35" t="s">
        <v>25</v>
      </c>
      <c r="L672" s="35" t="s">
        <v>1818</v>
      </c>
      <c r="M672" s="36">
        <v>43280</v>
      </c>
      <c r="N672" s="52">
        <v>39800</v>
      </c>
      <c r="O672" s="38">
        <v>0.91959334565619222</v>
      </c>
      <c r="P672" s="35">
        <v>0</v>
      </c>
      <c r="Q672" s="35" t="s">
        <v>1589</v>
      </c>
      <c r="R672" s="53">
        <v>13</v>
      </c>
      <c r="S672" s="53">
        <v>0.69099999999999995</v>
      </c>
    </row>
    <row r="673" spans="1:19" x14ac:dyDescent="0.3">
      <c r="A673" s="35" t="s">
        <v>1586</v>
      </c>
      <c r="B673" s="35" t="s">
        <v>8</v>
      </c>
      <c r="C673" s="35" t="s">
        <v>1950</v>
      </c>
      <c r="D673" s="37">
        <v>225.73647203602854</v>
      </c>
      <c r="E673" s="35" t="s">
        <v>2655</v>
      </c>
      <c r="F673" s="37">
        <v>224.3908457268538</v>
      </c>
      <c r="G673" s="35" t="s">
        <v>2655</v>
      </c>
      <c r="H673" s="37">
        <v>217.21349811478842</v>
      </c>
      <c r="I673" s="37" t="s">
        <v>2656</v>
      </c>
      <c r="J673" s="35">
        <v>1988</v>
      </c>
      <c r="K673" s="35" t="s">
        <v>47</v>
      </c>
      <c r="L673" s="35" t="s">
        <v>1601</v>
      </c>
      <c r="M673" s="36">
        <v>19096</v>
      </c>
      <c r="N673" s="52">
        <v>19094</v>
      </c>
      <c r="O673" s="38">
        <v>0.99989526602429823</v>
      </c>
      <c r="P673" s="35">
        <v>0</v>
      </c>
      <c r="Q673" s="35" t="s">
        <v>1589</v>
      </c>
      <c r="R673" s="53">
        <v>5</v>
      </c>
      <c r="S673" s="53">
        <v>0.69799999999999995</v>
      </c>
    </row>
    <row r="674" spans="1:19" x14ac:dyDescent="0.3">
      <c r="A674" s="35" t="s">
        <v>1586</v>
      </c>
      <c r="B674" s="35" t="s">
        <v>8</v>
      </c>
      <c r="C674" s="35" t="s">
        <v>1950</v>
      </c>
      <c r="D674" s="37">
        <v>192.12835740626923</v>
      </c>
      <c r="E674" s="35" t="s">
        <v>2656</v>
      </c>
      <c r="F674" s="37">
        <v>194.3156422864167</v>
      </c>
      <c r="G674" s="35" t="s">
        <v>2656</v>
      </c>
      <c r="H674" s="37">
        <v>212.82861094038108</v>
      </c>
      <c r="I674" s="37" t="s">
        <v>2656</v>
      </c>
      <c r="J674" s="35">
        <v>1968</v>
      </c>
      <c r="K674" s="35" t="s">
        <v>1950</v>
      </c>
      <c r="L674" s="35" t="s">
        <v>1950</v>
      </c>
      <c r="M674" s="36">
        <v>6508</v>
      </c>
      <c r="N674" s="52">
        <v>5881</v>
      </c>
      <c r="O674" s="38">
        <v>0.90365703749231718</v>
      </c>
      <c r="P674" s="35">
        <v>101</v>
      </c>
      <c r="Q674" s="35" t="s">
        <v>28</v>
      </c>
      <c r="R674" s="53">
        <v>0</v>
      </c>
      <c r="S674" s="53">
        <v>0</v>
      </c>
    </row>
    <row r="675" spans="1:19" x14ac:dyDescent="0.3">
      <c r="A675" s="35" t="s">
        <v>1586</v>
      </c>
      <c r="B675" s="35" t="s">
        <v>8</v>
      </c>
      <c r="C675" s="35" t="s">
        <v>1950</v>
      </c>
      <c r="D675" s="37">
        <v>203.30241007492813</v>
      </c>
      <c r="E675" s="35" t="s">
        <v>2655</v>
      </c>
      <c r="F675" s="37">
        <v>202.61785447493716</v>
      </c>
      <c r="G675" s="35" t="s">
        <v>2656</v>
      </c>
      <c r="H675" s="37">
        <v>209.67801580055385</v>
      </c>
      <c r="I675" s="37" t="s">
        <v>2656</v>
      </c>
      <c r="J675" s="35">
        <v>1990</v>
      </c>
      <c r="K675" s="35" t="s">
        <v>21</v>
      </c>
      <c r="L675" s="35" t="s">
        <v>1818</v>
      </c>
      <c r="M675" s="36">
        <v>132527</v>
      </c>
      <c r="N675" s="52">
        <v>88287</v>
      </c>
      <c r="O675" s="38">
        <v>0.66618123099443882</v>
      </c>
      <c r="P675" s="35">
        <v>0</v>
      </c>
      <c r="Q675" s="35" t="s">
        <v>1589</v>
      </c>
      <c r="R675" s="53">
        <v>9</v>
      </c>
      <c r="S675" s="53">
        <v>0</v>
      </c>
    </row>
    <row r="676" spans="1:19" x14ac:dyDescent="0.3">
      <c r="A676" s="35" t="s">
        <v>1586</v>
      </c>
      <c r="B676" s="35" t="s">
        <v>8</v>
      </c>
      <c r="C676" s="35" t="s">
        <v>1950</v>
      </c>
      <c r="D676" s="37">
        <v>152.58275218427323</v>
      </c>
      <c r="E676" s="35" t="s">
        <v>2657</v>
      </c>
      <c r="F676" s="37">
        <v>181.49788721207307</v>
      </c>
      <c r="G676" s="35" t="s">
        <v>2656</v>
      </c>
      <c r="H676" s="37">
        <v>209.56688840349486</v>
      </c>
      <c r="I676" s="37" t="s">
        <v>2656</v>
      </c>
      <c r="J676" s="35">
        <v>2017</v>
      </c>
      <c r="K676" s="35" t="s">
        <v>1950</v>
      </c>
      <c r="L676" s="35" t="s">
        <v>1950</v>
      </c>
      <c r="M676" s="36">
        <v>5036</v>
      </c>
      <c r="N676" s="52">
        <v>4800</v>
      </c>
      <c r="O676" s="38">
        <v>0.95313741064336777</v>
      </c>
      <c r="P676" s="35">
        <v>0</v>
      </c>
      <c r="Q676" s="35" t="s">
        <v>1590</v>
      </c>
      <c r="R676" s="53">
        <v>0</v>
      </c>
      <c r="S676" s="53">
        <v>0</v>
      </c>
    </row>
    <row r="677" spans="1:19" x14ac:dyDescent="0.3">
      <c r="A677" s="35" t="s">
        <v>1586</v>
      </c>
      <c r="B677" s="35" t="s">
        <v>8</v>
      </c>
      <c r="C677" s="35" t="s">
        <v>1950</v>
      </c>
      <c r="D677" s="37">
        <v>202.59705320600276</v>
      </c>
      <c r="E677" s="35" t="s">
        <v>2655</v>
      </c>
      <c r="F677" s="37">
        <v>209.30123522055482</v>
      </c>
      <c r="G677" s="35" t="s">
        <v>2656</v>
      </c>
      <c r="H677" s="37">
        <v>208.96897851296043</v>
      </c>
      <c r="I677" s="37" t="s">
        <v>2656</v>
      </c>
      <c r="J677" s="35">
        <v>1974</v>
      </c>
      <c r="K677" s="35" t="s">
        <v>21</v>
      </c>
      <c r="L677" s="35" t="s">
        <v>1601</v>
      </c>
      <c r="M677" s="36">
        <v>17592</v>
      </c>
      <c r="N677" s="52">
        <v>14909</v>
      </c>
      <c r="O677" s="38">
        <v>0.847487494315598</v>
      </c>
      <c r="P677" s="35">
        <v>0</v>
      </c>
      <c r="Q677" s="35" t="s">
        <v>1589</v>
      </c>
      <c r="R677" s="53">
        <v>5</v>
      </c>
      <c r="S677" s="53">
        <v>0.61299999999999999</v>
      </c>
    </row>
    <row r="678" spans="1:19" x14ac:dyDescent="0.3">
      <c r="A678" s="35" t="s">
        <v>1586</v>
      </c>
      <c r="B678" s="35" t="s">
        <v>8</v>
      </c>
      <c r="C678" s="35" t="s">
        <v>1950</v>
      </c>
      <c r="D678" s="37">
        <v>183.12750007496476</v>
      </c>
      <c r="E678" s="35" t="s">
        <v>2656</v>
      </c>
      <c r="F678" s="37">
        <v>184.50424300578729</v>
      </c>
      <c r="G678" s="35" t="s">
        <v>2656</v>
      </c>
      <c r="H678" s="37">
        <v>204.63402200965547</v>
      </c>
      <c r="I678" s="37" t="s">
        <v>2656</v>
      </c>
      <c r="J678" s="35">
        <v>2017</v>
      </c>
      <c r="K678" s="35" t="s">
        <v>19</v>
      </c>
      <c r="L678" s="35" t="s">
        <v>1818</v>
      </c>
      <c r="M678" s="36">
        <v>100047</v>
      </c>
      <c r="N678" s="52">
        <v>44614</v>
      </c>
      <c r="O678" s="38">
        <v>0.44593041270602818</v>
      </c>
      <c r="P678" s="35">
        <v>347</v>
      </c>
      <c r="Q678" s="35" t="s">
        <v>1589</v>
      </c>
      <c r="R678" s="53">
        <v>6</v>
      </c>
      <c r="S678" s="53">
        <v>0.48</v>
      </c>
    </row>
    <row r="679" spans="1:19" x14ac:dyDescent="0.3">
      <c r="A679" s="35" t="s">
        <v>1586</v>
      </c>
      <c r="B679" s="35" t="s">
        <v>8</v>
      </c>
      <c r="C679" s="35" t="s">
        <v>1950</v>
      </c>
      <c r="D679" s="37">
        <v>200.14660241577684</v>
      </c>
      <c r="E679" s="35" t="s">
        <v>2655</v>
      </c>
      <c r="F679" s="37">
        <v>204.09790476999171</v>
      </c>
      <c r="G679" s="35" t="s">
        <v>2656</v>
      </c>
      <c r="H679" s="37">
        <v>203.1409556966056</v>
      </c>
      <c r="I679" s="37" t="s">
        <v>2656</v>
      </c>
      <c r="J679" s="35">
        <v>1974</v>
      </c>
      <c r="K679" s="35" t="s">
        <v>25</v>
      </c>
      <c r="L679" s="35" t="s">
        <v>1597</v>
      </c>
      <c r="M679" s="36">
        <v>47107</v>
      </c>
      <c r="N679" s="52">
        <v>47107</v>
      </c>
      <c r="O679" s="38">
        <v>1</v>
      </c>
      <c r="P679" s="35">
        <v>511</v>
      </c>
      <c r="Q679" s="35" t="s">
        <v>1589</v>
      </c>
      <c r="R679" s="53">
        <v>11</v>
      </c>
      <c r="S679" s="53">
        <v>0.77</v>
      </c>
    </row>
    <row r="680" spans="1:19" x14ac:dyDescent="0.3">
      <c r="A680" s="35" t="s">
        <v>1586</v>
      </c>
      <c r="B680" s="35" t="s">
        <v>8</v>
      </c>
      <c r="C680" s="35" t="s">
        <v>1950</v>
      </c>
      <c r="D680" s="37">
        <v>155.05150485436891</v>
      </c>
      <c r="E680" s="35" t="s">
        <v>2657</v>
      </c>
      <c r="F680" s="37">
        <v>152.79101941747572</v>
      </c>
      <c r="G680" s="35" t="s">
        <v>2657</v>
      </c>
      <c r="H680" s="37">
        <v>197.07651699029125</v>
      </c>
      <c r="I680" s="37" t="s">
        <v>2656</v>
      </c>
      <c r="J680" s="35">
        <v>1991</v>
      </c>
      <c r="K680" s="35" t="s">
        <v>19</v>
      </c>
      <c r="L680" s="35" t="s">
        <v>1601</v>
      </c>
      <c r="M680" s="36">
        <v>16480</v>
      </c>
      <c r="N680" s="52">
        <v>14669</v>
      </c>
      <c r="O680" s="38">
        <v>0.89010922330097086</v>
      </c>
      <c r="P680" s="35">
        <v>0</v>
      </c>
      <c r="Q680" s="35" t="s">
        <v>1589</v>
      </c>
      <c r="R680" s="53">
        <v>5</v>
      </c>
      <c r="S680" s="53">
        <v>0.59</v>
      </c>
    </row>
    <row r="681" spans="1:19" x14ac:dyDescent="0.3">
      <c r="A681" s="35" t="s">
        <v>1586</v>
      </c>
      <c r="B681" s="35" t="s">
        <v>8</v>
      </c>
      <c r="C681" s="35" t="s">
        <v>1950</v>
      </c>
      <c r="D681" s="37">
        <v>224.62330923305774</v>
      </c>
      <c r="E681" s="35" t="s">
        <v>2655</v>
      </c>
      <c r="F681" s="37">
        <v>200.04498045456117</v>
      </c>
      <c r="G681" s="35" t="s">
        <v>2656</v>
      </c>
      <c r="H681" s="37">
        <v>195.7425018161691</v>
      </c>
      <c r="I681" s="37" t="s">
        <v>2656</v>
      </c>
      <c r="J681" s="35">
        <v>2008</v>
      </c>
      <c r="K681" s="35" t="s">
        <v>1950</v>
      </c>
      <c r="L681" s="35" t="s">
        <v>1950</v>
      </c>
      <c r="M681" s="36">
        <v>28907</v>
      </c>
      <c r="N681" s="52">
        <v>19536</v>
      </c>
      <c r="O681" s="38">
        <v>0.67582246514685029</v>
      </c>
      <c r="P681" s="35">
        <v>154</v>
      </c>
      <c r="Q681" s="35" t="s">
        <v>1589</v>
      </c>
      <c r="R681" s="53">
        <v>12</v>
      </c>
      <c r="S681" s="53">
        <v>0.87</v>
      </c>
    </row>
    <row r="682" spans="1:19" x14ac:dyDescent="0.3">
      <c r="A682" s="35" t="s">
        <v>1586</v>
      </c>
      <c r="B682" s="35" t="s">
        <v>8</v>
      </c>
      <c r="C682" s="35" t="s">
        <v>1950</v>
      </c>
      <c r="D682" s="37">
        <v>184.28565588430681</v>
      </c>
      <c r="E682" s="35" t="s">
        <v>2656</v>
      </c>
      <c r="F682" s="37">
        <v>203.28861975573611</v>
      </c>
      <c r="G682" s="35" t="s">
        <v>2656</v>
      </c>
      <c r="H682" s="37">
        <v>192.59520159435843</v>
      </c>
      <c r="I682" s="37" t="s">
        <v>2656</v>
      </c>
      <c r="J682" s="35">
        <v>1979</v>
      </c>
      <c r="K682" s="35" t="s">
        <v>25</v>
      </c>
      <c r="L682" s="35" t="s">
        <v>1601</v>
      </c>
      <c r="M682" s="36">
        <v>19569</v>
      </c>
      <c r="N682" s="52">
        <v>18089</v>
      </c>
      <c r="O682" s="38">
        <v>0.92437017732127347</v>
      </c>
      <c r="P682" s="35">
        <v>0</v>
      </c>
      <c r="Q682" s="35" t="s">
        <v>1589</v>
      </c>
      <c r="R682" s="53">
        <v>4</v>
      </c>
      <c r="S682" s="53">
        <v>0.57999999999999996</v>
      </c>
    </row>
    <row r="683" spans="1:19" x14ac:dyDescent="0.3">
      <c r="A683" s="35" t="s">
        <v>1586</v>
      </c>
      <c r="B683" s="35" t="s">
        <v>8</v>
      </c>
      <c r="C683" s="35" t="s">
        <v>1950</v>
      </c>
      <c r="D683" s="37">
        <v>182.81054922545127</v>
      </c>
      <c r="E683" s="35" t="s">
        <v>2656</v>
      </c>
      <c r="F683" s="37">
        <v>183.07381001152223</v>
      </c>
      <c r="G683" s="35" t="s">
        <v>2656</v>
      </c>
      <c r="H683" s="37">
        <v>185.95593649980796</v>
      </c>
      <c r="I683" s="37" t="s">
        <v>2656</v>
      </c>
      <c r="J683" s="35">
        <v>1975</v>
      </c>
      <c r="K683" s="35" t="s">
        <v>1950</v>
      </c>
      <c r="L683" s="35" t="s">
        <v>1950</v>
      </c>
      <c r="M683" s="36">
        <v>7811</v>
      </c>
      <c r="N683" s="52">
        <v>6300</v>
      </c>
      <c r="O683" s="38">
        <v>0.80655485853283826</v>
      </c>
      <c r="P683" s="35">
        <v>0</v>
      </c>
      <c r="Q683" s="35" t="s">
        <v>1787</v>
      </c>
      <c r="R683" s="53">
        <v>0</v>
      </c>
      <c r="S683" s="53">
        <v>0</v>
      </c>
    </row>
    <row r="684" spans="1:19" x14ac:dyDescent="0.3">
      <c r="A684" s="35" t="s">
        <v>1586</v>
      </c>
      <c r="B684" s="35" t="s">
        <v>8</v>
      </c>
      <c r="C684" s="35" t="s">
        <v>1950</v>
      </c>
      <c r="D684" s="37">
        <v>189.70314353694053</v>
      </c>
      <c r="E684" s="35" t="s">
        <v>2656</v>
      </c>
      <c r="F684" s="37">
        <v>176.99326004020185</v>
      </c>
      <c r="G684" s="35" t="s">
        <v>2657</v>
      </c>
      <c r="H684" s="37">
        <v>179.61418755384173</v>
      </c>
      <c r="I684" s="37" t="s">
        <v>2657</v>
      </c>
      <c r="J684" s="35">
        <v>1970</v>
      </c>
      <c r="K684" s="35" t="s">
        <v>1950</v>
      </c>
      <c r="L684" s="35" t="s">
        <v>1950</v>
      </c>
      <c r="M684" s="36">
        <v>24377</v>
      </c>
      <c r="N684" s="52">
        <v>22470</v>
      </c>
      <c r="O684" s="38">
        <v>0.92177052139311644</v>
      </c>
      <c r="P684" s="35">
        <v>0</v>
      </c>
      <c r="Q684" s="35" t="s">
        <v>1589</v>
      </c>
      <c r="R684" s="53">
        <v>4</v>
      </c>
      <c r="S684" s="53">
        <v>0</v>
      </c>
    </row>
    <row r="685" spans="1:19" x14ac:dyDescent="0.3">
      <c r="A685" s="35" t="s">
        <v>1586</v>
      </c>
      <c r="B685" s="35" t="s">
        <v>8</v>
      </c>
      <c r="C685" s="35" t="s">
        <v>1950</v>
      </c>
      <c r="D685" s="37">
        <v>198.72061150596755</v>
      </c>
      <c r="E685" s="35" t="s">
        <v>2656</v>
      </c>
      <c r="F685" s="37">
        <v>115.29824326136516</v>
      </c>
      <c r="G685" s="35" t="s">
        <v>2657</v>
      </c>
      <c r="H685" s="37">
        <v>161.53437039023737</v>
      </c>
      <c r="I685" s="37" t="s">
        <v>2657</v>
      </c>
      <c r="J685" s="35">
        <v>1996</v>
      </c>
      <c r="K685" s="35" t="s">
        <v>19</v>
      </c>
      <c r="L685" s="35" t="s">
        <v>1601</v>
      </c>
      <c r="M685" s="36">
        <v>37285</v>
      </c>
      <c r="N685" s="52">
        <v>33399</v>
      </c>
      <c r="O685" s="38">
        <v>0.89577578114523271</v>
      </c>
      <c r="P685" s="35">
        <v>0</v>
      </c>
      <c r="Q685" s="35" t="s">
        <v>1589</v>
      </c>
      <c r="R685" s="53">
        <v>13</v>
      </c>
      <c r="S685" s="53">
        <v>0.55000000000000004</v>
      </c>
    </row>
    <row r="686" spans="1:19" x14ac:dyDescent="0.3">
      <c r="A686" s="35" t="s">
        <v>1586</v>
      </c>
      <c r="B686" s="35" t="s">
        <v>8</v>
      </c>
      <c r="C686" s="35" t="s">
        <v>1950</v>
      </c>
      <c r="D686" s="37">
        <v>140.80123920507751</v>
      </c>
      <c r="E686" s="35" t="s">
        <v>2657</v>
      </c>
      <c r="F686" s="37">
        <v>147.97754552075747</v>
      </c>
      <c r="G686" s="35" t="s">
        <v>2657</v>
      </c>
      <c r="H686" s="37">
        <v>158.25104796587243</v>
      </c>
      <c r="I686" s="37" t="s">
        <v>2657</v>
      </c>
      <c r="J686" s="35">
        <v>1980</v>
      </c>
      <c r="K686" s="35" t="s">
        <v>25</v>
      </c>
      <c r="L686" s="35" t="s">
        <v>1601</v>
      </c>
      <c r="M686" s="36">
        <v>48055</v>
      </c>
      <c r="N686" s="52">
        <v>45000</v>
      </c>
      <c r="O686" s="38">
        <v>0.93642701071688694</v>
      </c>
      <c r="P686" s="35">
        <v>0</v>
      </c>
      <c r="Q686" s="35" t="s">
        <v>1589</v>
      </c>
      <c r="R686" s="53">
        <v>4</v>
      </c>
      <c r="S686" s="53">
        <v>63</v>
      </c>
    </row>
    <row r="687" spans="1:19" x14ac:dyDescent="0.3">
      <c r="A687" s="35" t="s">
        <v>1586</v>
      </c>
      <c r="B687" s="35" t="s">
        <v>8</v>
      </c>
      <c r="C687" s="35" t="s">
        <v>1950</v>
      </c>
      <c r="D687" s="37">
        <v>139.45896439122998</v>
      </c>
      <c r="E687" s="35" t="s">
        <v>2657</v>
      </c>
      <c r="F687" s="37">
        <v>143.28853988493236</v>
      </c>
      <c r="G687" s="35" t="s">
        <v>2657</v>
      </c>
      <c r="H687" s="37">
        <v>144.18314414554501</v>
      </c>
      <c r="I687" s="37" t="s">
        <v>2657</v>
      </c>
      <c r="J687" s="35">
        <v>1984</v>
      </c>
      <c r="K687" s="35" t="s">
        <v>25</v>
      </c>
      <c r="L687" s="35" t="s">
        <v>1601</v>
      </c>
      <c r="M687" s="36">
        <v>25724</v>
      </c>
      <c r="N687" s="52">
        <v>23153</v>
      </c>
      <c r="O687" s="38">
        <v>0.90005442388431034</v>
      </c>
      <c r="P687" s="35">
        <v>0</v>
      </c>
      <c r="Q687" s="35" t="s">
        <v>1589</v>
      </c>
      <c r="R687" s="53">
        <v>5</v>
      </c>
      <c r="S687" s="53">
        <v>0.63039999999999996</v>
      </c>
    </row>
    <row r="688" spans="1:19" x14ac:dyDescent="0.3">
      <c r="A688" s="35" t="s">
        <v>1586</v>
      </c>
      <c r="B688" s="35" t="s">
        <v>8</v>
      </c>
      <c r="C688" s="35" t="s">
        <v>1950</v>
      </c>
      <c r="D688" s="37">
        <v>133.48424188158546</v>
      </c>
      <c r="E688" s="35" t="s">
        <v>2657</v>
      </c>
      <c r="F688" s="37">
        <v>124.43180275970134</v>
      </c>
      <c r="G688" s="35" t="s">
        <v>2657</v>
      </c>
      <c r="H688" s="37">
        <v>135.99185280526996</v>
      </c>
      <c r="I688" s="37" t="s">
        <v>2657</v>
      </c>
      <c r="J688" s="35">
        <v>1984</v>
      </c>
      <c r="K688" s="35" t="s">
        <v>1950</v>
      </c>
      <c r="L688" s="35" t="s">
        <v>1950</v>
      </c>
      <c r="M688" s="36">
        <v>62543</v>
      </c>
      <c r="N688" s="52">
        <v>60000</v>
      </c>
      <c r="O688" s="38">
        <v>0.95933997409782068</v>
      </c>
      <c r="P688" s="35">
        <v>421</v>
      </c>
      <c r="Q688" s="35" t="s">
        <v>1589</v>
      </c>
      <c r="R688" s="53">
        <v>5</v>
      </c>
      <c r="S688" s="53">
        <v>0</v>
      </c>
    </row>
    <row r="689" spans="1:19" x14ac:dyDescent="0.3">
      <c r="A689" s="35" t="s">
        <v>1586</v>
      </c>
      <c r="B689" s="35" t="s">
        <v>8</v>
      </c>
      <c r="C689" s="35" t="s">
        <v>1950</v>
      </c>
      <c r="D689" s="37">
        <v>121.16859298221328</v>
      </c>
      <c r="E689" s="35" t="s">
        <v>2657</v>
      </c>
      <c r="F689" s="37">
        <v>131.06736683046117</v>
      </c>
      <c r="G689" s="35" t="s">
        <v>2657</v>
      </c>
      <c r="H689" s="37">
        <v>133.14188640505685</v>
      </c>
      <c r="I689" s="37" t="s">
        <v>2657</v>
      </c>
      <c r="J689" s="35">
        <v>2008</v>
      </c>
      <c r="K689" s="35" t="s">
        <v>19</v>
      </c>
      <c r="L689" s="35" t="s">
        <v>1601</v>
      </c>
      <c r="M689" s="36">
        <v>43347</v>
      </c>
      <c r="N689" s="52">
        <v>41158</v>
      </c>
      <c r="O689" s="38">
        <v>0.94950054213671076</v>
      </c>
      <c r="P689" s="35">
        <v>0</v>
      </c>
      <c r="Q689" s="35" t="s">
        <v>1589</v>
      </c>
      <c r="R689" s="53">
        <v>5</v>
      </c>
      <c r="S689" s="53">
        <v>0</v>
      </c>
    </row>
    <row r="690" spans="1:19" x14ac:dyDescent="0.3">
      <c r="A690" s="35" t="s">
        <v>1586</v>
      </c>
      <c r="B690" s="35" t="s">
        <v>8</v>
      </c>
      <c r="C690" s="35" t="s">
        <v>1950</v>
      </c>
      <c r="D690" s="37">
        <v>111.40881063498797</v>
      </c>
      <c r="E690" s="35" t="s">
        <v>2657</v>
      </c>
      <c r="F690" s="37">
        <v>116.53551548578702</v>
      </c>
      <c r="G690" s="35" t="s">
        <v>2657</v>
      </c>
      <c r="H690" s="37">
        <v>125.88194314806958</v>
      </c>
      <c r="I690" s="37" t="s">
        <v>2657</v>
      </c>
      <c r="J690" s="35">
        <v>2017</v>
      </c>
      <c r="K690" s="35" t="s">
        <v>1950</v>
      </c>
      <c r="L690" s="35" t="s">
        <v>1950</v>
      </c>
      <c r="M690" s="36">
        <v>7071</v>
      </c>
      <c r="N690" s="52">
        <v>7071</v>
      </c>
      <c r="O690" s="38">
        <v>1</v>
      </c>
      <c r="P690" s="35">
        <v>0</v>
      </c>
      <c r="Q690" s="35" t="s">
        <v>28</v>
      </c>
      <c r="R690" s="53">
        <v>0</v>
      </c>
      <c r="S690" s="53">
        <v>0</v>
      </c>
    </row>
    <row r="691" spans="1:19" x14ac:dyDescent="0.3">
      <c r="A691" s="35" t="s">
        <v>1586</v>
      </c>
      <c r="B691" s="35" t="s">
        <v>8</v>
      </c>
      <c r="C691" s="35" t="s">
        <v>1950</v>
      </c>
      <c r="D691" s="37">
        <v>105.02778895134375</v>
      </c>
      <c r="E691" s="35" t="s">
        <v>2657</v>
      </c>
      <c r="F691" s="37">
        <v>115.34919813806432</v>
      </c>
      <c r="G691" s="35" t="s">
        <v>2657</v>
      </c>
      <c r="H691" s="37">
        <v>107.68265545406641</v>
      </c>
      <c r="I691" s="37" t="s">
        <v>2657</v>
      </c>
      <c r="J691" s="35">
        <v>1981</v>
      </c>
      <c r="K691" s="35" t="s">
        <v>21</v>
      </c>
      <c r="L691" s="35" t="s">
        <v>1601</v>
      </c>
      <c r="M691" s="36">
        <v>22772</v>
      </c>
      <c r="N691" s="52">
        <v>19356</v>
      </c>
      <c r="O691" s="38">
        <v>0.84999121728438432</v>
      </c>
      <c r="P691" s="35">
        <v>0</v>
      </c>
      <c r="Q691" s="35" t="s">
        <v>1589</v>
      </c>
      <c r="R691" s="53">
        <v>7</v>
      </c>
      <c r="S691" s="53">
        <v>0.62</v>
      </c>
    </row>
    <row r="692" spans="1:19" x14ac:dyDescent="0.3">
      <c r="A692" s="35" t="s">
        <v>1586</v>
      </c>
      <c r="B692" s="35" t="s">
        <v>8</v>
      </c>
      <c r="C692" s="35" t="s">
        <v>1950</v>
      </c>
      <c r="D692" s="37">
        <v>123.41636735265949</v>
      </c>
      <c r="E692" s="35" t="s">
        <v>2657</v>
      </c>
      <c r="F692" s="37">
        <v>102.70934219439835</v>
      </c>
      <c r="G692" s="35" t="s">
        <v>2657</v>
      </c>
      <c r="H692" s="37">
        <v>106.87767969352238</v>
      </c>
      <c r="I692" s="37" t="s">
        <v>2657</v>
      </c>
      <c r="J692" s="35">
        <v>1975</v>
      </c>
      <c r="K692" s="35" t="s">
        <v>25</v>
      </c>
      <c r="L692" s="35" t="s">
        <v>1599</v>
      </c>
      <c r="M692" s="36">
        <v>42809</v>
      </c>
      <c r="N692" s="52">
        <v>37624</v>
      </c>
      <c r="O692" s="38">
        <v>0.87888060921768785</v>
      </c>
      <c r="P692" s="35">
        <v>0</v>
      </c>
      <c r="Q692" s="35" t="s">
        <v>1589</v>
      </c>
      <c r="R692" s="53">
        <v>9</v>
      </c>
      <c r="S692" s="53">
        <v>0.61</v>
      </c>
    </row>
    <row r="693" spans="1:19" x14ac:dyDescent="0.3">
      <c r="A693" s="35" t="s">
        <v>1586</v>
      </c>
      <c r="B693" s="35" t="s">
        <v>8</v>
      </c>
      <c r="C693" s="35" t="s">
        <v>1950</v>
      </c>
      <c r="D693" s="37">
        <v>104.01396771284701</v>
      </c>
      <c r="E693" s="35" t="s">
        <v>2657</v>
      </c>
      <c r="F693" s="37">
        <v>87.56307288938622</v>
      </c>
      <c r="G693" s="35" t="s">
        <v>2657</v>
      </c>
      <c r="H693" s="37">
        <v>94.210106066377804</v>
      </c>
      <c r="I693" s="37" t="s">
        <v>2657</v>
      </c>
      <c r="J693" s="35">
        <v>1986</v>
      </c>
      <c r="K693" s="35" t="s">
        <v>25</v>
      </c>
      <c r="L693" s="35" t="s">
        <v>1597</v>
      </c>
      <c r="M693" s="36">
        <v>26881.279999999999</v>
      </c>
      <c r="N693" s="52">
        <v>9874</v>
      </c>
      <c r="O693" s="38">
        <v>0.36731881815151662</v>
      </c>
      <c r="P693" s="35">
        <v>0</v>
      </c>
      <c r="Q693" s="35" t="s">
        <v>28</v>
      </c>
      <c r="R693" s="53">
        <v>0</v>
      </c>
      <c r="S693" s="53">
        <v>0</v>
      </c>
    </row>
    <row r="694" spans="1:19" x14ac:dyDescent="0.3">
      <c r="A694" s="35" t="s">
        <v>1586</v>
      </c>
      <c r="B694" s="35" t="s">
        <v>8</v>
      </c>
      <c r="C694" s="35" t="s">
        <v>17</v>
      </c>
      <c r="D694" s="35">
        <v>250.89</v>
      </c>
      <c r="E694" s="39" t="s">
        <v>1950</v>
      </c>
      <c r="F694" s="37">
        <v>0</v>
      </c>
      <c r="G694" s="35" t="s">
        <v>1950</v>
      </c>
      <c r="H694" s="37">
        <v>0</v>
      </c>
      <c r="I694" s="37" t="s">
        <v>1950</v>
      </c>
      <c r="J694" s="35">
        <v>1984</v>
      </c>
      <c r="K694" s="35" t="s">
        <v>1950</v>
      </c>
      <c r="L694" s="35" t="s">
        <v>1950</v>
      </c>
      <c r="M694" s="36">
        <v>65947</v>
      </c>
      <c r="N694" s="53">
        <v>0</v>
      </c>
      <c r="O694" s="40">
        <v>0</v>
      </c>
      <c r="P694" s="35">
        <v>0</v>
      </c>
      <c r="Q694" s="35" t="s">
        <v>1950</v>
      </c>
      <c r="R694" s="53">
        <v>12</v>
      </c>
      <c r="S694" s="53">
        <v>0</v>
      </c>
    </row>
    <row r="695" spans="1:19" x14ac:dyDescent="0.3">
      <c r="A695" s="35" t="s">
        <v>1586</v>
      </c>
      <c r="B695" s="35" t="s">
        <v>14</v>
      </c>
      <c r="C695" s="35" t="s">
        <v>1775</v>
      </c>
      <c r="D695" s="35">
        <v>216.27</v>
      </c>
      <c r="E695" s="39" t="s">
        <v>1950</v>
      </c>
      <c r="F695" s="37">
        <v>0</v>
      </c>
      <c r="G695" s="35" t="s">
        <v>1950</v>
      </c>
      <c r="H695" s="37">
        <v>0</v>
      </c>
      <c r="I695" s="37" t="s">
        <v>1950</v>
      </c>
      <c r="J695" s="35">
        <v>1980</v>
      </c>
      <c r="K695" s="35" t="s">
        <v>1950</v>
      </c>
      <c r="L695" s="35" t="s">
        <v>1950</v>
      </c>
      <c r="M695" s="36">
        <v>7372</v>
      </c>
      <c r="N695" s="53">
        <v>0</v>
      </c>
      <c r="O695" s="40">
        <v>0</v>
      </c>
      <c r="P695" s="35">
        <v>0</v>
      </c>
      <c r="Q695" s="35" t="s">
        <v>1950</v>
      </c>
      <c r="R695" s="53">
        <v>2</v>
      </c>
      <c r="S695" s="53">
        <v>0</v>
      </c>
    </row>
    <row r="696" spans="1:19" x14ac:dyDescent="0.3">
      <c r="A696" s="35" t="s">
        <v>1586</v>
      </c>
      <c r="B696" s="35" t="s">
        <v>14</v>
      </c>
      <c r="C696" s="35" t="s">
        <v>1775</v>
      </c>
      <c r="D696" s="35">
        <v>115.42</v>
      </c>
      <c r="E696" s="39" t="s">
        <v>1950</v>
      </c>
      <c r="F696" s="37">
        <v>0</v>
      </c>
      <c r="G696" s="35" t="s">
        <v>1950</v>
      </c>
      <c r="H696" s="37">
        <v>0</v>
      </c>
      <c r="I696" s="37" t="s">
        <v>1950</v>
      </c>
      <c r="J696" s="35">
        <v>2011</v>
      </c>
      <c r="K696" s="35" t="s">
        <v>21</v>
      </c>
      <c r="L696" s="35" t="s">
        <v>1603</v>
      </c>
      <c r="M696" s="36">
        <v>5030</v>
      </c>
      <c r="N696" s="53">
        <v>0</v>
      </c>
      <c r="O696" s="40">
        <v>0</v>
      </c>
      <c r="P696" s="35">
        <v>0</v>
      </c>
      <c r="Q696" s="35" t="s">
        <v>1950</v>
      </c>
      <c r="R696" s="53">
        <v>9</v>
      </c>
      <c r="S696" s="53">
        <v>0</v>
      </c>
    </row>
    <row r="697" spans="1:19" x14ac:dyDescent="0.3">
      <c r="A697" s="35" t="s">
        <v>1586</v>
      </c>
      <c r="B697" s="35" t="s">
        <v>14</v>
      </c>
      <c r="C697" s="35" t="s">
        <v>1775</v>
      </c>
      <c r="D697" s="35">
        <v>138.01</v>
      </c>
      <c r="E697" s="39" t="s">
        <v>1950</v>
      </c>
      <c r="F697" s="37">
        <v>0</v>
      </c>
      <c r="G697" s="35" t="s">
        <v>1950</v>
      </c>
      <c r="H697" s="37">
        <v>0</v>
      </c>
      <c r="I697" s="37" t="s">
        <v>1950</v>
      </c>
      <c r="J697" s="35">
        <v>1993</v>
      </c>
      <c r="K697" s="35" t="s">
        <v>1950</v>
      </c>
      <c r="L697" s="35" t="s">
        <v>1950</v>
      </c>
      <c r="M697" s="36">
        <v>5824</v>
      </c>
      <c r="N697" s="53">
        <v>0</v>
      </c>
      <c r="O697" s="40">
        <v>0</v>
      </c>
      <c r="P697" s="35">
        <v>0</v>
      </c>
      <c r="Q697" s="35" t="s">
        <v>1950</v>
      </c>
      <c r="R697" s="53">
        <v>0</v>
      </c>
      <c r="S697" s="53">
        <v>0</v>
      </c>
    </row>
    <row r="698" spans="1:19" x14ac:dyDescent="0.3">
      <c r="A698" s="35" t="s">
        <v>1586</v>
      </c>
      <c r="B698" s="35" t="s">
        <v>14</v>
      </c>
      <c r="C698" s="35" t="s">
        <v>1775</v>
      </c>
      <c r="D698" s="35">
        <v>129.54</v>
      </c>
      <c r="E698" s="39" t="s">
        <v>1950</v>
      </c>
      <c r="F698" s="37">
        <v>0</v>
      </c>
      <c r="G698" s="35" t="s">
        <v>1950</v>
      </c>
      <c r="H698" s="37">
        <v>0</v>
      </c>
      <c r="I698" s="37" t="s">
        <v>1950</v>
      </c>
      <c r="J698" s="35">
        <v>1975</v>
      </c>
      <c r="K698" s="35" t="s">
        <v>1950</v>
      </c>
      <c r="L698" s="35" t="s">
        <v>1950</v>
      </c>
      <c r="M698" s="36">
        <v>10418</v>
      </c>
      <c r="N698" s="53">
        <v>0</v>
      </c>
      <c r="O698" s="40">
        <v>0</v>
      </c>
      <c r="P698" s="35">
        <v>0</v>
      </c>
      <c r="Q698" s="35" t="s">
        <v>1950</v>
      </c>
      <c r="R698" s="53">
        <v>38</v>
      </c>
      <c r="S698" s="53">
        <v>0</v>
      </c>
    </row>
    <row r="699" spans="1:19" x14ac:dyDescent="0.3">
      <c r="A699" s="35" t="s">
        <v>1586</v>
      </c>
      <c r="B699" s="35" t="s">
        <v>12</v>
      </c>
      <c r="C699" s="35" t="s">
        <v>17</v>
      </c>
      <c r="D699" s="35">
        <v>394.04</v>
      </c>
      <c r="E699" s="39" t="s">
        <v>1950</v>
      </c>
      <c r="F699" s="37">
        <v>0</v>
      </c>
      <c r="G699" s="35" t="s">
        <v>1950</v>
      </c>
      <c r="H699" s="37">
        <v>0</v>
      </c>
      <c r="I699" s="37" t="s">
        <v>1950</v>
      </c>
      <c r="J699" s="35">
        <v>2006</v>
      </c>
      <c r="K699" s="35" t="s">
        <v>19</v>
      </c>
      <c r="L699" s="35" t="s">
        <v>1601</v>
      </c>
      <c r="M699" s="36">
        <v>142853</v>
      </c>
      <c r="N699" s="53">
        <v>0</v>
      </c>
      <c r="O699" s="40">
        <v>0</v>
      </c>
      <c r="P699" s="35">
        <v>0</v>
      </c>
      <c r="Q699" s="35" t="s">
        <v>1950</v>
      </c>
      <c r="R699" s="53">
        <v>7</v>
      </c>
      <c r="S699" s="53">
        <v>0</v>
      </c>
    </row>
    <row r="700" spans="1:19" x14ac:dyDescent="0.3">
      <c r="A700" s="35" t="s">
        <v>1586</v>
      </c>
      <c r="B700" s="35" t="s">
        <v>12</v>
      </c>
      <c r="C700" s="35" t="s">
        <v>17</v>
      </c>
      <c r="D700" s="35">
        <v>141.81</v>
      </c>
      <c r="E700" s="39" t="s">
        <v>1950</v>
      </c>
      <c r="F700" s="37">
        <v>0</v>
      </c>
      <c r="G700" s="35" t="s">
        <v>1950</v>
      </c>
      <c r="H700" s="37">
        <v>0</v>
      </c>
      <c r="I700" s="37" t="s">
        <v>1950</v>
      </c>
      <c r="J700" s="35">
        <v>1981</v>
      </c>
      <c r="K700" s="35" t="s">
        <v>1950</v>
      </c>
      <c r="L700" s="35" t="s">
        <v>1950</v>
      </c>
      <c r="M700" s="36">
        <v>33782</v>
      </c>
      <c r="N700" s="53">
        <v>0</v>
      </c>
      <c r="O700" s="40">
        <v>0</v>
      </c>
      <c r="P700" s="35">
        <v>0</v>
      </c>
      <c r="Q700" s="35" t="s">
        <v>1950</v>
      </c>
      <c r="R700" s="53">
        <v>13</v>
      </c>
      <c r="S700" s="53">
        <v>0</v>
      </c>
    </row>
    <row r="701" spans="1:19" x14ac:dyDescent="0.3">
      <c r="A701" s="35" t="s">
        <v>1586</v>
      </c>
      <c r="B701" s="35" t="s">
        <v>12</v>
      </c>
      <c r="C701" s="35" t="s">
        <v>17</v>
      </c>
      <c r="D701" s="35">
        <v>124.2</v>
      </c>
      <c r="E701" s="39" t="s">
        <v>1950</v>
      </c>
      <c r="F701" s="37">
        <v>0</v>
      </c>
      <c r="G701" s="35" t="s">
        <v>1950</v>
      </c>
      <c r="H701" s="37">
        <v>0</v>
      </c>
      <c r="I701" s="37" t="s">
        <v>1950</v>
      </c>
      <c r="J701" s="35">
        <v>1979</v>
      </c>
      <c r="K701" s="35" t="s">
        <v>21</v>
      </c>
      <c r="L701" s="35" t="s">
        <v>1601</v>
      </c>
      <c r="M701" s="36">
        <v>42262</v>
      </c>
      <c r="N701" s="53">
        <v>0</v>
      </c>
      <c r="O701" s="40">
        <v>0</v>
      </c>
      <c r="P701" s="35">
        <v>0</v>
      </c>
      <c r="Q701" s="35" t="s">
        <v>1950</v>
      </c>
      <c r="R701" s="53">
        <v>0</v>
      </c>
      <c r="S701" s="53">
        <v>0</v>
      </c>
    </row>
    <row r="702" spans="1:19" x14ac:dyDescent="0.3">
      <c r="A702" s="35" t="s">
        <v>1586</v>
      </c>
      <c r="B702" s="35" t="s">
        <v>14</v>
      </c>
      <c r="C702" s="35" t="s">
        <v>17</v>
      </c>
      <c r="D702" s="35">
        <v>130.4</v>
      </c>
      <c r="E702" s="39" t="s">
        <v>1950</v>
      </c>
      <c r="F702" s="37">
        <v>0</v>
      </c>
      <c r="G702" s="35" t="s">
        <v>1950</v>
      </c>
      <c r="H702" s="37">
        <v>0</v>
      </c>
      <c r="I702" s="37" t="s">
        <v>1950</v>
      </c>
      <c r="J702" s="35">
        <v>2002</v>
      </c>
      <c r="K702" s="35" t="s">
        <v>19</v>
      </c>
      <c r="L702" s="35" t="s">
        <v>1601</v>
      </c>
      <c r="M702" s="36">
        <v>26137</v>
      </c>
      <c r="N702" s="53">
        <v>0</v>
      </c>
      <c r="O702" s="40">
        <v>0</v>
      </c>
      <c r="P702" s="35">
        <v>0</v>
      </c>
      <c r="Q702" s="35" t="s">
        <v>1950</v>
      </c>
      <c r="R702" s="53">
        <v>2</v>
      </c>
      <c r="S702" s="53">
        <v>0</v>
      </c>
    </row>
    <row r="703" spans="1:19" x14ac:dyDescent="0.3">
      <c r="A703" s="35" t="s">
        <v>1586</v>
      </c>
      <c r="B703" s="35" t="s">
        <v>14</v>
      </c>
      <c r="C703" s="35" t="s">
        <v>17</v>
      </c>
      <c r="D703" s="35">
        <v>145.51</v>
      </c>
      <c r="E703" s="39" t="s">
        <v>1950</v>
      </c>
      <c r="F703" s="37">
        <v>0</v>
      </c>
      <c r="G703" s="35" t="s">
        <v>1950</v>
      </c>
      <c r="H703" s="37">
        <v>0</v>
      </c>
      <c r="I703" s="37" t="s">
        <v>1950</v>
      </c>
      <c r="J703" s="35">
        <v>2012</v>
      </c>
      <c r="K703" s="35" t="s">
        <v>19</v>
      </c>
      <c r="L703" s="35" t="s">
        <v>1601</v>
      </c>
      <c r="M703" s="36">
        <v>27069</v>
      </c>
      <c r="N703" s="53">
        <v>0</v>
      </c>
      <c r="O703" s="40">
        <v>0</v>
      </c>
      <c r="P703" s="35">
        <v>0</v>
      </c>
      <c r="Q703" s="35" t="s">
        <v>1950</v>
      </c>
      <c r="R703" s="53">
        <v>6</v>
      </c>
      <c r="S703" s="53">
        <v>0</v>
      </c>
    </row>
    <row r="704" spans="1:19" x14ac:dyDescent="0.3">
      <c r="A704" s="35" t="s">
        <v>1586</v>
      </c>
      <c r="B704" s="35" t="s">
        <v>14</v>
      </c>
      <c r="C704" s="35" t="s">
        <v>17</v>
      </c>
      <c r="D704" s="35">
        <v>134.69</v>
      </c>
      <c r="E704" s="39" t="s">
        <v>1950</v>
      </c>
      <c r="F704" s="37">
        <v>0</v>
      </c>
      <c r="G704" s="35" t="s">
        <v>1950</v>
      </c>
      <c r="H704" s="37">
        <v>0</v>
      </c>
      <c r="I704" s="37" t="s">
        <v>1950</v>
      </c>
      <c r="J704" s="35">
        <v>1990</v>
      </c>
      <c r="K704" s="35" t="s">
        <v>19</v>
      </c>
      <c r="L704" s="35" t="s">
        <v>1597</v>
      </c>
      <c r="M704" s="36">
        <v>31298</v>
      </c>
      <c r="N704" s="53">
        <v>0</v>
      </c>
      <c r="O704" s="40">
        <v>0</v>
      </c>
      <c r="P704" s="35">
        <v>0</v>
      </c>
      <c r="Q704" s="35" t="s">
        <v>1950</v>
      </c>
      <c r="R704" s="53">
        <v>10</v>
      </c>
      <c r="S704" s="53">
        <v>0</v>
      </c>
    </row>
    <row r="705" spans="1:19" x14ac:dyDescent="0.3">
      <c r="A705" s="35" t="s">
        <v>1586</v>
      </c>
      <c r="B705" s="35" t="s">
        <v>29</v>
      </c>
      <c r="C705" s="35" t="s">
        <v>1775</v>
      </c>
      <c r="D705" s="35">
        <v>192.91</v>
      </c>
      <c r="E705" s="39" t="s">
        <v>1950</v>
      </c>
      <c r="F705" s="37">
        <v>0</v>
      </c>
      <c r="G705" s="35" t="s">
        <v>1950</v>
      </c>
      <c r="H705" s="37">
        <v>0</v>
      </c>
      <c r="I705" s="37" t="s">
        <v>1950</v>
      </c>
      <c r="J705" s="35">
        <v>1986</v>
      </c>
      <c r="K705" s="35" t="s">
        <v>25</v>
      </c>
      <c r="L705" s="35" t="s">
        <v>1601</v>
      </c>
      <c r="M705" s="36">
        <v>12565</v>
      </c>
      <c r="N705" s="53">
        <v>0</v>
      </c>
      <c r="O705" s="40">
        <v>0</v>
      </c>
      <c r="P705" s="35">
        <v>0</v>
      </c>
      <c r="Q705" s="35" t="s">
        <v>1950</v>
      </c>
      <c r="R705" s="53">
        <v>11</v>
      </c>
      <c r="S705" s="53">
        <v>0</v>
      </c>
    </row>
    <row r="706" spans="1:19" x14ac:dyDescent="0.3">
      <c r="A706" s="35" t="s">
        <v>1586</v>
      </c>
      <c r="B706" s="35" t="s">
        <v>29</v>
      </c>
      <c r="C706" s="35" t="s">
        <v>1775</v>
      </c>
      <c r="D706" s="35">
        <v>215.12</v>
      </c>
      <c r="E706" s="39" t="s">
        <v>1950</v>
      </c>
      <c r="F706" s="37">
        <v>0</v>
      </c>
      <c r="G706" s="35" t="s">
        <v>1950</v>
      </c>
      <c r="H706" s="37">
        <v>0</v>
      </c>
      <c r="I706" s="37" t="s">
        <v>1950</v>
      </c>
      <c r="J706" s="35">
        <v>2016</v>
      </c>
      <c r="K706" s="35" t="s">
        <v>1950</v>
      </c>
      <c r="L706" s="35" t="s">
        <v>1950</v>
      </c>
      <c r="M706" s="36">
        <v>10194</v>
      </c>
      <c r="N706" s="53">
        <v>0</v>
      </c>
      <c r="O706" s="40">
        <v>0</v>
      </c>
      <c r="P706" s="35">
        <v>0</v>
      </c>
      <c r="Q706" s="35" t="s">
        <v>1950</v>
      </c>
      <c r="R706" s="53">
        <v>10</v>
      </c>
      <c r="S706" s="53">
        <v>0</v>
      </c>
    </row>
    <row r="707" spans="1:19" x14ac:dyDescent="0.3">
      <c r="A707" s="35" t="s">
        <v>1586</v>
      </c>
      <c r="B707" s="35" t="s">
        <v>14</v>
      </c>
      <c r="C707" s="35" t="s">
        <v>17</v>
      </c>
      <c r="D707" s="35">
        <v>120.44</v>
      </c>
      <c r="E707" s="39" t="s">
        <v>1950</v>
      </c>
      <c r="F707" s="37">
        <v>0</v>
      </c>
      <c r="G707" s="35" t="s">
        <v>1950</v>
      </c>
      <c r="H707" s="37">
        <v>0</v>
      </c>
      <c r="I707" s="37" t="s">
        <v>1950</v>
      </c>
      <c r="J707" s="35">
        <v>1985</v>
      </c>
      <c r="K707" s="35" t="s">
        <v>47</v>
      </c>
      <c r="L707" s="35" t="s">
        <v>1597</v>
      </c>
      <c r="M707" s="36">
        <v>16122</v>
      </c>
      <c r="N707" s="53">
        <v>0</v>
      </c>
      <c r="O707" s="40">
        <v>0</v>
      </c>
      <c r="P707" s="35">
        <v>0</v>
      </c>
      <c r="Q707" s="35" t="s">
        <v>1950</v>
      </c>
      <c r="R707" s="53">
        <v>7</v>
      </c>
      <c r="S707" s="53">
        <v>0</v>
      </c>
    </row>
    <row r="708" spans="1:19" x14ac:dyDescent="0.3">
      <c r="A708" s="35" t="s">
        <v>1586</v>
      </c>
      <c r="B708" s="35" t="s">
        <v>14</v>
      </c>
      <c r="C708" s="35" t="s">
        <v>17</v>
      </c>
      <c r="D708" s="35">
        <v>296.75</v>
      </c>
      <c r="E708" s="39" t="s">
        <v>1950</v>
      </c>
      <c r="F708" s="37">
        <v>0</v>
      </c>
      <c r="G708" s="35" t="s">
        <v>1950</v>
      </c>
      <c r="H708" s="37">
        <v>0</v>
      </c>
      <c r="I708" s="37" t="s">
        <v>1950</v>
      </c>
      <c r="J708" s="35">
        <v>1999</v>
      </c>
      <c r="K708" s="35" t="s">
        <v>19</v>
      </c>
      <c r="L708" s="35" t="s">
        <v>1599</v>
      </c>
      <c r="M708" s="36">
        <v>36280</v>
      </c>
      <c r="N708" s="53">
        <v>0</v>
      </c>
      <c r="O708" s="40">
        <v>0</v>
      </c>
      <c r="P708" s="35">
        <v>0</v>
      </c>
      <c r="Q708" s="35" t="s">
        <v>1950</v>
      </c>
      <c r="R708" s="53">
        <v>21</v>
      </c>
      <c r="S708" s="53">
        <v>0</v>
      </c>
    </row>
    <row r="709" spans="1:19" x14ac:dyDescent="0.3">
      <c r="A709" s="35" t="s">
        <v>1586</v>
      </c>
      <c r="B709" s="35" t="s">
        <v>14</v>
      </c>
      <c r="C709" s="35" t="s">
        <v>17</v>
      </c>
      <c r="D709" s="35">
        <v>110.68</v>
      </c>
      <c r="E709" s="39" t="s">
        <v>1950</v>
      </c>
      <c r="F709" s="37">
        <v>0</v>
      </c>
      <c r="G709" s="35" t="s">
        <v>1950</v>
      </c>
      <c r="H709" s="37">
        <v>0</v>
      </c>
      <c r="I709" s="37" t="s">
        <v>1950</v>
      </c>
      <c r="J709" s="35">
        <v>1992</v>
      </c>
      <c r="K709" s="35" t="s">
        <v>19</v>
      </c>
      <c r="L709" s="35" t="s">
        <v>1601</v>
      </c>
      <c r="M709" s="36">
        <v>62392</v>
      </c>
      <c r="N709" s="53">
        <v>0</v>
      </c>
      <c r="O709" s="40">
        <v>0</v>
      </c>
      <c r="P709" s="35">
        <v>0</v>
      </c>
      <c r="Q709" s="35" t="s">
        <v>1950</v>
      </c>
      <c r="R709" s="53">
        <v>6</v>
      </c>
      <c r="S709" s="53">
        <v>0</v>
      </c>
    </row>
    <row r="710" spans="1:19" x14ac:dyDescent="0.3">
      <c r="A710" s="35" t="s">
        <v>1586</v>
      </c>
      <c r="B710" s="35" t="s">
        <v>14</v>
      </c>
      <c r="C710" s="35" t="s">
        <v>17</v>
      </c>
      <c r="D710" s="35">
        <v>191.06</v>
      </c>
      <c r="E710" s="39" t="s">
        <v>1950</v>
      </c>
      <c r="F710" s="37">
        <v>0</v>
      </c>
      <c r="G710" s="35" t="s">
        <v>1950</v>
      </c>
      <c r="H710" s="37">
        <v>0</v>
      </c>
      <c r="I710" s="37" t="s">
        <v>1950</v>
      </c>
      <c r="J710" s="35">
        <v>1993</v>
      </c>
      <c r="K710" s="35" t="s">
        <v>47</v>
      </c>
      <c r="L710" s="35" t="s">
        <v>1601</v>
      </c>
      <c r="M710" s="36">
        <v>15276</v>
      </c>
      <c r="N710" s="53">
        <v>0</v>
      </c>
      <c r="O710" s="40">
        <v>0</v>
      </c>
      <c r="P710" s="35">
        <v>0</v>
      </c>
      <c r="Q710" s="35" t="s">
        <v>1950</v>
      </c>
      <c r="R710" s="53">
        <v>1</v>
      </c>
      <c r="S710" s="53">
        <v>0</v>
      </c>
    </row>
    <row r="711" spans="1:19" x14ac:dyDescent="0.3">
      <c r="A711" s="35" t="s">
        <v>1586</v>
      </c>
      <c r="B711" s="35" t="s">
        <v>14</v>
      </c>
      <c r="C711" s="35" t="s">
        <v>17</v>
      </c>
      <c r="D711" s="35">
        <v>194.36</v>
      </c>
      <c r="E711" s="39" t="s">
        <v>1950</v>
      </c>
      <c r="F711" s="37">
        <v>0</v>
      </c>
      <c r="G711" s="35" t="s">
        <v>1950</v>
      </c>
      <c r="H711" s="37">
        <v>0</v>
      </c>
      <c r="I711" s="37" t="s">
        <v>1950</v>
      </c>
      <c r="J711" s="35">
        <v>1994</v>
      </c>
      <c r="K711" s="35" t="s">
        <v>47</v>
      </c>
      <c r="L711" s="35" t="s">
        <v>1601</v>
      </c>
      <c r="M711" s="36">
        <v>17828</v>
      </c>
      <c r="N711" s="53">
        <v>0</v>
      </c>
      <c r="O711" s="40">
        <v>0</v>
      </c>
      <c r="P711" s="35">
        <v>0</v>
      </c>
      <c r="Q711" s="35" t="s">
        <v>1950</v>
      </c>
      <c r="R711" s="53">
        <v>6</v>
      </c>
      <c r="S711" s="53">
        <v>0</v>
      </c>
    </row>
    <row r="712" spans="1:19" x14ac:dyDescent="0.3">
      <c r="A712" s="35" t="s">
        <v>1586</v>
      </c>
      <c r="B712" s="35" t="s">
        <v>14</v>
      </c>
      <c r="C712" s="35" t="s">
        <v>17</v>
      </c>
      <c r="D712" s="35">
        <v>122.55</v>
      </c>
      <c r="E712" s="39" t="s">
        <v>1950</v>
      </c>
      <c r="F712" s="37">
        <v>0</v>
      </c>
      <c r="G712" s="35" t="s">
        <v>1950</v>
      </c>
      <c r="H712" s="37">
        <v>0</v>
      </c>
      <c r="I712" s="37" t="s">
        <v>1950</v>
      </c>
      <c r="J712" s="35">
        <v>1998</v>
      </c>
      <c r="K712" s="35" t="s">
        <v>47</v>
      </c>
      <c r="L712" s="35" t="s">
        <v>1597</v>
      </c>
      <c r="M712" s="36">
        <v>23225</v>
      </c>
      <c r="N712" s="53">
        <v>0</v>
      </c>
      <c r="O712" s="40">
        <v>0</v>
      </c>
      <c r="P712" s="35">
        <v>0</v>
      </c>
      <c r="Q712" s="35" t="s">
        <v>1950</v>
      </c>
      <c r="R712" s="53">
        <v>19</v>
      </c>
      <c r="S712" s="53">
        <v>0</v>
      </c>
    </row>
    <row r="713" spans="1:19" x14ac:dyDescent="0.3">
      <c r="A713" s="35" t="s">
        <v>1586</v>
      </c>
      <c r="B713" s="35" t="s">
        <v>14</v>
      </c>
      <c r="C713" s="35" t="s">
        <v>17</v>
      </c>
      <c r="D713" s="35">
        <v>184.46</v>
      </c>
      <c r="E713" s="39" t="s">
        <v>1950</v>
      </c>
      <c r="F713" s="37">
        <v>0</v>
      </c>
      <c r="G713" s="35" t="s">
        <v>1950</v>
      </c>
      <c r="H713" s="37">
        <v>0</v>
      </c>
      <c r="I713" s="37" t="s">
        <v>1950</v>
      </c>
      <c r="J713" s="35">
        <v>1979</v>
      </c>
      <c r="K713" s="35" t="s">
        <v>19</v>
      </c>
      <c r="L713" s="35" t="s">
        <v>1601</v>
      </c>
      <c r="M713" s="36">
        <v>169727</v>
      </c>
      <c r="N713" s="53">
        <v>0</v>
      </c>
      <c r="O713" s="40">
        <v>0</v>
      </c>
      <c r="P713" s="35">
        <v>0</v>
      </c>
      <c r="Q713" s="35" t="s">
        <v>1950</v>
      </c>
      <c r="R713" s="53">
        <v>11</v>
      </c>
      <c r="S713" s="53">
        <v>0</v>
      </c>
    </row>
    <row r="714" spans="1:19" x14ac:dyDescent="0.3">
      <c r="A714" s="35" t="s">
        <v>1586</v>
      </c>
      <c r="B714" s="35" t="s">
        <v>14</v>
      </c>
      <c r="C714" s="35" t="s">
        <v>1775</v>
      </c>
      <c r="D714" s="35">
        <v>227.94</v>
      </c>
      <c r="E714" s="39" t="s">
        <v>1950</v>
      </c>
      <c r="F714" s="37">
        <v>0</v>
      </c>
      <c r="G714" s="35" t="s">
        <v>1950</v>
      </c>
      <c r="H714" s="37">
        <v>0</v>
      </c>
      <c r="I714" s="37" t="s">
        <v>1950</v>
      </c>
      <c r="J714" s="35">
        <v>1980</v>
      </c>
      <c r="K714" s="35" t="s">
        <v>1950</v>
      </c>
      <c r="L714" s="35" t="s">
        <v>1950</v>
      </c>
      <c r="M714" s="36">
        <v>10471</v>
      </c>
      <c r="N714" s="53">
        <v>0</v>
      </c>
      <c r="O714" s="40">
        <v>0</v>
      </c>
      <c r="P714" s="35">
        <v>0</v>
      </c>
      <c r="Q714" s="35" t="s">
        <v>1950</v>
      </c>
      <c r="R714" s="53">
        <v>10</v>
      </c>
      <c r="S714" s="53">
        <v>0</v>
      </c>
    </row>
    <row r="715" spans="1:19" x14ac:dyDescent="0.3">
      <c r="A715" s="35" t="s">
        <v>1586</v>
      </c>
      <c r="B715" s="35" t="s">
        <v>8</v>
      </c>
      <c r="C715" s="35" t="s">
        <v>1775</v>
      </c>
      <c r="D715" s="35">
        <v>56.61</v>
      </c>
      <c r="E715" s="39" t="s">
        <v>1950</v>
      </c>
      <c r="F715" s="37">
        <v>0</v>
      </c>
      <c r="G715" s="35" t="s">
        <v>1950</v>
      </c>
      <c r="H715" s="37">
        <v>0</v>
      </c>
      <c r="I715" s="37" t="s">
        <v>1950</v>
      </c>
      <c r="J715" s="35">
        <v>1974</v>
      </c>
      <c r="K715" s="35" t="s">
        <v>1950</v>
      </c>
      <c r="L715" s="35" t="s">
        <v>1950</v>
      </c>
      <c r="M715" s="36">
        <v>11880</v>
      </c>
      <c r="N715" s="53">
        <v>0</v>
      </c>
      <c r="O715" s="40">
        <v>0</v>
      </c>
      <c r="P715" s="35">
        <v>0</v>
      </c>
      <c r="Q715" s="35" t="s">
        <v>1950</v>
      </c>
      <c r="R715" s="53">
        <v>6</v>
      </c>
      <c r="S715" s="53">
        <v>0</v>
      </c>
    </row>
    <row r="716" spans="1:19" x14ac:dyDescent="0.3">
      <c r="A716" s="35" t="s">
        <v>1586</v>
      </c>
      <c r="B716" s="35" t="s">
        <v>29</v>
      </c>
      <c r="C716" s="35" t="s">
        <v>1775</v>
      </c>
      <c r="D716" s="35">
        <v>229.8</v>
      </c>
      <c r="E716" s="39" t="s">
        <v>1950</v>
      </c>
      <c r="F716" s="37">
        <v>0</v>
      </c>
      <c r="G716" s="35" t="s">
        <v>1950</v>
      </c>
      <c r="H716" s="37">
        <v>0</v>
      </c>
      <c r="I716" s="37" t="s">
        <v>1950</v>
      </c>
      <c r="J716" s="35">
        <v>2020</v>
      </c>
      <c r="K716" s="35" t="s">
        <v>1950</v>
      </c>
      <c r="L716" s="35" t="s">
        <v>1950</v>
      </c>
      <c r="M716" s="36">
        <v>43360</v>
      </c>
      <c r="N716" s="53">
        <v>0</v>
      </c>
      <c r="O716" s="40">
        <v>0</v>
      </c>
      <c r="P716" s="35">
        <v>0</v>
      </c>
      <c r="Q716" s="35" t="s">
        <v>1950</v>
      </c>
      <c r="R716" s="53">
        <v>10</v>
      </c>
      <c r="S716" s="53">
        <v>0</v>
      </c>
    </row>
    <row r="717" spans="1:19" x14ac:dyDescent="0.3">
      <c r="A717" s="35" t="s">
        <v>1586</v>
      </c>
      <c r="B717" s="35" t="s">
        <v>14</v>
      </c>
      <c r="C717" s="35" t="s">
        <v>1775</v>
      </c>
      <c r="D717" s="35">
        <v>245.27</v>
      </c>
      <c r="E717" s="39" t="s">
        <v>1950</v>
      </c>
      <c r="F717" s="37">
        <v>0</v>
      </c>
      <c r="G717" s="35" t="s">
        <v>1950</v>
      </c>
      <c r="H717" s="37">
        <v>0</v>
      </c>
      <c r="I717" s="37" t="s">
        <v>1950</v>
      </c>
      <c r="J717" s="35">
        <v>1981</v>
      </c>
      <c r="K717" s="35" t="s">
        <v>1950</v>
      </c>
      <c r="L717" s="35" t="s">
        <v>1950</v>
      </c>
      <c r="M717" s="36">
        <v>12656</v>
      </c>
      <c r="N717" s="53">
        <v>0</v>
      </c>
      <c r="O717" s="40">
        <v>0</v>
      </c>
      <c r="P717" s="35">
        <v>0</v>
      </c>
      <c r="Q717" s="35" t="s">
        <v>1950</v>
      </c>
      <c r="R717" s="53">
        <v>10</v>
      </c>
      <c r="S717" s="53">
        <v>0</v>
      </c>
    </row>
    <row r="718" spans="1:19" x14ac:dyDescent="0.3">
      <c r="A718" s="35" t="s">
        <v>1586</v>
      </c>
      <c r="B718" s="35" t="s">
        <v>8</v>
      </c>
      <c r="C718" s="35" t="s">
        <v>17</v>
      </c>
      <c r="D718" s="35">
        <v>314.99</v>
      </c>
      <c r="E718" s="39" t="s">
        <v>1950</v>
      </c>
      <c r="F718" s="37">
        <v>0</v>
      </c>
      <c r="G718" s="35" t="s">
        <v>1950</v>
      </c>
      <c r="H718" s="37">
        <v>0</v>
      </c>
      <c r="I718" s="37" t="s">
        <v>1950</v>
      </c>
      <c r="J718" s="35">
        <v>1990</v>
      </c>
      <c r="K718" s="35" t="s">
        <v>47</v>
      </c>
      <c r="L718" s="35" t="s">
        <v>1601</v>
      </c>
      <c r="M718" s="36">
        <v>51611</v>
      </c>
      <c r="N718" s="53">
        <v>0</v>
      </c>
      <c r="O718" s="40">
        <v>0</v>
      </c>
      <c r="P718" s="35">
        <v>0</v>
      </c>
      <c r="Q718" s="35" t="s">
        <v>1950</v>
      </c>
      <c r="R718" s="53">
        <v>1</v>
      </c>
      <c r="S718" s="53">
        <v>0</v>
      </c>
    </row>
    <row r="719" spans="1:19" x14ac:dyDescent="0.3">
      <c r="A719" s="35" t="s">
        <v>1586</v>
      </c>
      <c r="B719" s="35" t="s">
        <v>14</v>
      </c>
      <c r="C719" s="35" t="s">
        <v>17</v>
      </c>
      <c r="D719" s="35">
        <v>171.36</v>
      </c>
      <c r="E719" s="39" t="s">
        <v>1950</v>
      </c>
      <c r="F719" s="37">
        <v>0</v>
      </c>
      <c r="G719" s="35" t="s">
        <v>1950</v>
      </c>
      <c r="H719" s="37">
        <v>0</v>
      </c>
      <c r="I719" s="37" t="s">
        <v>1950</v>
      </c>
      <c r="J719" s="35">
        <v>1997</v>
      </c>
      <c r="K719" s="35" t="s">
        <v>1950</v>
      </c>
      <c r="L719" s="35" t="s">
        <v>1950</v>
      </c>
      <c r="M719" s="36">
        <v>31031</v>
      </c>
      <c r="N719" s="53">
        <v>0</v>
      </c>
      <c r="O719" s="40">
        <v>0</v>
      </c>
      <c r="P719" s="35">
        <v>0</v>
      </c>
      <c r="Q719" s="35" t="s">
        <v>1950</v>
      </c>
      <c r="R719" s="53">
        <v>20</v>
      </c>
      <c r="S719" s="53">
        <v>0</v>
      </c>
    </row>
    <row r="720" spans="1:19" x14ac:dyDescent="0.3">
      <c r="A720" s="35" t="s">
        <v>1586</v>
      </c>
      <c r="B720" s="35" t="s">
        <v>12</v>
      </c>
      <c r="C720" s="35" t="s">
        <v>17</v>
      </c>
      <c r="D720" s="35">
        <v>152.57</v>
      </c>
      <c r="E720" s="39" t="s">
        <v>1950</v>
      </c>
      <c r="F720" s="37">
        <v>0</v>
      </c>
      <c r="G720" s="35" t="s">
        <v>1950</v>
      </c>
      <c r="H720" s="37">
        <v>0</v>
      </c>
      <c r="I720" s="37" t="s">
        <v>1950</v>
      </c>
      <c r="J720" s="35">
        <v>1982</v>
      </c>
      <c r="K720" s="35" t="s">
        <v>21</v>
      </c>
      <c r="L720" s="35" t="s">
        <v>1601</v>
      </c>
      <c r="M720" s="36">
        <v>22331</v>
      </c>
      <c r="N720" s="53">
        <v>0</v>
      </c>
      <c r="O720" s="40">
        <v>0</v>
      </c>
      <c r="P720" s="35">
        <v>0</v>
      </c>
      <c r="Q720" s="35" t="s">
        <v>1950</v>
      </c>
      <c r="R720" s="53">
        <v>5</v>
      </c>
      <c r="S720" s="53">
        <v>0</v>
      </c>
    </row>
    <row r="721" spans="1:19" x14ac:dyDescent="0.3">
      <c r="A721" s="35" t="s">
        <v>1586</v>
      </c>
      <c r="B721" s="35" t="s">
        <v>14</v>
      </c>
      <c r="C721" s="35" t="s">
        <v>1775</v>
      </c>
      <c r="D721" s="35">
        <v>106.09</v>
      </c>
      <c r="E721" s="39" t="s">
        <v>1950</v>
      </c>
      <c r="F721" s="37">
        <v>0</v>
      </c>
      <c r="G721" s="35" t="s">
        <v>1950</v>
      </c>
      <c r="H721" s="37">
        <v>0</v>
      </c>
      <c r="I721" s="37" t="s">
        <v>1950</v>
      </c>
      <c r="J721" s="35">
        <v>1996</v>
      </c>
      <c r="K721" s="35" t="s">
        <v>1950</v>
      </c>
      <c r="L721" s="35" t="s">
        <v>1950</v>
      </c>
      <c r="M721" s="36">
        <v>7387</v>
      </c>
      <c r="N721" s="53">
        <v>0</v>
      </c>
      <c r="O721" s="40">
        <v>0</v>
      </c>
      <c r="P721" s="35">
        <v>0</v>
      </c>
      <c r="Q721" s="35" t="s">
        <v>1950</v>
      </c>
      <c r="R721" s="53">
        <v>4</v>
      </c>
      <c r="S721" s="53">
        <v>0</v>
      </c>
    </row>
    <row r="722" spans="1:19" x14ac:dyDescent="0.3">
      <c r="A722" s="35" t="s">
        <v>1586</v>
      </c>
      <c r="B722" s="35" t="s">
        <v>14</v>
      </c>
      <c r="C722" s="35" t="s">
        <v>17</v>
      </c>
      <c r="D722" s="35">
        <v>78.09</v>
      </c>
      <c r="E722" s="39" t="s">
        <v>1950</v>
      </c>
      <c r="F722" s="37">
        <v>0</v>
      </c>
      <c r="G722" s="35" t="s">
        <v>1950</v>
      </c>
      <c r="H722" s="37">
        <v>0</v>
      </c>
      <c r="I722" s="37" t="s">
        <v>1950</v>
      </c>
      <c r="J722" s="35">
        <v>2010</v>
      </c>
      <c r="K722" s="35" t="s">
        <v>1950</v>
      </c>
      <c r="L722" s="35" t="s">
        <v>1950</v>
      </c>
      <c r="M722" s="36">
        <v>16153</v>
      </c>
      <c r="N722" s="53">
        <v>0</v>
      </c>
      <c r="O722" s="40">
        <v>0</v>
      </c>
      <c r="P722" s="35">
        <v>0</v>
      </c>
      <c r="Q722" s="35" t="s">
        <v>1950</v>
      </c>
      <c r="R722" s="53">
        <v>6</v>
      </c>
      <c r="S722" s="53">
        <v>0</v>
      </c>
    </row>
    <row r="723" spans="1:19" x14ac:dyDescent="0.3">
      <c r="A723" s="35" t="s">
        <v>1586</v>
      </c>
      <c r="B723" s="35" t="s">
        <v>12</v>
      </c>
      <c r="C723" s="35" t="s">
        <v>1775</v>
      </c>
      <c r="D723" s="35">
        <v>232.01</v>
      </c>
      <c r="E723" s="39" t="s">
        <v>1950</v>
      </c>
      <c r="F723" s="37">
        <v>0</v>
      </c>
      <c r="G723" s="35" t="s">
        <v>1950</v>
      </c>
      <c r="H723" s="37">
        <v>0</v>
      </c>
      <c r="I723" s="37" t="s">
        <v>1950</v>
      </c>
      <c r="J723" s="35">
        <v>2009</v>
      </c>
      <c r="K723" s="35" t="s">
        <v>47</v>
      </c>
      <c r="L723" s="35" t="s">
        <v>1606</v>
      </c>
      <c r="M723" s="36">
        <v>13590</v>
      </c>
      <c r="N723" s="53">
        <v>0</v>
      </c>
      <c r="O723" s="40">
        <v>0</v>
      </c>
      <c r="P723" s="35">
        <v>0</v>
      </c>
      <c r="Q723" s="35" t="s">
        <v>1950</v>
      </c>
      <c r="R723" s="53">
        <v>12</v>
      </c>
      <c r="S723" s="53">
        <v>0</v>
      </c>
    </row>
    <row r="724" spans="1:19" x14ac:dyDescent="0.3">
      <c r="A724" s="35" t="s">
        <v>1586</v>
      </c>
      <c r="B724" s="35" t="s">
        <v>29</v>
      </c>
      <c r="C724" s="35" t="s">
        <v>1775</v>
      </c>
      <c r="D724" s="35">
        <v>281.89</v>
      </c>
      <c r="E724" s="39" t="s">
        <v>1950</v>
      </c>
      <c r="F724" s="37">
        <v>0</v>
      </c>
      <c r="G724" s="35" t="s">
        <v>1950</v>
      </c>
      <c r="H724" s="37">
        <v>0</v>
      </c>
      <c r="I724" s="37" t="s">
        <v>1950</v>
      </c>
      <c r="J724" s="35">
        <v>2014</v>
      </c>
      <c r="K724" s="35" t="s">
        <v>19</v>
      </c>
      <c r="L724" s="35" t="s">
        <v>1600</v>
      </c>
      <c r="M724" s="36">
        <v>7450</v>
      </c>
      <c r="N724" s="53">
        <v>0</v>
      </c>
      <c r="O724" s="40">
        <v>0</v>
      </c>
      <c r="P724" s="35">
        <v>0</v>
      </c>
      <c r="Q724" s="35" t="s">
        <v>1950</v>
      </c>
      <c r="R724" s="53">
        <v>3</v>
      </c>
      <c r="S724" s="53">
        <v>0</v>
      </c>
    </row>
    <row r="725" spans="1:19" x14ac:dyDescent="0.3">
      <c r="A725" s="35" t="s">
        <v>1586</v>
      </c>
      <c r="B725" s="35" t="s">
        <v>14</v>
      </c>
      <c r="C725" s="35" t="s">
        <v>17</v>
      </c>
      <c r="D725" s="35">
        <v>116.42</v>
      </c>
      <c r="E725" s="39" t="s">
        <v>1950</v>
      </c>
      <c r="F725" s="37">
        <v>0</v>
      </c>
      <c r="G725" s="35" t="s">
        <v>1950</v>
      </c>
      <c r="H725" s="37">
        <v>0</v>
      </c>
      <c r="I725" s="37" t="s">
        <v>1950</v>
      </c>
      <c r="J725" s="35">
        <v>2000</v>
      </c>
      <c r="K725" s="35" t="s">
        <v>19</v>
      </c>
      <c r="L725" s="35" t="s">
        <v>1601</v>
      </c>
      <c r="M725" s="36">
        <v>41499</v>
      </c>
      <c r="N725" s="53">
        <v>0</v>
      </c>
      <c r="O725" s="40">
        <v>0</v>
      </c>
      <c r="P725" s="35">
        <v>0</v>
      </c>
      <c r="Q725" s="35" t="s">
        <v>1950</v>
      </c>
      <c r="R725" s="53">
        <v>3</v>
      </c>
      <c r="S725" s="53">
        <v>0</v>
      </c>
    </row>
    <row r="726" spans="1:19" x14ac:dyDescent="0.3">
      <c r="A726" s="35" t="s">
        <v>1586</v>
      </c>
      <c r="B726" s="35" t="s">
        <v>12</v>
      </c>
      <c r="C726" s="35" t="s">
        <v>17</v>
      </c>
      <c r="D726" s="35">
        <v>532.99</v>
      </c>
      <c r="E726" s="39" t="s">
        <v>1950</v>
      </c>
      <c r="F726" s="37">
        <v>0</v>
      </c>
      <c r="G726" s="35" t="s">
        <v>1950</v>
      </c>
      <c r="H726" s="37">
        <v>0</v>
      </c>
      <c r="I726" s="37" t="s">
        <v>1950</v>
      </c>
      <c r="J726" s="35">
        <v>1992</v>
      </c>
      <c r="K726" s="35" t="s">
        <v>25</v>
      </c>
      <c r="L726" s="35" t="s">
        <v>1598</v>
      </c>
      <c r="M726" s="36">
        <v>34970</v>
      </c>
      <c r="N726" s="53">
        <v>0</v>
      </c>
      <c r="O726" s="40">
        <v>0</v>
      </c>
      <c r="P726" s="35">
        <v>0</v>
      </c>
      <c r="Q726" s="35" t="s">
        <v>1950</v>
      </c>
      <c r="R726" s="53">
        <v>10</v>
      </c>
      <c r="S726" s="53">
        <v>0</v>
      </c>
    </row>
    <row r="727" spans="1:19" x14ac:dyDescent="0.3">
      <c r="A727" s="35" t="s">
        <v>1586</v>
      </c>
      <c r="B727" s="35" t="s">
        <v>29</v>
      </c>
      <c r="C727" s="35" t="s">
        <v>17</v>
      </c>
      <c r="D727" s="35">
        <v>164.66</v>
      </c>
      <c r="E727" s="39" t="s">
        <v>1950</v>
      </c>
      <c r="F727" s="37">
        <v>0</v>
      </c>
      <c r="G727" s="35" t="s">
        <v>1950</v>
      </c>
      <c r="H727" s="37">
        <v>0</v>
      </c>
      <c r="I727" s="37" t="s">
        <v>1950</v>
      </c>
      <c r="J727" s="35">
        <v>1971</v>
      </c>
      <c r="K727" s="35" t="s">
        <v>25</v>
      </c>
      <c r="L727" s="35" t="s">
        <v>1601</v>
      </c>
      <c r="M727" s="36">
        <v>23554</v>
      </c>
      <c r="N727" s="53">
        <v>0</v>
      </c>
      <c r="O727" s="40">
        <v>0</v>
      </c>
      <c r="P727" s="35">
        <v>0</v>
      </c>
      <c r="Q727" s="35" t="s">
        <v>1950</v>
      </c>
      <c r="R727" s="53">
        <v>3</v>
      </c>
      <c r="S727" s="53">
        <v>0</v>
      </c>
    </row>
    <row r="728" spans="1:19" x14ac:dyDescent="0.3">
      <c r="A728" s="35" t="s">
        <v>1586</v>
      </c>
      <c r="B728" s="35" t="s">
        <v>14</v>
      </c>
      <c r="C728" s="35" t="s">
        <v>17</v>
      </c>
      <c r="D728" s="35">
        <v>150.74</v>
      </c>
      <c r="E728" s="39" t="s">
        <v>1950</v>
      </c>
      <c r="F728" s="37">
        <v>0</v>
      </c>
      <c r="G728" s="35" t="s">
        <v>1950</v>
      </c>
      <c r="H728" s="37">
        <v>0</v>
      </c>
      <c r="I728" s="37" t="s">
        <v>1950</v>
      </c>
      <c r="J728" s="35">
        <v>1989</v>
      </c>
      <c r="K728" s="35" t="s">
        <v>1950</v>
      </c>
      <c r="L728" s="35" t="s">
        <v>1950</v>
      </c>
      <c r="M728" s="36">
        <v>17306</v>
      </c>
      <c r="N728" s="53">
        <v>0</v>
      </c>
      <c r="O728" s="40">
        <v>0</v>
      </c>
      <c r="P728" s="35">
        <v>0</v>
      </c>
      <c r="Q728" s="35" t="s">
        <v>1950</v>
      </c>
      <c r="R728" s="53">
        <v>15</v>
      </c>
      <c r="S728" s="53">
        <v>0</v>
      </c>
    </row>
    <row r="729" spans="1:19" x14ac:dyDescent="0.3">
      <c r="A729" s="35" t="s">
        <v>1586</v>
      </c>
      <c r="B729" s="35" t="s">
        <v>14</v>
      </c>
      <c r="C729" s="35" t="s">
        <v>1775</v>
      </c>
      <c r="D729" s="35">
        <v>116.85</v>
      </c>
      <c r="E729" s="39" t="s">
        <v>1950</v>
      </c>
      <c r="F729" s="37">
        <v>0</v>
      </c>
      <c r="G729" s="35" t="s">
        <v>1950</v>
      </c>
      <c r="H729" s="37">
        <v>0</v>
      </c>
      <c r="I729" s="37" t="s">
        <v>1950</v>
      </c>
      <c r="J729" s="35">
        <v>1999</v>
      </c>
      <c r="K729" s="35" t="s">
        <v>1950</v>
      </c>
      <c r="L729" s="35" t="s">
        <v>1950</v>
      </c>
      <c r="M729" s="36">
        <v>11060</v>
      </c>
      <c r="N729" s="53">
        <v>0</v>
      </c>
      <c r="O729" s="40">
        <v>0</v>
      </c>
      <c r="P729" s="35">
        <v>0</v>
      </c>
      <c r="Q729" s="35" t="s">
        <v>1950</v>
      </c>
      <c r="R729" s="53">
        <v>1</v>
      </c>
      <c r="S729" s="53">
        <v>0</v>
      </c>
    </row>
    <row r="730" spans="1:19" x14ac:dyDescent="0.3">
      <c r="A730" s="35" t="s">
        <v>1586</v>
      </c>
      <c r="B730" s="35" t="s">
        <v>8</v>
      </c>
      <c r="C730" s="35" t="s">
        <v>17</v>
      </c>
      <c r="D730" s="35">
        <v>233.38</v>
      </c>
      <c r="E730" s="39" t="s">
        <v>1950</v>
      </c>
      <c r="F730" s="37">
        <v>0</v>
      </c>
      <c r="G730" s="35" t="s">
        <v>1950</v>
      </c>
      <c r="H730" s="37">
        <v>0</v>
      </c>
      <c r="I730" s="37" t="s">
        <v>1950</v>
      </c>
      <c r="J730" s="35">
        <v>1993</v>
      </c>
      <c r="K730" s="35" t="s">
        <v>25</v>
      </c>
      <c r="L730" s="35" t="s">
        <v>1601</v>
      </c>
      <c r="M730" s="36">
        <v>43280</v>
      </c>
      <c r="N730" s="53">
        <v>0</v>
      </c>
      <c r="O730" s="40">
        <v>0</v>
      </c>
      <c r="P730" s="35">
        <v>0</v>
      </c>
      <c r="Q730" s="35" t="s">
        <v>1950</v>
      </c>
      <c r="R730" s="53">
        <v>4</v>
      </c>
      <c r="S730" s="53">
        <v>0</v>
      </c>
    </row>
    <row r="731" spans="1:19" x14ac:dyDescent="0.3">
      <c r="A731" s="35" t="s">
        <v>1586</v>
      </c>
      <c r="B731" s="35" t="s">
        <v>14</v>
      </c>
      <c r="C731" s="35" t="s">
        <v>17</v>
      </c>
      <c r="D731" s="35">
        <v>222.85</v>
      </c>
      <c r="E731" s="39" t="s">
        <v>1950</v>
      </c>
      <c r="F731" s="37">
        <v>0</v>
      </c>
      <c r="G731" s="35" t="s">
        <v>1950</v>
      </c>
      <c r="H731" s="37">
        <v>0</v>
      </c>
      <c r="I731" s="37" t="s">
        <v>1950</v>
      </c>
      <c r="J731" s="35">
        <v>1977</v>
      </c>
      <c r="K731" s="35" t="s">
        <v>1950</v>
      </c>
      <c r="L731" s="35" t="s">
        <v>1950</v>
      </c>
      <c r="M731" s="36">
        <v>37281</v>
      </c>
      <c r="N731" s="53">
        <v>0</v>
      </c>
      <c r="O731" s="40">
        <v>0</v>
      </c>
      <c r="P731" s="35">
        <v>0</v>
      </c>
      <c r="Q731" s="35" t="s">
        <v>1950</v>
      </c>
      <c r="R731" s="53">
        <v>0</v>
      </c>
      <c r="S731" s="53">
        <v>0</v>
      </c>
    </row>
    <row r="732" spans="1:19" x14ac:dyDescent="0.3">
      <c r="A732" s="35" t="s">
        <v>1586</v>
      </c>
      <c r="B732" s="35" t="s">
        <v>12</v>
      </c>
      <c r="C732" s="35" t="s">
        <v>17</v>
      </c>
      <c r="D732" s="35">
        <v>424.9</v>
      </c>
      <c r="E732" s="39" t="s">
        <v>1950</v>
      </c>
      <c r="F732" s="37">
        <v>0</v>
      </c>
      <c r="G732" s="35" t="s">
        <v>1950</v>
      </c>
      <c r="H732" s="37">
        <v>0</v>
      </c>
      <c r="I732" s="37" t="s">
        <v>1950</v>
      </c>
      <c r="J732" s="35">
        <v>2009</v>
      </c>
      <c r="K732" s="35" t="s">
        <v>19</v>
      </c>
      <c r="L732" s="35" t="s">
        <v>1601</v>
      </c>
      <c r="M732" s="36">
        <v>39913</v>
      </c>
      <c r="N732" s="53">
        <v>0</v>
      </c>
      <c r="O732" s="40">
        <v>0</v>
      </c>
      <c r="P732" s="35">
        <v>0</v>
      </c>
      <c r="Q732" s="35" t="s">
        <v>1950</v>
      </c>
      <c r="R732" s="53">
        <v>8</v>
      </c>
      <c r="S732" s="53">
        <v>0</v>
      </c>
    </row>
    <row r="733" spans="1:19" x14ac:dyDescent="0.3">
      <c r="A733" s="35" t="s">
        <v>1586</v>
      </c>
      <c r="B733" s="35" t="s">
        <v>14</v>
      </c>
      <c r="C733" s="35" t="s">
        <v>17</v>
      </c>
      <c r="D733" s="35">
        <v>211.03</v>
      </c>
      <c r="E733" s="39" t="s">
        <v>1950</v>
      </c>
      <c r="F733" s="37">
        <v>0</v>
      </c>
      <c r="G733" s="35" t="s">
        <v>1950</v>
      </c>
      <c r="H733" s="37">
        <v>0</v>
      </c>
      <c r="I733" s="37" t="s">
        <v>1950</v>
      </c>
      <c r="J733" s="35">
        <v>1982</v>
      </c>
      <c r="K733" s="35" t="s">
        <v>21</v>
      </c>
      <c r="L733" s="35" t="s">
        <v>1601</v>
      </c>
      <c r="M733" s="36">
        <v>64277</v>
      </c>
      <c r="N733" s="53">
        <v>0</v>
      </c>
      <c r="O733" s="40">
        <v>0</v>
      </c>
      <c r="P733" s="35">
        <v>0</v>
      </c>
      <c r="Q733" s="35" t="s">
        <v>1950</v>
      </c>
      <c r="R733" s="53">
        <v>4</v>
      </c>
      <c r="S733" s="53">
        <v>0</v>
      </c>
    </row>
    <row r="734" spans="1:19" x14ac:dyDescent="0.3">
      <c r="A734" s="35" t="s">
        <v>1586</v>
      </c>
      <c r="B734" s="35" t="s">
        <v>14</v>
      </c>
      <c r="C734" s="35" t="s">
        <v>17</v>
      </c>
      <c r="D734" s="35">
        <v>296.02999999999997</v>
      </c>
      <c r="E734" s="39" t="s">
        <v>1950</v>
      </c>
      <c r="F734" s="37">
        <v>0</v>
      </c>
      <c r="G734" s="35" t="s">
        <v>1950</v>
      </c>
      <c r="H734" s="37">
        <v>0</v>
      </c>
      <c r="I734" s="37" t="s">
        <v>1950</v>
      </c>
      <c r="J734" s="35">
        <v>1997</v>
      </c>
      <c r="K734" s="35" t="s">
        <v>1950</v>
      </c>
      <c r="L734" s="35" t="s">
        <v>1950</v>
      </c>
      <c r="M734" s="36">
        <v>15551</v>
      </c>
      <c r="N734" s="53">
        <v>0</v>
      </c>
      <c r="O734" s="40">
        <v>0</v>
      </c>
      <c r="P734" s="35">
        <v>0</v>
      </c>
      <c r="Q734" s="35" t="s">
        <v>1950</v>
      </c>
      <c r="R734" s="53">
        <v>6</v>
      </c>
      <c r="S734" s="53">
        <v>0</v>
      </c>
    </row>
    <row r="735" spans="1:19" x14ac:dyDescent="0.3">
      <c r="A735" s="35" t="s">
        <v>1586</v>
      </c>
      <c r="B735" s="35" t="s">
        <v>14</v>
      </c>
      <c r="C735" s="35" t="s">
        <v>1775</v>
      </c>
      <c r="D735" s="35">
        <v>238.94</v>
      </c>
      <c r="E735" s="39" t="s">
        <v>1950</v>
      </c>
      <c r="F735" s="37">
        <v>0</v>
      </c>
      <c r="G735" s="35" t="s">
        <v>1950</v>
      </c>
      <c r="H735" s="37">
        <v>0</v>
      </c>
      <c r="I735" s="37" t="s">
        <v>1950</v>
      </c>
      <c r="J735" s="35">
        <v>1994</v>
      </c>
      <c r="K735" s="35" t="s">
        <v>1950</v>
      </c>
      <c r="L735" s="35" t="s">
        <v>1950</v>
      </c>
      <c r="M735" s="36">
        <v>4745</v>
      </c>
      <c r="N735" s="53">
        <v>0</v>
      </c>
      <c r="O735" s="40">
        <v>0</v>
      </c>
      <c r="P735" s="35">
        <v>0</v>
      </c>
      <c r="Q735" s="35" t="s">
        <v>1950</v>
      </c>
      <c r="R735" s="53">
        <v>9</v>
      </c>
      <c r="S735" s="53">
        <v>0</v>
      </c>
    </row>
    <row r="736" spans="1:19" x14ac:dyDescent="0.3">
      <c r="A736" s="35" t="s">
        <v>1586</v>
      </c>
      <c r="B736" s="35" t="s">
        <v>14</v>
      </c>
      <c r="C736" s="35" t="s">
        <v>1775</v>
      </c>
      <c r="D736" s="35">
        <v>654.72</v>
      </c>
      <c r="E736" s="39" t="s">
        <v>1950</v>
      </c>
      <c r="F736" s="37">
        <v>0</v>
      </c>
      <c r="G736" s="35" t="s">
        <v>1950</v>
      </c>
      <c r="H736" s="37">
        <v>0</v>
      </c>
      <c r="I736" s="37" t="s">
        <v>1950</v>
      </c>
      <c r="J736" s="35">
        <v>1997</v>
      </c>
      <c r="K736" s="35" t="s">
        <v>1950</v>
      </c>
      <c r="L736" s="35" t="s">
        <v>1950</v>
      </c>
      <c r="M736" s="36">
        <v>8060</v>
      </c>
      <c r="N736" s="53">
        <v>0</v>
      </c>
      <c r="O736" s="40">
        <v>0</v>
      </c>
      <c r="P736" s="35">
        <v>0</v>
      </c>
      <c r="Q736" s="35" t="s">
        <v>1950</v>
      </c>
      <c r="R736" s="53">
        <v>6</v>
      </c>
      <c r="S736" s="53">
        <v>0</v>
      </c>
    </row>
    <row r="737" spans="1:19" x14ac:dyDescent="0.3">
      <c r="A737" s="35" t="s">
        <v>1586</v>
      </c>
      <c r="B737" s="35" t="s">
        <v>14</v>
      </c>
      <c r="C737" s="35" t="s">
        <v>1775</v>
      </c>
      <c r="D737" s="35">
        <v>151.96</v>
      </c>
      <c r="E737" s="39" t="s">
        <v>1950</v>
      </c>
      <c r="F737" s="37">
        <v>0</v>
      </c>
      <c r="G737" s="35" t="s">
        <v>1950</v>
      </c>
      <c r="H737" s="37">
        <v>0</v>
      </c>
      <c r="I737" s="37" t="s">
        <v>1950</v>
      </c>
      <c r="J737" s="35">
        <v>2010</v>
      </c>
      <c r="K737" s="35" t="s">
        <v>21</v>
      </c>
      <c r="L737" s="35" t="s">
        <v>1597</v>
      </c>
      <c r="M737" s="36">
        <v>14671</v>
      </c>
      <c r="N737" s="53">
        <v>0</v>
      </c>
      <c r="O737" s="40">
        <v>0</v>
      </c>
      <c r="P737" s="35">
        <v>0</v>
      </c>
      <c r="Q737" s="35" t="s">
        <v>1950</v>
      </c>
      <c r="R737" s="53">
        <v>3</v>
      </c>
      <c r="S737" s="53">
        <v>0</v>
      </c>
    </row>
    <row r="738" spans="1:19" x14ac:dyDescent="0.3">
      <c r="A738" s="35" t="s">
        <v>1586</v>
      </c>
      <c r="B738" s="35" t="s">
        <v>14</v>
      </c>
      <c r="C738" s="35" t="s">
        <v>17</v>
      </c>
      <c r="D738" s="35">
        <v>192.61</v>
      </c>
      <c r="E738" s="39" t="s">
        <v>1950</v>
      </c>
      <c r="F738" s="37">
        <v>0</v>
      </c>
      <c r="G738" s="35" t="s">
        <v>1950</v>
      </c>
      <c r="H738" s="37">
        <v>0</v>
      </c>
      <c r="I738" s="37" t="s">
        <v>1950</v>
      </c>
      <c r="J738" s="35">
        <v>2006</v>
      </c>
      <c r="K738" s="35" t="s">
        <v>19</v>
      </c>
      <c r="L738" s="35" t="s">
        <v>1601</v>
      </c>
      <c r="M738" s="36">
        <v>144109</v>
      </c>
      <c r="N738" s="53">
        <v>0</v>
      </c>
      <c r="O738" s="40">
        <v>0</v>
      </c>
      <c r="P738" s="35">
        <v>0</v>
      </c>
      <c r="Q738" s="35" t="s">
        <v>1950</v>
      </c>
      <c r="R738" s="53">
        <v>11</v>
      </c>
      <c r="S738" s="53">
        <v>0</v>
      </c>
    </row>
    <row r="739" spans="1:19" x14ac:dyDescent="0.3">
      <c r="A739" s="35" t="s">
        <v>1586</v>
      </c>
      <c r="B739" s="35" t="s">
        <v>14</v>
      </c>
      <c r="C739" s="35" t="s">
        <v>17</v>
      </c>
      <c r="D739" s="35">
        <v>92.42</v>
      </c>
      <c r="E739" s="39" t="s">
        <v>1950</v>
      </c>
      <c r="F739" s="37">
        <v>0</v>
      </c>
      <c r="G739" s="35" t="s">
        <v>1950</v>
      </c>
      <c r="H739" s="37">
        <v>0</v>
      </c>
      <c r="I739" s="37" t="s">
        <v>1950</v>
      </c>
      <c r="J739" s="35">
        <v>1976</v>
      </c>
      <c r="K739" s="35" t="s">
        <v>19</v>
      </c>
      <c r="L739" s="35" t="s">
        <v>1601</v>
      </c>
      <c r="M739" s="36">
        <v>43000</v>
      </c>
      <c r="N739" s="53">
        <v>0</v>
      </c>
      <c r="O739" s="40">
        <v>0</v>
      </c>
      <c r="P739" s="35">
        <v>0</v>
      </c>
      <c r="Q739" s="35" t="s">
        <v>1950</v>
      </c>
      <c r="R739" s="53">
        <v>9</v>
      </c>
      <c r="S739" s="53">
        <v>0</v>
      </c>
    </row>
    <row r="740" spans="1:19" x14ac:dyDescent="0.3">
      <c r="A740" s="35" t="s">
        <v>1586</v>
      </c>
      <c r="B740" s="35" t="s">
        <v>12</v>
      </c>
      <c r="C740" s="35" t="s">
        <v>17</v>
      </c>
      <c r="D740" s="35">
        <v>730.01</v>
      </c>
      <c r="E740" s="39" t="s">
        <v>1950</v>
      </c>
      <c r="F740" s="37">
        <v>0</v>
      </c>
      <c r="G740" s="35" t="s">
        <v>1950</v>
      </c>
      <c r="H740" s="37">
        <v>0</v>
      </c>
      <c r="I740" s="37" t="s">
        <v>1950</v>
      </c>
      <c r="J740" s="35">
        <v>1995</v>
      </c>
      <c r="K740" s="35" t="s">
        <v>1950</v>
      </c>
      <c r="L740" s="35" t="s">
        <v>1950</v>
      </c>
      <c r="M740" s="36">
        <v>23000</v>
      </c>
      <c r="N740" s="53">
        <v>0</v>
      </c>
      <c r="O740" s="40">
        <v>0</v>
      </c>
      <c r="P740" s="35">
        <v>0</v>
      </c>
      <c r="Q740" s="35" t="s">
        <v>1950</v>
      </c>
      <c r="R740" s="53">
        <v>0</v>
      </c>
      <c r="S740" s="53">
        <v>0</v>
      </c>
    </row>
    <row r="741" spans="1:19" x14ac:dyDescent="0.3">
      <c r="A741" s="35" t="s">
        <v>1586</v>
      </c>
      <c r="B741" s="35" t="s">
        <v>14</v>
      </c>
      <c r="C741" s="35" t="s">
        <v>1775</v>
      </c>
      <c r="D741" s="35">
        <v>117.47</v>
      </c>
      <c r="E741" s="39" t="s">
        <v>1950</v>
      </c>
      <c r="F741" s="37">
        <v>0</v>
      </c>
      <c r="G741" s="35" t="s">
        <v>1950</v>
      </c>
      <c r="H741" s="37">
        <v>0</v>
      </c>
      <c r="I741" s="37" t="s">
        <v>1950</v>
      </c>
      <c r="J741" s="35">
        <v>1984</v>
      </c>
      <c r="K741" s="35" t="s">
        <v>1950</v>
      </c>
      <c r="L741" s="35" t="s">
        <v>1950</v>
      </c>
      <c r="M741" s="36">
        <v>11950</v>
      </c>
      <c r="N741" s="53">
        <v>0</v>
      </c>
      <c r="O741" s="40">
        <v>0</v>
      </c>
      <c r="P741" s="35">
        <v>0</v>
      </c>
      <c r="Q741" s="35" t="s">
        <v>1950</v>
      </c>
      <c r="R741" s="53">
        <v>36</v>
      </c>
      <c r="S741" s="53">
        <v>0</v>
      </c>
    </row>
    <row r="742" spans="1:19" x14ac:dyDescent="0.3">
      <c r="A742" s="35" t="s">
        <v>1586</v>
      </c>
      <c r="B742" s="35" t="s">
        <v>14</v>
      </c>
      <c r="C742" s="35" t="s">
        <v>17</v>
      </c>
      <c r="D742" s="35">
        <v>99.25</v>
      </c>
      <c r="E742" s="39" t="s">
        <v>1950</v>
      </c>
      <c r="F742" s="37">
        <v>0</v>
      </c>
      <c r="G742" s="35" t="s">
        <v>1950</v>
      </c>
      <c r="H742" s="37">
        <v>0</v>
      </c>
      <c r="I742" s="37" t="s">
        <v>1950</v>
      </c>
      <c r="J742" s="35">
        <v>1994</v>
      </c>
      <c r="K742" s="35" t="s">
        <v>19</v>
      </c>
      <c r="L742" s="35" t="s">
        <v>1601</v>
      </c>
      <c r="M742" s="36">
        <v>28421</v>
      </c>
      <c r="N742" s="53">
        <v>0</v>
      </c>
      <c r="O742" s="40">
        <v>0</v>
      </c>
      <c r="P742" s="35">
        <v>0</v>
      </c>
      <c r="Q742" s="35" t="s">
        <v>1950</v>
      </c>
      <c r="R742" s="53">
        <v>3</v>
      </c>
      <c r="S742" s="53">
        <v>0</v>
      </c>
    </row>
    <row r="743" spans="1:19" x14ac:dyDescent="0.3">
      <c r="A743" s="35" t="s">
        <v>1586</v>
      </c>
      <c r="B743" s="35" t="s">
        <v>14</v>
      </c>
      <c r="C743" s="35" t="s">
        <v>17</v>
      </c>
      <c r="D743" s="35">
        <v>128.44999999999999</v>
      </c>
      <c r="E743" s="39" t="s">
        <v>1950</v>
      </c>
      <c r="F743" s="37">
        <v>0</v>
      </c>
      <c r="G743" s="35" t="s">
        <v>1950</v>
      </c>
      <c r="H743" s="37">
        <v>0</v>
      </c>
      <c r="I743" s="37" t="s">
        <v>1950</v>
      </c>
      <c r="J743" s="35">
        <v>1997</v>
      </c>
      <c r="K743" s="35" t="s">
        <v>25</v>
      </c>
      <c r="L743" s="35" t="s">
        <v>1601</v>
      </c>
      <c r="M743" s="36">
        <v>36837</v>
      </c>
      <c r="N743" s="53">
        <v>0</v>
      </c>
      <c r="O743" s="40">
        <v>0</v>
      </c>
      <c r="P743" s="35">
        <v>0</v>
      </c>
      <c r="Q743" s="35" t="s">
        <v>1950</v>
      </c>
      <c r="R743" s="53">
        <v>1</v>
      </c>
      <c r="S743" s="53">
        <v>0</v>
      </c>
    </row>
    <row r="744" spans="1:19" x14ac:dyDescent="0.3">
      <c r="A744" s="35" t="s">
        <v>1586</v>
      </c>
      <c r="B744" s="35" t="s">
        <v>14</v>
      </c>
      <c r="C744" s="35" t="s">
        <v>17</v>
      </c>
      <c r="D744" s="35">
        <v>77.489999999999995</v>
      </c>
      <c r="E744" s="39" t="s">
        <v>1950</v>
      </c>
      <c r="F744" s="37">
        <v>0</v>
      </c>
      <c r="G744" s="35" t="s">
        <v>1950</v>
      </c>
      <c r="H744" s="37">
        <v>0</v>
      </c>
      <c r="I744" s="37" t="s">
        <v>1950</v>
      </c>
      <c r="J744" s="35">
        <v>1991</v>
      </c>
      <c r="K744" s="35" t="s">
        <v>19</v>
      </c>
      <c r="L744" s="35" t="s">
        <v>1601</v>
      </c>
      <c r="M744" s="36">
        <v>16654</v>
      </c>
      <c r="N744" s="53">
        <v>0</v>
      </c>
      <c r="O744" s="40">
        <v>0</v>
      </c>
      <c r="P744" s="35">
        <v>0</v>
      </c>
      <c r="Q744" s="35" t="s">
        <v>1950</v>
      </c>
      <c r="R744" s="53">
        <v>8</v>
      </c>
      <c r="S744" s="53">
        <v>0</v>
      </c>
    </row>
    <row r="745" spans="1:19" x14ac:dyDescent="0.3">
      <c r="A745" s="35" t="s">
        <v>1586</v>
      </c>
      <c r="B745" s="35" t="s">
        <v>29</v>
      </c>
      <c r="C745" s="35" t="s">
        <v>1775</v>
      </c>
      <c r="D745" s="35">
        <v>230.34</v>
      </c>
      <c r="E745" s="39" t="s">
        <v>1950</v>
      </c>
      <c r="F745" s="37">
        <v>0</v>
      </c>
      <c r="G745" s="35" t="s">
        <v>1950</v>
      </c>
      <c r="H745" s="37">
        <v>0</v>
      </c>
      <c r="I745" s="37" t="s">
        <v>1950</v>
      </c>
      <c r="J745" s="35">
        <v>2008</v>
      </c>
      <c r="K745" s="35" t="s">
        <v>1950</v>
      </c>
      <c r="L745" s="35" t="s">
        <v>1950</v>
      </c>
      <c r="M745" s="36">
        <v>12401</v>
      </c>
      <c r="N745" s="53">
        <v>0</v>
      </c>
      <c r="O745" s="40">
        <v>0</v>
      </c>
      <c r="P745" s="35">
        <v>0</v>
      </c>
      <c r="Q745" s="35" t="s">
        <v>1950</v>
      </c>
      <c r="R745" s="53">
        <v>9</v>
      </c>
      <c r="S745" s="53">
        <v>0</v>
      </c>
    </row>
    <row r="746" spans="1:19" x14ac:dyDescent="0.3">
      <c r="A746" s="35" t="s">
        <v>1586</v>
      </c>
      <c r="B746" s="35" t="s">
        <v>14</v>
      </c>
      <c r="C746" s="35" t="s">
        <v>17</v>
      </c>
      <c r="D746" s="35">
        <v>98.6</v>
      </c>
      <c r="E746" s="39" t="s">
        <v>1950</v>
      </c>
      <c r="F746" s="37">
        <v>0</v>
      </c>
      <c r="G746" s="35" t="s">
        <v>1950</v>
      </c>
      <c r="H746" s="37">
        <v>0</v>
      </c>
      <c r="I746" s="37" t="s">
        <v>1950</v>
      </c>
      <c r="J746" s="35">
        <v>1985</v>
      </c>
      <c r="K746" s="35" t="s">
        <v>19</v>
      </c>
      <c r="L746" s="35" t="s">
        <v>1601</v>
      </c>
      <c r="M746" s="36">
        <v>49021</v>
      </c>
      <c r="N746" s="53">
        <v>0</v>
      </c>
      <c r="O746" s="40">
        <v>0</v>
      </c>
      <c r="P746" s="35">
        <v>0</v>
      </c>
      <c r="Q746" s="35" t="s">
        <v>1950</v>
      </c>
      <c r="R746" s="53">
        <v>1</v>
      </c>
      <c r="S746" s="53">
        <v>0</v>
      </c>
    </row>
    <row r="747" spans="1:19" x14ac:dyDescent="0.3">
      <c r="A747" s="35" t="s">
        <v>1586</v>
      </c>
      <c r="B747" s="35" t="s">
        <v>14</v>
      </c>
      <c r="C747" s="35" t="s">
        <v>17</v>
      </c>
      <c r="D747" s="35">
        <v>124.31</v>
      </c>
      <c r="E747" s="39" t="s">
        <v>1950</v>
      </c>
      <c r="F747" s="37">
        <v>0</v>
      </c>
      <c r="G747" s="35" t="s">
        <v>1950</v>
      </c>
      <c r="H747" s="37">
        <v>0</v>
      </c>
      <c r="I747" s="37" t="s">
        <v>1950</v>
      </c>
      <c r="J747" s="35">
        <v>1986</v>
      </c>
      <c r="K747" s="35" t="s">
        <v>47</v>
      </c>
      <c r="L747" s="35" t="s">
        <v>1601</v>
      </c>
      <c r="M747" s="36">
        <v>33736</v>
      </c>
      <c r="N747" s="53">
        <v>0</v>
      </c>
      <c r="O747" s="40">
        <v>0</v>
      </c>
      <c r="P747" s="35">
        <v>0</v>
      </c>
      <c r="Q747" s="35" t="s">
        <v>1950</v>
      </c>
      <c r="R747" s="53">
        <v>2</v>
      </c>
      <c r="S747" s="53">
        <v>0</v>
      </c>
    </row>
    <row r="748" spans="1:19" x14ac:dyDescent="0.3">
      <c r="A748" s="35" t="s">
        <v>1586</v>
      </c>
      <c r="B748" s="35" t="s">
        <v>29</v>
      </c>
      <c r="C748" s="35" t="s">
        <v>2662</v>
      </c>
      <c r="D748" s="35">
        <v>179.68</v>
      </c>
      <c r="E748" s="39" t="s">
        <v>1950</v>
      </c>
      <c r="F748" s="37">
        <v>0</v>
      </c>
      <c r="G748" s="35" t="s">
        <v>1950</v>
      </c>
      <c r="H748" s="37">
        <v>0</v>
      </c>
      <c r="I748" s="37" t="s">
        <v>1950</v>
      </c>
      <c r="J748" s="35">
        <v>1970</v>
      </c>
      <c r="K748" s="35" t="s">
        <v>25</v>
      </c>
      <c r="L748" s="35" t="s">
        <v>1597</v>
      </c>
      <c r="M748" s="36">
        <v>127860</v>
      </c>
      <c r="N748" s="53">
        <v>0</v>
      </c>
      <c r="O748" s="40">
        <v>0</v>
      </c>
      <c r="P748" s="35">
        <v>0</v>
      </c>
      <c r="Q748" s="35" t="s">
        <v>1950</v>
      </c>
      <c r="R748" s="53">
        <v>10</v>
      </c>
      <c r="S748" s="53">
        <v>0</v>
      </c>
    </row>
    <row r="749" spans="1:19" x14ac:dyDescent="0.3">
      <c r="A749" s="35" t="s">
        <v>1586</v>
      </c>
      <c r="B749" s="35" t="s">
        <v>8</v>
      </c>
      <c r="C749" s="35" t="s">
        <v>17</v>
      </c>
      <c r="D749" s="35">
        <v>123.42</v>
      </c>
      <c r="E749" s="39" t="s">
        <v>1950</v>
      </c>
      <c r="F749" s="37">
        <v>0</v>
      </c>
      <c r="G749" s="35" t="s">
        <v>1950</v>
      </c>
      <c r="H749" s="37">
        <v>0</v>
      </c>
      <c r="I749" s="37" t="s">
        <v>1950</v>
      </c>
      <c r="J749" s="35">
        <v>1975</v>
      </c>
      <c r="K749" s="35" t="s">
        <v>47</v>
      </c>
      <c r="L749" s="35" t="s">
        <v>1601</v>
      </c>
      <c r="M749" s="36">
        <v>42809</v>
      </c>
      <c r="N749" s="53">
        <v>0</v>
      </c>
      <c r="O749" s="40">
        <v>0</v>
      </c>
      <c r="P749" s="35">
        <v>0</v>
      </c>
      <c r="Q749" s="35" t="s">
        <v>1950</v>
      </c>
      <c r="R749" s="53">
        <v>5</v>
      </c>
      <c r="S749" s="53">
        <v>0</v>
      </c>
    </row>
    <row r="750" spans="1:19" x14ac:dyDescent="0.3">
      <c r="A750" s="35" t="s">
        <v>1586</v>
      </c>
      <c r="B750" s="35" t="s">
        <v>14</v>
      </c>
      <c r="C750" s="35" t="s">
        <v>17</v>
      </c>
      <c r="D750" s="35">
        <v>202.67</v>
      </c>
      <c r="E750" s="39" t="s">
        <v>1950</v>
      </c>
      <c r="F750" s="37">
        <v>0</v>
      </c>
      <c r="G750" s="35" t="s">
        <v>1950</v>
      </c>
      <c r="H750" s="37">
        <v>0</v>
      </c>
      <c r="I750" s="37" t="s">
        <v>1950</v>
      </c>
      <c r="J750" s="35">
        <v>2002</v>
      </c>
      <c r="K750" s="35" t="s">
        <v>1950</v>
      </c>
      <c r="L750" s="35" t="s">
        <v>1950</v>
      </c>
      <c r="M750" s="36">
        <v>39149</v>
      </c>
      <c r="N750" s="53">
        <v>0</v>
      </c>
      <c r="O750" s="40">
        <v>0</v>
      </c>
      <c r="P750" s="35">
        <v>0</v>
      </c>
      <c r="Q750" s="35" t="s">
        <v>1950</v>
      </c>
      <c r="R750" s="53">
        <v>18</v>
      </c>
      <c r="S750" s="53">
        <v>0</v>
      </c>
    </row>
    <row r="751" spans="1:19" x14ac:dyDescent="0.3">
      <c r="A751" s="35" t="s">
        <v>1586</v>
      </c>
      <c r="B751" s="35" t="s">
        <v>14</v>
      </c>
      <c r="C751" s="35" t="s">
        <v>1775</v>
      </c>
      <c r="D751" s="35">
        <v>103.47</v>
      </c>
      <c r="E751" s="39" t="s">
        <v>1950</v>
      </c>
      <c r="F751" s="37">
        <v>0</v>
      </c>
      <c r="G751" s="35" t="s">
        <v>1950</v>
      </c>
      <c r="H751" s="37">
        <v>0</v>
      </c>
      <c r="I751" s="37" t="s">
        <v>1950</v>
      </c>
      <c r="J751" s="35">
        <v>1985</v>
      </c>
      <c r="K751" s="35" t="s">
        <v>1950</v>
      </c>
      <c r="L751" s="35" t="s">
        <v>1950</v>
      </c>
      <c r="M751" s="36">
        <v>6268</v>
      </c>
      <c r="N751" s="53">
        <v>0</v>
      </c>
      <c r="O751" s="40">
        <v>0</v>
      </c>
      <c r="P751" s="35">
        <v>0</v>
      </c>
      <c r="Q751" s="35" t="s">
        <v>1950</v>
      </c>
      <c r="R751" s="53">
        <v>22</v>
      </c>
      <c r="S751" s="53">
        <v>0</v>
      </c>
    </row>
    <row r="752" spans="1:19" x14ac:dyDescent="0.3">
      <c r="A752" s="35" t="s">
        <v>1586</v>
      </c>
      <c r="B752" s="35" t="s">
        <v>14</v>
      </c>
      <c r="C752" s="35" t="s">
        <v>17</v>
      </c>
      <c r="D752" s="35">
        <v>37.799999999999997</v>
      </c>
      <c r="E752" s="39" t="s">
        <v>1950</v>
      </c>
      <c r="F752" s="37">
        <v>0</v>
      </c>
      <c r="G752" s="35" t="s">
        <v>1950</v>
      </c>
      <c r="H752" s="37">
        <v>0</v>
      </c>
      <c r="I752" s="37" t="s">
        <v>1950</v>
      </c>
      <c r="J752" s="35">
        <v>1994</v>
      </c>
      <c r="K752" s="35" t="s">
        <v>19</v>
      </c>
      <c r="L752" s="35" t="s">
        <v>1601</v>
      </c>
      <c r="M752" s="36">
        <v>46218</v>
      </c>
      <c r="N752" s="53">
        <v>0</v>
      </c>
      <c r="O752" s="40">
        <v>0</v>
      </c>
      <c r="P752" s="35">
        <v>0</v>
      </c>
      <c r="Q752" s="35" t="s">
        <v>1950</v>
      </c>
      <c r="R752" s="53">
        <v>5</v>
      </c>
      <c r="S752" s="53">
        <v>0</v>
      </c>
    </row>
    <row r="753" spans="1:19" x14ac:dyDescent="0.3">
      <c r="A753" s="35" t="s">
        <v>1586</v>
      </c>
      <c r="B753" s="35" t="s">
        <v>29</v>
      </c>
      <c r="C753" s="35" t="s">
        <v>1775</v>
      </c>
      <c r="D753" s="35">
        <v>228.42</v>
      </c>
      <c r="E753" s="39" t="s">
        <v>1950</v>
      </c>
      <c r="F753" s="37">
        <v>0</v>
      </c>
      <c r="G753" s="35" t="s">
        <v>1950</v>
      </c>
      <c r="H753" s="37">
        <v>0</v>
      </c>
      <c r="I753" s="37" t="s">
        <v>1950</v>
      </c>
      <c r="J753" s="35">
        <v>2015</v>
      </c>
      <c r="K753" s="35" t="s">
        <v>2663</v>
      </c>
      <c r="L753" s="35" t="s">
        <v>1950</v>
      </c>
      <c r="M753" s="36">
        <v>13742</v>
      </c>
      <c r="N753" s="53">
        <v>0</v>
      </c>
      <c r="O753" s="40">
        <v>0</v>
      </c>
      <c r="P753" s="35">
        <v>0</v>
      </c>
      <c r="Q753" s="35" t="s">
        <v>1950</v>
      </c>
      <c r="R753" s="53">
        <v>5</v>
      </c>
      <c r="S753" s="53">
        <v>0</v>
      </c>
    </row>
    <row r="754" spans="1:19" x14ac:dyDescent="0.3">
      <c r="A754" s="35" t="s">
        <v>1586</v>
      </c>
      <c r="B754" s="35" t="s">
        <v>8</v>
      </c>
      <c r="C754" s="35" t="s">
        <v>2662</v>
      </c>
      <c r="D754" s="35">
        <v>243.05</v>
      </c>
      <c r="E754" s="39" t="s">
        <v>1950</v>
      </c>
      <c r="F754" s="37">
        <v>0</v>
      </c>
      <c r="G754" s="35" t="s">
        <v>1950</v>
      </c>
      <c r="H754" s="37">
        <v>0</v>
      </c>
      <c r="I754" s="37" t="s">
        <v>1950</v>
      </c>
      <c r="J754" s="35">
        <v>2010</v>
      </c>
      <c r="K754" s="35" t="s">
        <v>19</v>
      </c>
      <c r="L754" s="35" t="s">
        <v>1601</v>
      </c>
      <c r="M754" s="36">
        <v>581511</v>
      </c>
      <c r="N754" s="53">
        <v>0</v>
      </c>
      <c r="O754" s="40">
        <v>0</v>
      </c>
      <c r="P754" s="35">
        <v>0</v>
      </c>
      <c r="Q754" s="35" t="s">
        <v>1950</v>
      </c>
      <c r="R754" s="53">
        <v>11</v>
      </c>
      <c r="S754" s="53">
        <v>0</v>
      </c>
    </row>
    <row r="755" spans="1:19" x14ac:dyDescent="0.3">
      <c r="A755" s="35" t="s">
        <v>1586</v>
      </c>
      <c r="B755" s="35" t="s">
        <v>12</v>
      </c>
      <c r="C755" s="35" t="s">
        <v>1775</v>
      </c>
      <c r="D755" s="35">
        <v>215.92</v>
      </c>
      <c r="E755" s="39" t="s">
        <v>1950</v>
      </c>
      <c r="F755" s="37">
        <v>0</v>
      </c>
      <c r="G755" s="35" t="s">
        <v>1950</v>
      </c>
      <c r="H755" s="37">
        <v>0</v>
      </c>
      <c r="I755" s="37" t="s">
        <v>1950</v>
      </c>
      <c r="J755" s="35">
        <v>1980</v>
      </c>
      <c r="K755" s="35" t="s">
        <v>1950</v>
      </c>
      <c r="L755" s="35" t="s">
        <v>1950</v>
      </c>
      <c r="M755" s="36">
        <v>5411</v>
      </c>
      <c r="N755" s="53">
        <v>0</v>
      </c>
      <c r="O755" s="40">
        <v>0</v>
      </c>
      <c r="P755" s="35">
        <v>0</v>
      </c>
      <c r="Q755" s="35" t="s">
        <v>1950</v>
      </c>
      <c r="R755" s="53">
        <v>33</v>
      </c>
      <c r="S755" s="53">
        <v>0</v>
      </c>
    </row>
    <row r="756" spans="1:19" x14ac:dyDescent="0.3">
      <c r="A756" s="35" t="s">
        <v>1586</v>
      </c>
      <c r="B756" s="35" t="s">
        <v>14</v>
      </c>
      <c r="C756" s="35" t="s">
        <v>17</v>
      </c>
      <c r="D756" s="35">
        <v>289.57</v>
      </c>
      <c r="E756" s="39" t="s">
        <v>1950</v>
      </c>
      <c r="F756" s="37">
        <v>0</v>
      </c>
      <c r="G756" s="35" t="s">
        <v>1950</v>
      </c>
      <c r="H756" s="37">
        <v>0</v>
      </c>
      <c r="I756" s="37" t="s">
        <v>1950</v>
      </c>
      <c r="J756" s="35">
        <v>2003</v>
      </c>
      <c r="K756" s="35" t="s">
        <v>1950</v>
      </c>
      <c r="L756" s="35" t="s">
        <v>1950</v>
      </c>
      <c r="M756" s="36">
        <v>29964</v>
      </c>
      <c r="N756" s="53">
        <v>0</v>
      </c>
      <c r="O756" s="40">
        <v>0</v>
      </c>
      <c r="P756" s="35">
        <v>0</v>
      </c>
      <c r="Q756" s="35" t="s">
        <v>1950</v>
      </c>
      <c r="R756" s="53">
        <v>13</v>
      </c>
      <c r="S756" s="53">
        <v>0</v>
      </c>
    </row>
    <row r="757" spans="1:19" x14ac:dyDescent="0.3">
      <c r="A757" s="35" t="s">
        <v>1586</v>
      </c>
      <c r="B757" s="35" t="s">
        <v>14</v>
      </c>
      <c r="C757" s="35" t="s">
        <v>17</v>
      </c>
      <c r="D757" s="35">
        <v>270.89</v>
      </c>
      <c r="E757" s="39" t="s">
        <v>1950</v>
      </c>
      <c r="F757" s="37">
        <v>0</v>
      </c>
      <c r="G757" s="35" t="s">
        <v>1950</v>
      </c>
      <c r="H757" s="37">
        <v>0</v>
      </c>
      <c r="I757" s="37" t="s">
        <v>1950</v>
      </c>
      <c r="J757" s="35">
        <v>2003</v>
      </c>
      <c r="K757" s="35" t="s">
        <v>1950</v>
      </c>
      <c r="L757" s="35" t="s">
        <v>1950</v>
      </c>
      <c r="M757" s="36">
        <v>29964</v>
      </c>
      <c r="N757" s="53">
        <v>0</v>
      </c>
      <c r="O757" s="40">
        <v>0</v>
      </c>
      <c r="P757" s="35">
        <v>0</v>
      </c>
      <c r="Q757" s="35" t="s">
        <v>1950</v>
      </c>
      <c r="R757" s="53">
        <v>13</v>
      </c>
      <c r="S757" s="53">
        <v>0</v>
      </c>
    </row>
    <row r="758" spans="1:19" x14ac:dyDescent="0.3">
      <c r="A758" s="35" t="s">
        <v>1586</v>
      </c>
      <c r="B758" s="35" t="s">
        <v>12</v>
      </c>
      <c r="C758" s="35" t="s">
        <v>1775</v>
      </c>
      <c r="D758" s="35">
        <v>146.19999999999999</v>
      </c>
      <c r="E758" s="39" t="s">
        <v>1950</v>
      </c>
      <c r="F758" s="37">
        <v>0</v>
      </c>
      <c r="G758" s="35" t="s">
        <v>1950</v>
      </c>
      <c r="H758" s="37">
        <v>0</v>
      </c>
      <c r="I758" s="37" t="s">
        <v>1950</v>
      </c>
      <c r="J758" s="35">
        <v>1982</v>
      </c>
      <c r="K758" s="35" t="s">
        <v>25</v>
      </c>
      <c r="L758" s="35" t="s">
        <v>1601</v>
      </c>
      <c r="M758" s="36">
        <v>11256</v>
      </c>
      <c r="N758" s="53">
        <v>0</v>
      </c>
      <c r="O758" s="40">
        <v>0</v>
      </c>
      <c r="P758" s="35">
        <v>0</v>
      </c>
      <c r="Q758" s="35" t="s">
        <v>1950</v>
      </c>
      <c r="R758" s="53">
        <v>1</v>
      </c>
      <c r="S758" s="53">
        <v>0</v>
      </c>
    </row>
    <row r="759" spans="1:19" x14ac:dyDescent="0.3">
      <c r="A759" s="35" t="s">
        <v>1586</v>
      </c>
      <c r="B759" s="35" t="s">
        <v>8</v>
      </c>
      <c r="C759" s="35" t="s">
        <v>17</v>
      </c>
      <c r="D759" s="35">
        <v>154.94999999999999</v>
      </c>
      <c r="E759" s="39" t="s">
        <v>1950</v>
      </c>
      <c r="F759" s="37">
        <v>0</v>
      </c>
      <c r="G759" s="35" t="s">
        <v>1950</v>
      </c>
      <c r="H759" s="37">
        <v>0</v>
      </c>
      <c r="I759" s="37" t="s">
        <v>1950</v>
      </c>
      <c r="J759" s="35">
        <v>1991</v>
      </c>
      <c r="K759" s="35" t="s">
        <v>19</v>
      </c>
      <c r="L759" s="35" t="s">
        <v>1601</v>
      </c>
      <c r="M759" s="36">
        <v>16491</v>
      </c>
      <c r="N759" s="53">
        <v>0</v>
      </c>
      <c r="O759" s="40">
        <v>0</v>
      </c>
      <c r="P759" s="35">
        <v>0</v>
      </c>
      <c r="Q759" s="35" t="s">
        <v>1950</v>
      </c>
      <c r="R759" s="53">
        <v>3</v>
      </c>
      <c r="S759" s="53">
        <v>0</v>
      </c>
    </row>
    <row r="760" spans="1:19" x14ac:dyDescent="0.3">
      <c r="A760" s="35" t="s">
        <v>1586</v>
      </c>
      <c r="B760" s="35" t="s">
        <v>14</v>
      </c>
      <c r="C760" s="35" t="s">
        <v>17</v>
      </c>
      <c r="D760" s="35">
        <v>210.41</v>
      </c>
      <c r="E760" s="39" t="s">
        <v>1950</v>
      </c>
      <c r="F760" s="37">
        <v>0</v>
      </c>
      <c r="G760" s="35" t="s">
        <v>1950</v>
      </c>
      <c r="H760" s="37">
        <v>0</v>
      </c>
      <c r="I760" s="37" t="s">
        <v>1950</v>
      </c>
      <c r="J760" s="35">
        <v>1992</v>
      </c>
      <c r="K760" s="35" t="s">
        <v>1950</v>
      </c>
      <c r="L760" s="35" t="s">
        <v>1950</v>
      </c>
      <c r="M760" s="36">
        <v>16105</v>
      </c>
      <c r="N760" s="53">
        <v>0</v>
      </c>
      <c r="O760" s="40">
        <v>0</v>
      </c>
      <c r="P760" s="35">
        <v>0</v>
      </c>
      <c r="Q760" s="35" t="s">
        <v>1950</v>
      </c>
      <c r="R760" s="53">
        <v>9</v>
      </c>
      <c r="S760" s="53">
        <v>0</v>
      </c>
    </row>
    <row r="761" spans="1:19" x14ac:dyDescent="0.3">
      <c r="A761" s="35" t="s">
        <v>1586</v>
      </c>
      <c r="B761" s="35" t="s">
        <v>14</v>
      </c>
      <c r="C761" s="35" t="s">
        <v>17</v>
      </c>
      <c r="D761" s="35">
        <v>84.32</v>
      </c>
      <c r="E761" s="39" t="s">
        <v>1950</v>
      </c>
      <c r="F761" s="37">
        <v>0</v>
      </c>
      <c r="G761" s="35" t="s">
        <v>1950</v>
      </c>
      <c r="H761" s="37">
        <v>0</v>
      </c>
      <c r="I761" s="37" t="s">
        <v>1950</v>
      </c>
      <c r="J761" s="35">
        <v>2005</v>
      </c>
      <c r="K761" s="35" t="s">
        <v>19</v>
      </c>
      <c r="L761" s="35" t="s">
        <v>1601</v>
      </c>
      <c r="M761" s="36">
        <v>137488</v>
      </c>
      <c r="N761" s="53">
        <v>0</v>
      </c>
      <c r="O761" s="40">
        <v>0</v>
      </c>
      <c r="P761" s="35">
        <v>0</v>
      </c>
      <c r="Q761" s="35" t="s">
        <v>1950</v>
      </c>
      <c r="R761" s="53">
        <v>2</v>
      </c>
      <c r="S761" s="53">
        <v>0</v>
      </c>
    </row>
    <row r="762" spans="1:19" x14ac:dyDescent="0.3">
      <c r="A762" s="35" t="s">
        <v>1586</v>
      </c>
      <c r="B762" s="35" t="s">
        <v>29</v>
      </c>
      <c r="C762" s="35" t="s">
        <v>1775</v>
      </c>
      <c r="D762" s="35">
        <v>263.54000000000002</v>
      </c>
      <c r="E762" s="39" t="s">
        <v>1950</v>
      </c>
      <c r="F762" s="37">
        <v>0</v>
      </c>
      <c r="G762" s="35" t="s">
        <v>1950</v>
      </c>
      <c r="H762" s="37">
        <v>0</v>
      </c>
      <c r="I762" s="37" t="s">
        <v>1950</v>
      </c>
      <c r="J762" s="35">
        <v>2011</v>
      </c>
      <c r="K762" s="35" t="s">
        <v>19</v>
      </c>
      <c r="L762" s="35" t="s">
        <v>1601</v>
      </c>
      <c r="M762" s="36">
        <v>6407</v>
      </c>
      <c r="N762" s="53">
        <v>0</v>
      </c>
      <c r="O762" s="40">
        <v>0</v>
      </c>
      <c r="P762" s="35">
        <v>0</v>
      </c>
      <c r="Q762" s="35" t="s">
        <v>1950</v>
      </c>
      <c r="R762" s="53">
        <v>5</v>
      </c>
      <c r="S762" s="53">
        <v>0</v>
      </c>
    </row>
    <row r="763" spans="1:19" x14ac:dyDescent="0.3">
      <c r="A763" s="35" t="s">
        <v>1586</v>
      </c>
      <c r="B763" s="35" t="s">
        <v>14</v>
      </c>
      <c r="C763" s="35" t="s">
        <v>17</v>
      </c>
      <c r="D763" s="35">
        <v>142.08000000000001</v>
      </c>
      <c r="E763" s="39" t="s">
        <v>1950</v>
      </c>
      <c r="F763" s="37">
        <v>0</v>
      </c>
      <c r="G763" s="35" t="s">
        <v>1950</v>
      </c>
      <c r="H763" s="37">
        <v>0</v>
      </c>
      <c r="I763" s="37" t="s">
        <v>1950</v>
      </c>
      <c r="J763" s="35">
        <v>2010</v>
      </c>
      <c r="K763" s="35" t="s">
        <v>19</v>
      </c>
      <c r="L763" s="35" t="s">
        <v>1601</v>
      </c>
      <c r="M763" s="36">
        <v>312724</v>
      </c>
      <c r="N763" s="53">
        <v>0</v>
      </c>
      <c r="O763" s="40">
        <v>0</v>
      </c>
      <c r="P763" s="35">
        <v>0</v>
      </c>
      <c r="Q763" s="35" t="s">
        <v>1950</v>
      </c>
      <c r="R763" s="53">
        <v>8</v>
      </c>
      <c r="S763" s="53">
        <v>0</v>
      </c>
    </row>
    <row r="764" spans="1:19" x14ac:dyDescent="0.3">
      <c r="A764" s="35" t="s">
        <v>1586</v>
      </c>
      <c r="B764" s="35" t="s">
        <v>12</v>
      </c>
      <c r="C764" s="35" t="s">
        <v>17</v>
      </c>
      <c r="D764" s="35">
        <v>183.8</v>
      </c>
      <c r="E764" s="39" t="s">
        <v>1950</v>
      </c>
      <c r="F764" s="37">
        <v>0</v>
      </c>
      <c r="G764" s="35" t="s">
        <v>1950</v>
      </c>
      <c r="H764" s="37">
        <v>0</v>
      </c>
      <c r="I764" s="37" t="s">
        <v>1950</v>
      </c>
      <c r="J764" s="35">
        <v>1973</v>
      </c>
      <c r="K764" s="35" t="s">
        <v>1950</v>
      </c>
      <c r="L764" s="35" t="s">
        <v>1950</v>
      </c>
      <c r="M764" s="36">
        <v>23076</v>
      </c>
      <c r="N764" s="53">
        <v>0</v>
      </c>
      <c r="O764" s="40">
        <v>0</v>
      </c>
      <c r="P764" s="35">
        <v>0</v>
      </c>
      <c r="Q764" s="35" t="s">
        <v>1950</v>
      </c>
      <c r="R764" s="53">
        <v>0</v>
      </c>
      <c r="S764" s="53">
        <v>0</v>
      </c>
    </row>
    <row r="765" spans="1:19" x14ac:dyDescent="0.3">
      <c r="A765" s="35" t="s">
        <v>1586</v>
      </c>
      <c r="B765" s="35" t="s">
        <v>29</v>
      </c>
      <c r="C765" s="35" t="s">
        <v>2662</v>
      </c>
      <c r="D765" s="35">
        <v>242.21</v>
      </c>
      <c r="E765" s="39" t="s">
        <v>1950</v>
      </c>
      <c r="F765" s="37">
        <v>0</v>
      </c>
      <c r="G765" s="35" t="s">
        <v>1950</v>
      </c>
      <c r="H765" s="37">
        <v>0</v>
      </c>
      <c r="I765" s="37" t="s">
        <v>1950</v>
      </c>
      <c r="J765" s="35">
        <v>2010</v>
      </c>
      <c r="K765" s="35" t="s">
        <v>1950</v>
      </c>
      <c r="L765" s="35" t="s">
        <v>1950</v>
      </c>
      <c r="M765" s="36">
        <v>11938</v>
      </c>
      <c r="N765" s="53">
        <v>0</v>
      </c>
      <c r="O765" s="40">
        <v>0</v>
      </c>
      <c r="P765" s="35">
        <v>0</v>
      </c>
      <c r="Q765" s="35" t="s">
        <v>1950</v>
      </c>
      <c r="R765" s="53">
        <v>1</v>
      </c>
      <c r="S765" s="53">
        <v>0</v>
      </c>
    </row>
    <row r="766" spans="1:19" x14ac:dyDescent="0.3">
      <c r="A766" s="35" t="s">
        <v>1586</v>
      </c>
      <c r="B766" s="35" t="s">
        <v>12</v>
      </c>
      <c r="C766" s="35" t="s">
        <v>17</v>
      </c>
      <c r="D766" s="35">
        <v>301.02999999999997</v>
      </c>
      <c r="E766" s="39" t="s">
        <v>1950</v>
      </c>
      <c r="F766" s="37">
        <v>0</v>
      </c>
      <c r="G766" s="35" t="s">
        <v>1950</v>
      </c>
      <c r="H766" s="37">
        <v>0</v>
      </c>
      <c r="I766" s="37" t="s">
        <v>1950</v>
      </c>
      <c r="J766" s="35">
        <v>1986</v>
      </c>
      <c r="K766" s="35" t="s">
        <v>1950</v>
      </c>
      <c r="L766" s="35" t="s">
        <v>1950</v>
      </c>
      <c r="M766" s="36">
        <v>40064</v>
      </c>
      <c r="N766" s="53">
        <v>0</v>
      </c>
      <c r="O766" s="40">
        <v>0</v>
      </c>
      <c r="P766" s="35">
        <v>0</v>
      </c>
      <c r="Q766" s="35" t="s">
        <v>1950</v>
      </c>
      <c r="R766" s="53">
        <v>16</v>
      </c>
      <c r="S766" s="53">
        <v>0</v>
      </c>
    </row>
    <row r="767" spans="1:19" x14ac:dyDescent="0.3">
      <c r="A767" s="35" t="s">
        <v>1586</v>
      </c>
      <c r="B767" s="35" t="s">
        <v>29</v>
      </c>
      <c r="C767" s="35" t="s">
        <v>1775</v>
      </c>
      <c r="D767" s="35">
        <v>147.88999999999999</v>
      </c>
      <c r="E767" s="39" t="s">
        <v>1950</v>
      </c>
      <c r="F767" s="37">
        <v>0</v>
      </c>
      <c r="G767" s="35" t="s">
        <v>1950</v>
      </c>
      <c r="H767" s="37">
        <v>0</v>
      </c>
      <c r="I767" s="37" t="s">
        <v>1950</v>
      </c>
      <c r="J767" s="35">
        <v>1988</v>
      </c>
      <c r="K767" s="35" t="s">
        <v>1950</v>
      </c>
      <c r="L767" s="35" t="s">
        <v>1950</v>
      </c>
      <c r="M767" s="36">
        <v>7141</v>
      </c>
      <c r="N767" s="53">
        <v>0</v>
      </c>
      <c r="O767" s="40">
        <v>0</v>
      </c>
      <c r="P767" s="35">
        <v>0</v>
      </c>
      <c r="Q767" s="35" t="s">
        <v>1950</v>
      </c>
      <c r="R767" s="53">
        <v>2</v>
      </c>
      <c r="S767" s="53">
        <v>0</v>
      </c>
    </row>
    <row r="768" spans="1:19" x14ac:dyDescent="0.3">
      <c r="A768" s="35" t="s">
        <v>1586</v>
      </c>
      <c r="B768" s="35" t="s">
        <v>8</v>
      </c>
      <c r="C768" s="35" t="s">
        <v>17</v>
      </c>
      <c r="D768" s="35">
        <v>344.66</v>
      </c>
      <c r="E768" s="39" t="s">
        <v>1950</v>
      </c>
      <c r="F768" s="37">
        <v>0</v>
      </c>
      <c r="G768" s="35" t="s">
        <v>1950</v>
      </c>
      <c r="H768" s="37">
        <v>0</v>
      </c>
      <c r="I768" s="37" t="s">
        <v>1950</v>
      </c>
      <c r="J768" s="35">
        <v>1985</v>
      </c>
      <c r="K768" s="35" t="s">
        <v>1950</v>
      </c>
      <c r="L768" s="35" t="s">
        <v>1950</v>
      </c>
      <c r="M768" s="36">
        <v>24639</v>
      </c>
      <c r="N768" s="53">
        <v>0</v>
      </c>
      <c r="O768" s="40">
        <v>0</v>
      </c>
      <c r="P768" s="35">
        <v>0</v>
      </c>
      <c r="Q768" s="35" t="s">
        <v>1950</v>
      </c>
      <c r="R768" s="53">
        <v>11</v>
      </c>
      <c r="S768" s="53">
        <v>0</v>
      </c>
    </row>
    <row r="769" spans="1:19" x14ac:dyDescent="0.3">
      <c r="A769" s="35" t="s">
        <v>1586</v>
      </c>
      <c r="B769" s="35" t="s">
        <v>12</v>
      </c>
      <c r="C769" s="35" t="s">
        <v>1775</v>
      </c>
      <c r="D769" s="35">
        <v>298.91000000000003</v>
      </c>
      <c r="E769" s="39" t="s">
        <v>1950</v>
      </c>
      <c r="F769" s="37">
        <v>0</v>
      </c>
      <c r="G769" s="35" t="s">
        <v>1950</v>
      </c>
      <c r="H769" s="37">
        <v>0</v>
      </c>
      <c r="I769" s="37" t="s">
        <v>1950</v>
      </c>
      <c r="J769" s="35">
        <v>1974</v>
      </c>
      <c r="K769" s="35" t="s">
        <v>1950</v>
      </c>
      <c r="L769" s="35" t="s">
        <v>1950</v>
      </c>
      <c r="M769" s="36">
        <v>12977</v>
      </c>
      <c r="N769" s="53">
        <v>0</v>
      </c>
      <c r="O769" s="40">
        <v>0</v>
      </c>
      <c r="P769" s="35">
        <v>0</v>
      </c>
      <c r="Q769" s="35" t="s">
        <v>1950</v>
      </c>
      <c r="R769" s="53">
        <v>22</v>
      </c>
      <c r="S769" s="53">
        <v>0</v>
      </c>
    </row>
    <row r="770" spans="1:19" x14ac:dyDescent="0.3">
      <c r="A770" s="35" t="s">
        <v>1586</v>
      </c>
      <c r="B770" s="35" t="s">
        <v>12</v>
      </c>
      <c r="C770" s="35" t="s">
        <v>17</v>
      </c>
      <c r="D770" s="35">
        <v>190.04</v>
      </c>
      <c r="E770" s="39" t="s">
        <v>1950</v>
      </c>
      <c r="F770" s="37">
        <v>0</v>
      </c>
      <c r="G770" s="35" t="s">
        <v>1950</v>
      </c>
      <c r="H770" s="37">
        <v>0</v>
      </c>
      <c r="I770" s="37" t="s">
        <v>1950</v>
      </c>
      <c r="J770" s="35">
        <v>1983</v>
      </c>
      <c r="K770" s="35" t="s">
        <v>1950</v>
      </c>
      <c r="L770" s="35" t="s">
        <v>1950</v>
      </c>
      <c r="M770" s="36">
        <v>16747</v>
      </c>
      <c r="N770" s="53">
        <v>0</v>
      </c>
      <c r="O770" s="40">
        <v>0</v>
      </c>
      <c r="P770" s="35">
        <v>0</v>
      </c>
      <c r="Q770" s="35" t="s">
        <v>1950</v>
      </c>
      <c r="R770" s="53">
        <v>1</v>
      </c>
      <c r="S770" s="53">
        <v>0</v>
      </c>
    </row>
    <row r="771" spans="1:19" x14ac:dyDescent="0.3">
      <c r="A771" s="35" t="s">
        <v>1586</v>
      </c>
      <c r="B771" s="35" t="s">
        <v>14</v>
      </c>
      <c r="C771" s="35" t="s">
        <v>17</v>
      </c>
      <c r="D771" s="35">
        <v>195.63</v>
      </c>
      <c r="E771" s="39" t="s">
        <v>1950</v>
      </c>
      <c r="F771" s="37">
        <v>0</v>
      </c>
      <c r="G771" s="35" t="s">
        <v>1950</v>
      </c>
      <c r="H771" s="37">
        <v>0</v>
      </c>
      <c r="I771" s="37" t="s">
        <v>1950</v>
      </c>
      <c r="J771" s="35">
        <v>1979</v>
      </c>
      <c r="K771" s="35" t="s">
        <v>1950</v>
      </c>
      <c r="L771" s="35" t="s">
        <v>1950</v>
      </c>
      <c r="M771" s="36">
        <v>36800</v>
      </c>
      <c r="N771" s="53">
        <v>0</v>
      </c>
      <c r="O771" s="40">
        <v>0</v>
      </c>
      <c r="P771" s="35">
        <v>0</v>
      </c>
      <c r="Q771" s="35" t="s">
        <v>1950</v>
      </c>
      <c r="R771" s="53">
        <v>12</v>
      </c>
      <c r="S771" s="53">
        <v>0</v>
      </c>
    </row>
    <row r="772" spans="1:19" x14ac:dyDescent="0.3">
      <c r="A772" s="35" t="s">
        <v>1586</v>
      </c>
      <c r="B772" s="35" t="s">
        <v>8</v>
      </c>
      <c r="C772" s="35" t="s">
        <v>1775</v>
      </c>
      <c r="D772" s="35">
        <v>192.13</v>
      </c>
      <c r="E772" s="39" t="s">
        <v>1950</v>
      </c>
      <c r="F772" s="37">
        <v>0</v>
      </c>
      <c r="G772" s="35" t="s">
        <v>1950</v>
      </c>
      <c r="H772" s="37">
        <v>0</v>
      </c>
      <c r="I772" s="37" t="s">
        <v>1950</v>
      </c>
      <c r="J772" s="35">
        <v>1968</v>
      </c>
      <c r="K772" s="35" t="s">
        <v>1950</v>
      </c>
      <c r="L772" s="35" t="s">
        <v>1950</v>
      </c>
      <c r="M772" s="36">
        <v>6508</v>
      </c>
      <c r="N772" s="53">
        <v>0</v>
      </c>
      <c r="O772" s="40">
        <v>0</v>
      </c>
      <c r="P772" s="35">
        <v>0</v>
      </c>
      <c r="Q772" s="35" t="s">
        <v>1950</v>
      </c>
      <c r="R772" s="53">
        <v>4</v>
      </c>
      <c r="S772" s="53">
        <v>0</v>
      </c>
    </row>
    <row r="773" spans="1:19" x14ac:dyDescent="0.3">
      <c r="A773" s="35" t="s">
        <v>1586</v>
      </c>
      <c r="B773" s="35" t="s">
        <v>14</v>
      </c>
      <c r="C773" s="35" t="s">
        <v>1775</v>
      </c>
      <c r="D773" s="35">
        <v>1056.82</v>
      </c>
      <c r="E773" s="39" t="s">
        <v>1950</v>
      </c>
      <c r="F773" s="37">
        <v>0</v>
      </c>
      <c r="G773" s="35" t="s">
        <v>1950</v>
      </c>
      <c r="H773" s="37">
        <v>0</v>
      </c>
      <c r="I773" s="37" t="s">
        <v>1950</v>
      </c>
      <c r="J773" s="35">
        <v>1995</v>
      </c>
      <c r="K773" s="35" t="s">
        <v>1950</v>
      </c>
      <c r="L773" s="35" t="s">
        <v>1950</v>
      </c>
      <c r="M773" s="36">
        <v>8288</v>
      </c>
      <c r="N773" s="53">
        <v>0</v>
      </c>
      <c r="O773" s="40">
        <v>0</v>
      </c>
      <c r="P773" s="35">
        <v>0</v>
      </c>
      <c r="Q773" s="35" t="s">
        <v>1950</v>
      </c>
      <c r="R773" s="53">
        <v>4</v>
      </c>
      <c r="S773" s="53">
        <v>0</v>
      </c>
    </row>
    <row r="774" spans="1:19" x14ac:dyDescent="0.3">
      <c r="A774" s="35" t="s">
        <v>1586</v>
      </c>
      <c r="B774" s="35" t="s">
        <v>14</v>
      </c>
      <c r="C774" s="35" t="s">
        <v>2662</v>
      </c>
      <c r="D774" s="35">
        <v>154.16999999999999</v>
      </c>
      <c r="E774" s="39" t="s">
        <v>1950</v>
      </c>
      <c r="F774" s="37">
        <v>0</v>
      </c>
      <c r="G774" s="35" t="s">
        <v>1950</v>
      </c>
      <c r="H774" s="37">
        <v>0</v>
      </c>
      <c r="I774" s="37" t="s">
        <v>1950</v>
      </c>
      <c r="J774" s="35">
        <v>2009</v>
      </c>
      <c r="K774" s="35" t="s">
        <v>19</v>
      </c>
      <c r="L774" s="35" t="s">
        <v>1601</v>
      </c>
      <c r="M774" s="36">
        <v>383052</v>
      </c>
      <c r="N774" s="53">
        <v>0</v>
      </c>
      <c r="O774" s="40">
        <v>0</v>
      </c>
      <c r="P774" s="35">
        <v>0</v>
      </c>
      <c r="Q774" s="35" t="s">
        <v>1950</v>
      </c>
      <c r="R774" s="53">
        <v>11</v>
      </c>
      <c r="S774" s="53">
        <v>0</v>
      </c>
    </row>
    <row r="775" spans="1:19" x14ac:dyDescent="0.3">
      <c r="A775" s="35" t="s">
        <v>1586</v>
      </c>
      <c r="B775" s="35" t="s">
        <v>14</v>
      </c>
      <c r="C775" s="35" t="s">
        <v>17</v>
      </c>
      <c r="D775" s="35">
        <v>495.97</v>
      </c>
      <c r="E775" s="39" t="s">
        <v>1950</v>
      </c>
      <c r="F775" s="37">
        <v>0</v>
      </c>
      <c r="G775" s="35" t="s">
        <v>1950</v>
      </c>
      <c r="H775" s="37">
        <v>0</v>
      </c>
      <c r="I775" s="37" t="s">
        <v>1950</v>
      </c>
      <c r="J775" s="35">
        <v>2007</v>
      </c>
      <c r="K775" s="35" t="s">
        <v>19</v>
      </c>
      <c r="L775" s="35" t="s">
        <v>1606</v>
      </c>
      <c r="M775" s="36">
        <v>20619</v>
      </c>
      <c r="N775" s="53">
        <v>0</v>
      </c>
      <c r="O775" s="40">
        <v>0</v>
      </c>
      <c r="P775" s="35">
        <v>0</v>
      </c>
      <c r="Q775" s="35" t="s">
        <v>1950</v>
      </c>
      <c r="R775" s="53">
        <v>10</v>
      </c>
      <c r="S775" s="53">
        <v>0</v>
      </c>
    </row>
    <row r="776" spans="1:19" x14ac:dyDescent="0.3">
      <c r="A776" s="35" t="s">
        <v>1586</v>
      </c>
      <c r="B776" s="35" t="s">
        <v>29</v>
      </c>
      <c r="C776" s="35" t="s">
        <v>1775</v>
      </c>
      <c r="D776" s="35">
        <v>305.93</v>
      </c>
      <c r="E776" s="39" t="s">
        <v>1950</v>
      </c>
      <c r="F776" s="37">
        <v>0</v>
      </c>
      <c r="G776" s="35" t="s">
        <v>1950</v>
      </c>
      <c r="H776" s="37">
        <v>0</v>
      </c>
      <c r="I776" s="37" t="s">
        <v>1950</v>
      </c>
      <c r="J776" s="35">
        <v>2011</v>
      </c>
      <c r="K776" s="35" t="s">
        <v>1950</v>
      </c>
      <c r="L776" s="35" t="s">
        <v>1950</v>
      </c>
      <c r="M776" s="36">
        <v>10453</v>
      </c>
      <c r="N776" s="53">
        <v>0</v>
      </c>
      <c r="O776" s="40">
        <v>0</v>
      </c>
      <c r="P776" s="35">
        <v>0</v>
      </c>
      <c r="Q776" s="35" t="s">
        <v>1950</v>
      </c>
      <c r="R776" s="53">
        <v>7</v>
      </c>
      <c r="S776" s="53">
        <v>0</v>
      </c>
    </row>
    <row r="777" spans="1:19" x14ac:dyDescent="0.3">
      <c r="A777" s="35" t="s">
        <v>1586</v>
      </c>
      <c r="B777" s="35" t="s">
        <v>12</v>
      </c>
      <c r="C777" s="35" t="s">
        <v>1775</v>
      </c>
      <c r="D777" s="35">
        <v>365.78</v>
      </c>
      <c r="E777" s="39" t="s">
        <v>1950</v>
      </c>
      <c r="F777" s="37">
        <v>0</v>
      </c>
      <c r="G777" s="35" t="s">
        <v>1950</v>
      </c>
      <c r="H777" s="37">
        <v>0</v>
      </c>
      <c r="I777" s="37" t="s">
        <v>1950</v>
      </c>
      <c r="J777" s="35">
        <v>2011</v>
      </c>
      <c r="K777" s="35" t="s">
        <v>1950</v>
      </c>
      <c r="L777" s="35" t="s">
        <v>1950</v>
      </c>
      <c r="M777" s="36">
        <v>5096</v>
      </c>
      <c r="N777" s="53">
        <v>0</v>
      </c>
      <c r="O777" s="40">
        <v>0</v>
      </c>
      <c r="P777" s="35">
        <v>0</v>
      </c>
      <c r="Q777" s="35" t="s">
        <v>1950</v>
      </c>
      <c r="R777" s="53">
        <v>6</v>
      </c>
      <c r="S777" s="53">
        <v>0</v>
      </c>
    </row>
    <row r="778" spans="1:19" x14ac:dyDescent="0.3">
      <c r="A778" s="35" t="s">
        <v>1586</v>
      </c>
      <c r="B778" s="35" t="s">
        <v>12</v>
      </c>
      <c r="C778" s="35" t="s">
        <v>1775</v>
      </c>
      <c r="D778" s="35">
        <v>249.76</v>
      </c>
      <c r="E778" s="39" t="s">
        <v>1950</v>
      </c>
      <c r="F778" s="37">
        <v>0</v>
      </c>
      <c r="G778" s="35" t="s">
        <v>1950</v>
      </c>
      <c r="H778" s="37">
        <v>0</v>
      </c>
      <c r="I778" s="37" t="s">
        <v>1950</v>
      </c>
      <c r="J778" s="35">
        <v>2016</v>
      </c>
      <c r="K778" s="35" t="s">
        <v>19</v>
      </c>
      <c r="L778" s="35" t="s">
        <v>1598</v>
      </c>
      <c r="M778" s="36">
        <v>7564</v>
      </c>
      <c r="N778" s="53">
        <v>0</v>
      </c>
      <c r="O778" s="40">
        <v>0</v>
      </c>
      <c r="P778" s="35">
        <v>0</v>
      </c>
      <c r="Q778" s="35" t="s">
        <v>1950</v>
      </c>
      <c r="R778" s="53">
        <v>1</v>
      </c>
      <c r="S778" s="53">
        <v>0</v>
      </c>
    </row>
    <row r="779" spans="1:19" x14ac:dyDescent="0.3">
      <c r="A779" s="35" t="s">
        <v>1586</v>
      </c>
      <c r="B779" s="35" t="s">
        <v>29</v>
      </c>
      <c r="C779" s="35" t="s">
        <v>17</v>
      </c>
      <c r="D779" s="35">
        <v>79.56</v>
      </c>
      <c r="E779" s="39" t="s">
        <v>1950</v>
      </c>
      <c r="F779" s="37">
        <v>0</v>
      </c>
      <c r="G779" s="35" t="s">
        <v>1950</v>
      </c>
      <c r="H779" s="37">
        <v>0</v>
      </c>
      <c r="I779" s="37" t="s">
        <v>1950</v>
      </c>
      <c r="J779" s="35">
        <v>1972</v>
      </c>
      <c r="K779" s="35" t="s">
        <v>21</v>
      </c>
      <c r="L779" s="35" t="s">
        <v>1601</v>
      </c>
      <c r="M779" s="36">
        <v>21466</v>
      </c>
      <c r="N779" s="53">
        <v>0</v>
      </c>
      <c r="O779" s="40">
        <v>0</v>
      </c>
      <c r="P779" s="35">
        <v>0</v>
      </c>
      <c r="Q779" s="35" t="s">
        <v>1950</v>
      </c>
      <c r="R779" s="53">
        <v>1</v>
      </c>
      <c r="S779" s="53">
        <v>0</v>
      </c>
    </row>
    <row r="780" spans="1:19" x14ac:dyDescent="0.3">
      <c r="A780" s="35" t="s">
        <v>1586</v>
      </c>
      <c r="B780" s="35" t="s">
        <v>14</v>
      </c>
      <c r="C780" s="35" t="s">
        <v>17</v>
      </c>
      <c r="D780" s="35">
        <v>175.83</v>
      </c>
      <c r="E780" s="39" t="s">
        <v>1950</v>
      </c>
      <c r="F780" s="37">
        <v>0</v>
      </c>
      <c r="G780" s="35" t="s">
        <v>1950</v>
      </c>
      <c r="H780" s="37">
        <v>0</v>
      </c>
      <c r="I780" s="37" t="s">
        <v>1950</v>
      </c>
      <c r="J780" s="35">
        <v>1985</v>
      </c>
      <c r="K780" s="35" t="s">
        <v>25</v>
      </c>
      <c r="L780" s="35" t="s">
        <v>1601</v>
      </c>
      <c r="M780" s="36">
        <v>17034</v>
      </c>
      <c r="N780" s="53">
        <v>0</v>
      </c>
      <c r="O780" s="40">
        <v>0</v>
      </c>
      <c r="P780" s="35">
        <v>0</v>
      </c>
      <c r="Q780" s="35" t="s">
        <v>1950</v>
      </c>
      <c r="R780" s="53">
        <v>4</v>
      </c>
      <c r="S780" s="53">
        <v>0</v>
      </c>
    </row>
    <row r="781" spans="1:19" x14ac:dyDescent="0.3">
      <c r="A781" s="35" t="s">
        <v>1586</v>
      </c>
      <c r="B781" s="35" t="s">
        <v>14</v>
      </c>
      <c r="C781" s="35" t="s">
        <v>1775</v>
      </c>
      <c r="D781" s="35">
        <v>101.58</v>
      </c>
      <c r="E781" s="39" t="s">
        <v>1950</v>
      </c>
      <c r="F781" s="37">
        <v>0</v>
      </c>
      <c r="G781" s="35" t="s">
        <v>1950</v>
      </c>
      <c r="H781" s="37">
        <v>0</v>
      </c>
      <c r="I781" s="37" t="s">
        <v>1950</v>
      </c>
      <c r="J781" s="35">
        <v>1983</v>
      </c>
      <c r="K781" s="35" t="s">
        <v>1950</v>
      </c>
      <c r="L781" s="35" t="s">
        <v>1950</v>
      </c>
      <c r="M781" s="36">
        <v>5985</v>
      </c>
      <c r="N781" s="53">
        <v>0</v>
      </c>
      <c r="O781" s="40">
        <v>0</v>
      </c>
      <c r="P781" s="35">
        <v>0</v>
      </c>
      <c r="Q781" s="35" t="s">
        <v>1950</v>
      </c>
      <c r="R781" s="53">
        <v>6</v>
      </c>
      <c r="S781" s="53">
        <v>0</v>
      </c>
    </row>
    <row r="782" spans="1:19" x14ac:dyDescent="0.3">
      <c r="A782" s="35" t="s">
        <v>1586</v>
      </c>
      <c r="B782" s="35" t="s">
        <v>14</v>
      </c>
      <c r="C782" s="35" t="s">
        <v>17</v>
      </c>
      <c r="D782" s="35">
        <v>117.23</v>
      </c>
      <c r="E782" s="39" t="s">
        <v>1950</v>
      </c>
      <c r="F782" s="37">
        <v>0</v>
      </c>
      <c r="G782" s="35" t="s">
        <v>1950</v>
      </c>
      <c r="H782" s="37">
        <v>0</v>
      </c>
      <c r="I782" s="37" t="s">
        <v>1950</v>
      </c>
      <c r="J782" s="35">
        <v>1991</v>
      </c>
      <c r="K782" s="35" t="s">
        <v>19</v>
      </c>
      <c r="L782" s="35" t="s">
        <v>1601</v>
      </c>
      <c r="M782" s="36">
        <v>21055</v>
      </c>
      <c r="N782" s="53">
        <v>0</v>
      </c>
      <c r="O782" s="40">
        <v>0</v>
      </c>
      <c r="P782" s="35">
        <v>0</v>
      </c>
      <c r="Q782" s="35" t="s">
        <v>1950</v>
      </c>
      <c r="R782" s="53">
        <v>4</v>
      </c>
      <c r="S782" s="53">
        <v>0</v>
      </c>
    </row>
    <row r="783" spans="1:19" x14ac:dyDescent="0.3">
      <c r="A783" s="35" t="s">
        <v>1586</v>
      </c>
      <c r="B783" s="35" t="s">
        <v>14</v>
      </c>
      <c r="C783" s="35" t="s">
        <v>17</v>
      </c>
      <c r="D783" s="35">
        <v>167.74</v>
      </c>
      <c r="E783" s="39" t="s">
        <v>1950</v>
      </c>
      <c r="F783" s="37">
        <v>0</v>
      </c>
      <c r="G783" s="35" t="s">
        <v>1950</v>
      </c>
      <c r="H783" s="37">
        <v>0</v>
      </c>
      <c r="I783" s="37" t="s">
        <v>1950</v>
      </c>
      <c r="J783" s="35">
        <v>1997</v>
      </c>
      <c r="K783" s="35" t="s">
        <v>21</v>
      </c>
      <c r="L783" s="35" t="s">
        <v>1601</v>
      </c>
      <c r="M783" s="36">
        <v>18451</v>
      </c>
      <c r="N783" s="53">
        <v>0</v>
      </c>
      <c r="O783" s="40">
        <v>0</v>
      </c>
      <c r="P783" s="35">
        <v>0</v>
      </c>
      <c r="Q783" s="35" t="s">
        <v>1950</v>
      </c>
      <c r="R783" s="53">
        <v>7</v>
      </c>
      <c r="S783" s="53">
        <v>0</v>
      </c>
    </row>
    <row r="784" spans="1:19" x14ac:dyDescent="0.3">
      <c r="A784" s="35" t="s">
        <v>1586</v>
      </c>
      <c r="B784" s="35" t="s">
        <v>14</v>
      </c>
      <c r="C784" s="35" t="s">
        <v>1775</v>
      </c>
      <c r="D784" s="35">
        <v>182.81</v>
      </c>
      <c r="E784" s="39" t="s">
        <v>1950</v>
      </c>
      <c r="F784" s="37">
        <v>0</v>
      </c>
      <c r="G784" s="35" t="s">
        <v>1950</v>
      </c>
      <c r="H784" s="37">
        <v>0</v>
      </c>
      <c r="I784" s="37" t="s">
        <v>1950</v>
      </c>
      <c r="J784" s="35">
        <v>1975</v>
      </c>
      <c r="K784" s="35" t="s">
        <v>1950</v>
      </c>
      <c r="L784" s="35" t="s">
        <v>1950</v>
      </c>
      <c r="M784" s="36">
        <v>7811</v>
      </c>
      <c r="N784" s="53">
        <v>0</v>
      </c>
      <c r="O784" s="40">
        <v>0</v>
      </c>
      <c r="P784" s="35">
        <v>0</v>
      </c>
      <c r="Q784" s="35" t="s">
        <v>1950</v>
      </c>
      <c r="R784" s="53">
        <v>20</v>
      </c>
      <c r="S784" s="53">
        <v>0</v>
      </c>
    </row>
    <row r="785" spans="1:19" x14ac:dyDescent="0.3">
      <c r="A785" s="35" t="s">
        <v>1586</v>
      </c>
      <c r="B785" s="35" t="s">
        <v>29</v>
      </c>
      <c r="C785" s="35" t="s">
        <v>1775</v>
      </c>
      <c r="D785" s="35">
        <v>242.77</v>
      </c>
      <c r="E785" s="39" t="s">
        <v>1950</v>
      </c>
      <c r="F785" s="37">
        <v>0</v>
      </c>
      <c r="G785" s="35" t="s">
        <v>1950</v>
      </c>
      <c r="H785" s="37">
        <v>0</v>
      </c>
      <c r="I785" s="37" t="s">
        <v>1950</v>
      </c>
      <c r="J785" s="35">
        <v>2010</v>
      </c>
      <c r="K785" s="35" t="s">
        <v>1950</v>
      </c>
      <c r="L785" s="35" t="s">
        <v>1950</v>
      </c>
      <c r="M785" s="36">
        <v>11050</v>
      </c>
      <c r="N785" s="53">
        <v>0</v>
      </c>
      <c r="O785" s="40">
        <v>0</v>
      </c>
      <c r="P785" s="35">
        <v>0</v>
      </c>
      <c r="Q785" s="35" t="s">
        <v>1950</v>
      </c>
      <c r="R785" s="53">
        <v>6</v>
      </c>
      <c r="S785" s="53">
        <v>0</v>
      </c>
    </row>
    <row r="786" spans="1:19" x14ac:dyDescent="0.3">
      <c r="A786" s="35" t="s">
        <v>1586</v>
      </c>
      <c r="B786" s="35" t="s">
        <v>29</v>
      </c>
      <c r="C786" s="35" t="s">
        <v>17</v>
      </c>
      <c r="D786" s="35">
        <v>154.19</v>
      </c>
      <c r="E786" s="39" t="s">
        <v>1950</v>
      </c>
      <c r="F786" s="37">
        <v>0</v>
      </c>
      <c r="G786" s="35" t="s">
        <v>1950</v>
      </c>
      <c r="H786" s="37">
        <v>0</v>
      </c>
      <c r="I786" s="37" t="s">
        <v>1950</v>
      </c>
      <c r="J786" s="35">
        <v>1995</v>
      </c>
      <c r="K786" s="35" t="s">
        <v>19</v>
      </c>
      <c r="L786" s="35" t="s">
        <v>1598</v>
      </c>
      <c r="M786" s="36">
        <v>20348</v>
      </c>
      <c r="N786" s="53">
        <v>0</v>
      </c>
      <c r="O786" s="40">
        <v>0</v>
      </c>
      <c r="P786" s="35">
        <v>0</v>
      </c>
      <c r="Q786" s="35" t="s">
        <v>1950</v>
      </c>
      <c r="R786" s="53">
        <v>1</v>
      </c>
      <c r="S786" s="53">
        <v>0</v>
      </c>
    </row>
    <row r="787" spans="1:19" x14ac:dyDescent="0.3">
      <c r="A787" s="35" t="s">
        <v>1586</v>
      </c>
      <c r="B787" s="35" t="s">
        <v>29</v>
      </c>
      <c r="C787" s="35" t="s">
        <v>17</v>
      </c>
      <c r="D787" s="35">
        <v>273.02999999999997</v>
      </c>
      <c r="E787" s="39" t="s">
        <v>1950</v>
      </c>
      <c r="F787" s="37">
        <v>0</v>
      </c>
      <c r="G787" s="35" t="s">
        <v>1950</v>
      </c>
      <c r="H787" s="37">
        <v>0</v>
      </c>
      <c r="I787" s="37" t="s">
        <v>1950</v>
      </c>
      <c r="J787" s="35">
        <v>2008</v>
      </c>
      <c r="K787" s="35" t="s">
        <v>1950</v>
      </c>
      <c r="L787" s="35" t="s">
        <v>1950</v>
      </c>
      <c r="M787" s="36">
        <v>42461</v>
      </c>
      <c r="N787" s="53">
        <v>0</v>
      </c>
      <c r="O787" s="40">
        <v>0</v>
      </c>
      <c r="P787" s="35">
        <v>0</v>
      </c>
      <c r="Q787" s="35" t="s">
        <v>1950</v>
      </c>
      <c r="R787" s="53">
        <v>10</v>
      </c>
      <c r="S787" s="53">
        <v>0</v>
      </c>
    </row>
    <row r="788" spans="1:19" x14ac:dyDescent="0.3">
      <c r="A788" s="35" t="s">
        <v>1586</v>
      </c>
      <c r="B788" s="35" t="s">
        <v>14</v>
      </c>
      <c r="C788" s="35" t="s">
        <v>1775</v>
      </c>
      <c r="D788" s="35">
        <v>133.9</v>
      </c>
      <c r="E788" s="39" t="s">
        <v>1950</v>
      </c>
      <c r="F788" s="37">
        <v>0</v>
      </c>
      <c r="G788" s="35" t="s">
        <v>1950</v>
      </c>
      <c r="H788" s="37">
        <v>0</v>
      </c>
      <c r="I788" s="37" t="s">
        <v>1950</v>
      </c>
      <c r="J788" s="35">
        <v>2004</v>
      </c>
      <c r="K788" s="35" t="s">
        <v>19</v>
      </c>
      <c r="L788" s="35" t="s">
        <v>1601</v>
      </c>
      <c r="M788" s="36">
        <v>10720</v>
      </c>
      <c r="N788" s="53">
        <v>0</v>
      </c>
      <c r="O788" s="40">
        <v>0</v>
      </c>
      <c r="P788" s="35">
        <v>0</v>
      </c>
      <c r="Q788" s="35" t="s">
        <v>1950</v>
      </c>
      <c r="R788" s="53">
        <v>17</v>
      </c>
      <c r="S788" s="53">
        <v>0</v>
      </c>
    </row>
    <row r="789" spans="1:19" x14ac:dyDescent="0.3">
      <c r="A789" s="35" t="s">
        <v>1586</v>
      </c>
      <c r="B789" s="35" t="s">
        <v>14</v>
      </c>
      <c r="C789" s="35" t="s">
        <v>1775</v>
      </c>
      <c r="D789" s="35">
        <v>119.99</v>
      </c>
      <c r="E789" s="39" t="s">
        <v>1950</v>
      </c>
      <c r="F789" s="37">
        <v>0</v>
      </c>
      <c r="G789" s="35" t="s">
        <v>1950</v>
      </c>
      <c r="H789" s="37">
        <v>0</v>
      </c>
      <c r="I789" s="37" t="s">
        <v>1950</v>
      </c>
      <c r="J789" s="35">
        <v>1974</v>
      </c>
      <c r="K789" s="35" t="s">
        <v>1950</v>
      </c>
      <c r="L789" s="35" t="s">
        <v>1950</v>
      </c>
      <c r="M789" s="36">
        <v>8675</v>
      </c>
      <c r="N789" s="53">
        <v>0</v>
      </c>
      <c r="O789" s="40">
        <v>0</v>
      </c>
      <c r="P789" s="35">
        <v>0</v>
      </c>
      <c r="Q789" s="35" t="s">
        <v>1950</v>
      </c>
      <c r="R789" s="53">
        <v>20</v>
      </c>
      <c r="S789" s="53">
        <v>0</v>
      </c>
    </row>
    <row r="790" spans="1:19" x14ac:dyDescent="0.3">
      <c r="A790" s="35" t="s">
        <v>1586</v>
      </c>
      <c r="B790" s="35" t="s">
        <v>29</v>
      </c>
      <c r="C790" s="35" t="s">
        <v>17</v>
      </c>
      <c r="D790" s="35">
        <v>245.6</v>
      </c>
      <c r="E790" s="39" t="s">
        <v>1950</v>
      </c>
      <c r="F790" s="37">
        <v>0</v>
      </c>
      <c r="G790" s="35" t="s">
        <v>1950</v>
      </c>
      <c r="H790" s="37">
        <v>0</v>
      </c>
      <c r="I790" s="37" t="s">
        <v>1950</v>
      </c>
      <c r="J790" s="35">
        <v>1998</v>
      </c>
      <c r="K790" s="35" t="s">
        <v>21</v>
      </c>
      <c r="L790" s="35" t="s">
        <v>1597</v>
      </c>
      <c r="M790" s="36">
        <v>19720</v>
      </c>
      <c r="N790" s="53">
        <v>0</v>
      </c>
      <c r="O790" s="40">
        <v>0</v>
      </c>
      <c r="P790" s="35">
        <v>0</v>
      </c>
      <c r="Q790" s="35" t="s">
        <v>1950</v>
      </c>
      <c r="R790" s="53">
        <v>19</v>
      </c>
      <c r="S790" s="53">
        <v>0</v>
      </c>
    </row>
    <row r="791" spans="1:19" x14ac:dyDescent="0.3">
      <c r="A791" s="35" t="s">
        <v>1586</v>
      </c>
      <c r="B791" s="35" t="s">
        <v>8</v>
      </c>
      <c r="C791" s="35" t="s">
        <v>1775</v>
      </c>
      <c r="D791" s="35">
        <v>313.08</v>
      </c>
      <c r="E791" s="39" t="s">
        <v>1950</v>
      </c>
      <c r="F791" s="37">
        <v>0</v>
      </c>
      <c r="G791" s="35" t="s">
        <v>1950</v>
      </c>
      <c r="H791" s="37">
        <v>0</v>
      </c>
      <c r="I791" s="37" t="s">
        <v>1950</v>
      </c>
      <c r="J791" s="35">
        <v>1997</v>
      </c>
      <c r="K791" s="35" t="s">
        <v>1950</v>
      </c>
      <c r="L791" s="35" t="s">
        <v>1950</v>
      </c>
      <c r="M791" s="36">
        <v>10938</v>
      </c>
      <c r="N791" s="53">
        <v>0</v>
      </c>
      <c r="O791" s="40">
        <v>0</v>
      </c>
      <c r="P791" s="35">
        <v>0</v>
      </c>
      <c r="Q791" s="35" t="s">
        <v>1950</v>
      </c>
      <c r="R791" s="53">
        <v>1</v>
      </c>
      <c r="S791" s="53">
        <v>0</v>
      </c>
    </row>
    <row r="792" spans="1:19" x14ac:dyDescent="0.3">
      <c r="A792" s="35" t="s">
        <v>1586</v>
      </c>
      <c r="B792" s="35" t="s">
        <v>29</v>
      </c>
      <c r="C792" s="35" t="s">
        <v>2662</v>
      </c>
      <c r="D792" s="35">
        <v>224.06</v>
      </c>
      <c r="E792" s="39" t="s">
        <v>1950</v>
      </c>
      <c r="F792" s="37">
        <v>0</v>
      </c>
      <c r="G792" s="35" t="s">
        <v>1950</v>
      </c>
      <c r="H792" s="37">
        <v>0</v>
      </c>
      <c r="I792" s="37" t="s">
        <v>1950</v>
      </c>
      <c r="J792" s="35">
        <v>1993</v>
      </c>
      <c r="K792" s="35" t="s">
        <v>1950</v>
      </c>
      <c r="L792" s="35" t="s">
        <v>1950</v>
      </c>
      <c r="M792" s="36">
        <v>16872</v>
      </c>
      <c r="N792" s="53">
        <v>0</v>
      </c>
      <c r="O792" s="40">
        <v>0</v>
      </c>
      <c r="P792" s="35">
        <v>0</v>
      </c>
      <c r="Q792" s="35" t="s">
        <v>1950</v>
      </c>
      <c r="R792" s="53">
        <v>9</v>
      </c>
      <c r="S792" s="53">
        <v>0</v>
      </c>
    </row>
    <row r="793" spans="1:19" x14ac:dyDescent="0.3">
      <c r="A793" s="35" t="s">
        <v>1586</v>
      </c>
      <c r="B793" s="35" t="s">
        <v>29</v>
      </c>
      <c r="C793" s="35" t="s">
        <v>17</v>
      </c>
      <c r="D793" s="35">
        <v>219.6</v>
      </c>
      <c r="E793" s="39" t="s">
        <v>1950</v>
      </c>
      <c r="F793" s="37">
        <v>0</v>
      </c>
      <c r="G793" s="35" t="s">
        <v>1950</v>
      </c>
      <c r="H793" s="37">
        <v>0</v>
      </c>
      <c r="I793" s="37" t="s">
        <v>1950</v>
      </c>
      <c r="J793" s="35">
        <v>1977</v>
      </c>
      <c r="K793" s="35" t="s">
        <v>25</v>
      </c>
      <c r="L793" s="35" t="s">
        <v>1597</v>
      </c>
      <c r="M793" s="36">
        <v>26657</v>
      </c>
      <c r="N793" s="53">
        <v>0</v>
      </c>
      <c r="O793" s="40">
        <v>0</v>
      </c>
      <c r="P793" s="35">
        <v>0</v>
      </c>
      <c r="Q793" s="35" t="s">
        <v>1950</v>
      </c>
      <c r="R793" s="53">
        <v>2</v>
      </c>
      <c r="S793" s="53">
        <v>0</v>
      </c>
    </row>
    <row r="794" spans="1:19" x14ac:dyDescent="0.3">
      <c r="A794" s="35" t="s">
        <v>1586</v>
      </c>
      <c r="B794" s="35" t="s">
        <v>14</v>
      </c>
      <c r="C794" s="35" t="s">
        <v>17</v>
      </c>
      <c r="D794" s="35">
        <v>144.85</v>
      </c>
      <c r="E794" s="39" t="s">
        <v>1950</v>
      </c>
      <c r="F794" s="37">
        <v>0</v>
      </c>
      <c r="G794" s="35" t="s">
        <v>1950</v>
      </c>
      <c r="H794" s="37">
        <v>0</v>
      </c>
      <c r="I794" s="37" t="s">
        <v>1950</v>
      </c>
      <c r="J794" s="35">
        <v>2005</v>
      </c>
      <c r="K794" s="35" t="s">
        <v>1950</v>
      </c>
      <c r="L794" s="35" t="s">
        <v>1950</v>
      </c>
      <c r="M794" s="36">
        <v>58824</v>
      </c>
      <c r="N794" s="53">
        <v>0</v>
      </c>
      <c r="O794" s="40">
        <v>0</v>
      </c>
      <c r="P794" s="35">
        <v>0</v>
      </c>
      <c r="Q794" s="35" t="s">
        <v>1950</v>
      </c>
      <c r="R794" s="53">
        <v>15</v>
      </c>
      <c r="S794" s="53">
        <v>0</v>
      </c>
    </row>
    <row r="795" spans="1:19" x14ac:dyDescent="0.3">
      <c r="A795" s="35" t="s">
        <v>1586</v>
      </c>
      <c r="B795" s="35" t="s">
        <v>14</v>
      </c>
      <c r="C795" s="35" t="s">
        <v>1775</v>
      </c>
      <c r="D795" s="35">
        <v>125.38</v>
      </c>
      <c r="E795" s="39" t="s">
        <v>1950</v>
      </c>
      <c r="F795" s="37">
        <v>0</v>
      </c>
      <c r="G795" s="35" t="s">
        <v>1950</v>
      </c>
      <c r="H795" s="37">
        <v>0</v>
      </c>
      <c r="I795" s="37" t="s">
        <v>1950</v>
      </c>
      <c r="J795" s="35">
        <v>2001</v>
      </c>
      <c r="K795" s="35" t="s">
        <v>1950</v>
      </c>
      <c r="L795" s="35" t="s">
        <v>1950</v>
      </c>
      <c r="M795" s="36">
        <v>10700</v>
      </c>
      <c r="N795" s="53">
        <v>0</v>
      </c>
      <c r="O795" s="40">
        <v>0</v>
      </c>
      <c r="P795" s="35">
        <v>0</v>
      </c>
      <c r="Q795" s="35" t="s">
        <v>1950</v>
      </c>
      <c r="R795" s="53">
        <v>1</v>
      </c>
      <c r="S795" s="53">
        <v>0</v>
      </c>
    </row>
    <row r="796" spans="1:19" x14ac:dyDescent="0.3">
      <c r="A796" s="35" t="s">
        <v>1586</v>
      </c>
      <c r="B796" s="35" t="s">
        <v>14</v>
      </c>
      <c r="C796" s="35" t="s">
        <v>2662</v>
      </c>
      <c r="D796" s="35">
        <v>89.09</v>
      </c>
      <c r="E796" s="39" t="s">
        <v>1950</v>
      </c>
      <c r="F796" s="37">
        <v>0</v>
      </c>
      <c r="G796" s="35" t="s">
        <v>1950</v>
      </c>
      <c r="H796" s="37">
        <v>0</v>
      </c>
      <c r="I796" s="37" t="s">
        <v>1950</v>
      </c>
      <c r="J796" s="35">
        <v>1911</v>
      </c>
      <c r="K796" s="35" t="s">
        <v>19</v>
      </c>
      <c r="L796" s="35" t="s">
        <v>1601</v>
      </c>
      <c r="M796" s="36">
        <v>27838</v>
      </c>
      <c r="N796" s="53">
        <v>0</v>
      </c>
      <c r="O796" s="40">
        <v>0</v>
      </c>
      <c r="P796" s="35">
        <v>0</v>
      </c>
      <c r="Q796" s="35" t="s">
        <v>1950</v>
      </c>
      <c r="R796" s="53">
        <v>8</v>
      </c>
      <c r="S796" s="53">
        <v>0</v>
      </c>
    </row>
    <row r="797" spans="1:19" x14ac:dyDescent="0.3">
      <c r="A797" s="35" t="s">
        <v>1586</v>
      </c>
      <c r="B797" s="35" t="s">
        <v>14</v>
      </c>
      <c r="C797" s="35" t="s">
        <v>1775</v>
      </c>
      <c r="D797" s="35">
        <v>233.38</v>
      </c>
      <c r="E797" s="39" t="s">
        <v>1950</v>
      </c>
      <c r="F797" s="37">
        <v>0</v>
      </c>
      <c r="G797" s="35" t="s">
        <v>1950</v>
      </c>
      <c r="H797" s="37">
        <v>0</v>
      </c>
      <c r="I797" s="37" t="s">
        <v>1950</v>
      </c>
      <c r="J797" s="35">
        <v>1979</v>
      </c>
      <c r="K797" s="35" t="s">
        <v>1950</v>
      </c>
      <c r="L797" s="35" t="s">
        <v>1950</v>
      </c>
      <c r="M797" s="36">
        <v>2644</v>
      </c>
      <c r="N797" s="53">
        <v>0</v>
      </c>
      <c r="O797" s="40">
        <v>0</v>
      </c>
      <c r="P797" s="35">
        <v>0</v>
      </c>
      <c r="Q797" s="35" t="s">
        <v>1950</v>
      </c>
      <c r="R797" s="53">
        <v>6</v>
      </c>
      <c r="S797" s="53">
        <v>0</v>
      </c>
    </row>
    <row r="798" spans="1:19" x14ac:dyDescent="0.3">
      <c r="A798" s="35" t="s">
        <v>1586</v>
      </c>
      <c r="B798" s="35" t="s">
        <v>14</v>
      </c>
      <c r="C798" s="35" t="s">
        <v>1775</v>
      </c>
      <c r="D798" s="35">
        <v>190.25</v>
      </c>
      <c r="E798" s="39" t="s">
        <v>1950</v>
      </c>
      <c r="F798" s="37">
        <v>0</v>
      </c>
      <c r="G798" s="35" t="s">
        <v>1950</v>
      </c>
      <c r="H798" s="37">
        <v>0</v>
      </c>
      <c r="I798" s="37" t="s">
        <v>1950</v>
      </c>
      <c r="J798" s="35">
        <v>1983</v>
      </c>
      <c r="K798" s="35" t="s">
        <v>1950</v>
      </c>
      <c r="L798" s="35" t="s">
        <v>1950</v>
      </c>
      <c r="M798" s="36">
        <v>4736</v>
      </c>
      <c r="N798" s="53">
        <v>0</v>
      </c>
      <c r="O798" s="40">
        <v>0</v>
      </c>
      <c r="P798" s="35">
        <v>0</v>
      </c>
      <c r="Q798" s="35" t="s">
        <v>1950</v>
      </c>
      <c r="R798" s="53">
        <v>5</v>
      </c>
      <c r="S798" s="53">
        <v>0</v>
      </c>
    </row>
    <row r="799" spans="1:19" x14ac:dyDescent="0.3">
      <c r="A799" s="35" t="s">
        <v>1586</v>
      </c>
      <c r="B799" s="35" t="s">
        <v>14</v>
      </c>
      <c r="C799" s="35" t="s">
        <v>17</v>
      </c>
      <c r="D799" s="35">
        <v>301.98</v>
      </c>
      <c r="E799" s="39" t="s">
        <v>1950</v>
      </c>
      <c r="F799" s="37">
        <v>0</v>
      </c>
      <c r="G799" s="35" t="s">
        <v>1950</v>
      </c>
      <c r="H799" s="37">
        <v>0</v>
      </c>
      <c r="I799" s="37" t="s">
        <v>1950</v>
      </c>
      <c r="J799" s="35">
        <v>1953</v>
      </c>
      <c r="K799" s="35" t="s">
        <v>1950</v>
      </c>
      <c r="L799" s="35" t="s">
        <v>1950</v>
      </c>
      <c r="M799" s="36">
        <v>15480</v>
      </c>
      <c r="N799" s="53">
        <v>0</v>
      </c>
      <c r="O799" s="40">
        <v>0</v>
      </c>
      <c r="P799" s="35">
        <v>0</v>
      </c>
      <c r="Q799" s="35" t="s">
        <v>1950</v>
      </c>
      <c r="R799" s="53">
        <v>2</v>
      </c>
      <c r="S799" s="53">
        <v>0</v>
      </c>
    </row>
    <row r="800" spans="1:19" x14ac:dyDescent="0.3">
      <c r="A800" s="35" t="s">
        <v>1586</v>
      </c>
      <c r="B800" s="35" t="s">
        <v>14</v>
      </c>
      <c r="C800" s="35" t="s">
        <v>17</v>
      </c>
      <c r="D800" s="35">
        <v>224.29</v>
      </c>
      <c r="E800" s="39" t="s">
        <v>1950</v>
      </c>
      <c r="F800" s="37">
        <v>0</v>
      </c>
      <c r="G800" s="35" t="s">
        <v>1950</v>
      </c>
      <c r="H800" s="37">
        <v>0</v>
      </c>
      <c r="I800" s="37" t="s">
        <v>1950</v>
      </c>
      <c r="J800" s="35">
        <v>1980</v>
      </c>
      <c r="K800" s="35" t="s">
        <v>1950</v>
      </c>
      <c r="L800" s="35" t="s">
        <v>1950</v>
      </c>
      <c r="M800" s="36">
        <v>47744</v>
      </c>
      <c r="N800" s="53">
        <v>0</v>
      </c>
      <c r="O800" s="40">
        <v>0</v>
      </c>
      <c r="P800" s="35">
        <v>0</v>
      </c>
      <c r="Q800" s="35" t="s">
        <v>1950</v>
      </c>
      <c r="R800" s="53">
        <v>9</v>
      </c>
      <c r="S800" s="53">
        <v>0</v>
      </c>
    </row>
    <row r="801" spans="1:19" x14ac:dyDescent="0.3">
      <c r="A801" s="35" t="s">
        <v>1586</v>
      </c>
      <c r="B801" s="35" t="s">
        <v>14</v>
      </c>
      <c r="C801" s="35" t="s">
        <v>17</v>
      </c>
      <c r="D801" s="35">
        <v>167.87</v>
      </c>
      <c r="E801" s="39" t="s">
        <v>1950</v>
      </c>
      <c r="F801" s="37">
        <v>0</v>
      </c>
      <c r="G801" s="35" t="s">
        <v>1950</v>
      </c>
      <c r="H801" s="37">
        <v>0</v>
      </c>
      <c r="I801" s="37" t="s">
        <v>1950</v>
      </c>
      <c r="J801" s="35">
        <v>1985</v>
      </c>
      <c r="K801" s="35" t="s">
        <v>1950</v>
      </c>
      <c r="L801" s="35" t="s">
        <v>1950</v>
      </c>
      <c r="M801" s="36">
        <v>34736</v>
      </c>
      <c r="N801" s="53">
        <v>0</v>
      </c>
      <c r="O801" s="40">
        <v>0</v>
      </c>
      <c r="P801" s="35">
        <v>0</v>
      </c>
      <c r="Q801" s="35" t="s">
        <v>1950</v>
      </c>
      <c r="R801" s="53">
        <v>7</v>
      </c>
      <c r="S801" s="53">
        <v>0</v>
      </c>
    </row>
    <row r="802" spans="1:19" x14ac:dyDescent="0.3">
      <c r="A802" s="35" t="s">
        <v>1586</v>
      </c>
      <c r="B802" s="35" t="s">
        <v>29</v>
      </c>
      <c r="C802" s="35" t="s">
        <v>1775</v>
      </c>
      <c r="D802" s="35">
        <v>271.89</v>
      </c>
      <c r="E802" s="39" t="s">
        <v>1950</v>
      </c>
      <c r="F802" s="37">
        <v>0</v>
      </c>
      <c r="G802" s="35" t="s">
        <v>1950</v>
      </c>
      <c r="H802" s="37">
        <v>0</v>
      </c>
      <c r="I802" s="37" t="s">
        <v>1950</v>
      </c>
      <c r="J802" s="35">
        <v>2008</v>
      </c>
      <c r="K802" s="35" t="s">
        <v>47</v>
      </c>
      <c r="L802" s="35" t="s">
        <v>1597</v>
      </c>
      <c r="M802" s="36">
        <v>6086</v>
      </c>
      <c r="N802" s="53">
        <v>0</v>
      </c>
      <c r="O802" s="40">
        <v>0</v>
      </c>
      <c r="P802" s="35">
        <v>0</v>
      </c>
      <c r="Q802" s="35" t="s">
        <v>1950</v>
      </c>
      <c r="R802" s="53">
        <v>9</v>
      </c>
      <c r="S802" s="53">
        <v>0</v>
      </c>
    </row>
    <row r="803" spans="1:19" x14ac:dyDescent="0.3">
      <c r="A803" s="35" t="s">
        <v>1586</v>
      </c>
      <c r="B803" s="35" t="s">
        <v>14</v>
      </c>
      <c r="C803" s="35" t="s">
        <v>1775</v>
      </c>
      <c r="D803" s="35">
        <v>137.51</v>
      </c>
      <c r="E803" s="39" t="s">
        <v>1950</v>
      </c>
      <c r="F803" s="37">
        <v>0</v>
      </c>
      <c r="G803" s="35" t="s">
        <v>1950</v>
      </c>
      <c r="H803" s="37">
        <v>0</v>
      </c>
      <c r="I803" s="37" t="s">
        <v>1950</v>
      </c>
      <c r="J803" s="35">
        <v>2009</v>
      </c>
      <c r="K803" s="35" t="s">
        <v>25</v>
      </c>
      <c r="L803" s="35" t="s">
        <v>1601</v>
      </c>
      <c r="M803" s="36">
        <v>11977</v>
      </c>
      <c r="N803" s="53">
        <v>0</v>
      </c>
      <c r="O803" s="40">
        <v>0</v>
      </c>
      <c r="P803" s="35">
        <v>0</v>
      </c>
      <c r="Q803" s="35" t="s">
        <v>1950</v>
      </c>
      <c r="R803" s="53">
        <v>10</v>
      </c>
      <c r="S803" s="53">
        <v>0</v>
      </c>
    </row>
    <row r="804" spans="1:19" x14ac:dyDescent="0.3">
      <c r="A804" s="35" t="s">
        <v>1586</v>
      </c>
      <c r="B804" s="35" t="s">
        <v>14</v>
      </c>
      <c r="C804" s="35" t="s">
        <v>1775</v>
      </c>
      <c r="D804" s="35">
        <v>111.64</v>
      </c>
      <c r="E804" s="39" t="s">
        <v>1950</v>
      </c>
      <c r="F804" s="37">
        <v>0</v>
      </c>
      <c r="G804" s="35" t="s">
        <v>1950</v>
      </c>
      <c r="H804" s="37">
        <v>0</v>
      </c>
      <c r="I804" s="37" t="s">
        <v>1950</v>
      </c>
      <c r="J804" s="35">
        <v>1995</v>
      </c>
      <c r="K804" s="35" t="s">
        <v>1950</v>
      </c>
      <c r="L804" s="35" t="s">
        <v>1950</v>
      </c>
      <c r="M804" s="36">
        <v>7433</v>
      </c>
      <c r="N804" s="53">
        <v>0</v>
      </c>
      <c r="O804" s="40">
        <v>0</v>
      </c>
      <c r="P804" s="35">
        <v>0</v>
      </c>
      <c r="Q804" s="35" t="s">
        <v>1950</v>
      </c>
      <c r="R804" s="53">
        <v>2</v>
      </c>
      <c r="S804" s="53">
        <v>0</v>
      </c>
    </row>
    <row r="805" spans="1:19" x14ac:dyDescent="0.3">
      <c r="A805" s="35" t="s">
        <v>1586</v>
      </c>
      <c r="B805" s="35" t="s">
        <v>29</v>
      </c>
      <c r="C805" s="35" t="s">
        <v>17</v>
      </c>
      <c r="D805" s="35">
        <v>169.19</v>
      </c>
      <c r="E805" s="39" t="s">
        <v>1950</v>
      </c>
      <c r="F805" s="37">
        <v>0</v>
      </c>
      <c r="G805" s="35" t="s">
        <v>1950</v>
      </c>
      <c r="H805" s="37">
        <v>0</v>
      </c>
      <c r="I805" s="37" t="s">
        <v>1950</v>
      </c>
      <c r="J805" s="35">
        <v>1986</v>
      </c>
      <c r="K805" s="35" t="s">
        <v>21</v>
      </c>
      <c r="L805" s="35" t="s">
        <v>1601</v>
      </c>
      <c r="M805" s="36">
        <v>54042</v>
      </c>
      <c r="N805" s="53">
        <v>0</v>
      </c>
      <c r="O805" s="40">
        <v>0</v>
      </c>
      <c r="P805" s="35">
        <v>0</v>
      </c>
      <c r="Q805" s="35" t="s">
        <v>1950</v>
      </c>
      <c r="R805" s="53">
        <v>0</v>
      </c>
      <c r="S805" s="53">
        <v>0</v>
      </c>
    </row>
    <row r="806" spans="1:19" x14ac:dyDescent="0.3">
      <c r="A806" s="35" t="s">
        <v>1586</v>
      </c>
      <c r="B806" s="35" t="s">
        <v>14</v>
      </c>
      <c r="C806" s="35" t="s">
        <v>1775</v>
      </c>
      <c r="D806" s="35">
        <v>143.56</v>
      </c>
      <c r="E806" s="39" t="s">
        <v>1950</v>
      </c>
      <c r="F806" s="37">
        <v>0</v>
      </c>
      <c r="G806" s="35" t="s">
        <v>1950</v>
      </c>
      <c r="H806" s="37">
        <v>0</v>
      </c>
      <c r="I806" s="37" t="s">
        <v>1950</v>
      </c>
      <c r="J806" s="35">
        <v>1994</v>
      </c>
      <c r="K806" s="35" t="s">
        <v>1950</v>
      </c>
      <c r="L806" s="35" t="s">
        <v>1950</v>
      </c>
      <c r="M806" s="36">
        <v>12586</v>
      </c>
      <c r="N806" s="53">
        <v>0</v>
      </c>
      <c r="O806" s="40">
        <v>0</v>
      </c>
      <c r="P806" s="35">
        <v>0</v>
      </c>
      <c r="Q806" s="35" t="s">
        <v>1950</v>
      </c>
      <c r="R806" s="53">
        <v>1</v>
      </c>
      <c r="S806" s="53">
        <v>0</v>
      </c>
    </row>
    <row r="807" spans="1:19" x14ac:dyDescent="0.3">
      <c r="A807" s="35" t="s">
        <v>1586</v>
      </c>
      <c r="B807" s="35" t="s">
        <v>14</v>
      </c>
      <c r="C807" s="35" t="s">
        <v>17</v>
      </c>
      <c r="D807" s="35">
        <v>122</v>
      </c>
      <c r="E807" s="39" t="s">
        <v>1950</v>
      </c>
      <c r="F807" s="37">
        <v>0</v>
      </c>
      <c r="G807" s="35" t="s">
        <v>1950</v>
      </c>
      <c r="H807" s="37">
        <v>0</v>
      </c>
      <c r="I807" s="37" t="s">
        <v>1950</v>
      </c>
      <c r="J807" s="35">
        <v>2002</v>
      </c>
      <c r="K807" s="35" t="s">
        <v>25</v>
      </c>
      <c r="L807" s="35" t="s">
        <v>1601</v>
      </c>
      <c r="M807" s="36">
        <v>47410</v>
      </c>
      <c r="N807" s="53">
        <v>0</v>
      </c>
      <c r="O807" s="40">
        <v>0</v>
      </c>
      <c r="P807" s="35">
        <v>0</v>
      </c>
      <c r="Q807" s="35" t="s">
        <v>1950</v>
      </c>
      <c r="R807" s="53">
        <v>5.35</v>
      </c>
      <c r="S807" s="53">
        <v>0</v>
      </c>
    </row>
    <row r="808" spans="1:19" x14ac:dyDescent="0.3">
      <c r="A808" s="35" t="s">
        <v>1586</v>
      </c>
      <c r="B808" s="35" t="s">
        <v>8</v>
      </c>
      <c r="C808" s="35" t="s">
        <v>17</v>
      </c>
      <c r="D808" s="35">
        <v>189.7</v>
      </c>
      <c r="E808" s="39" t="s">
        <v>1950</v>
      </c>
      <c r="F808" s="37">
        <v>0</v>
      </c>
      <c r="G808" s="35" t="s">
        <v>1950</v>
      </c>
      <c r="H808" s="37">
        <v>0</v>
      </c>
      <c r="I808" s="37" t="s">
        <v>1950</v>
      </c>
      <c r="J808" s="35">
        <v>1970</v>
      </c>
      <c r="K808" s="35" t="s">
        <v>1950</v>
      </c>
      <c r="L808" s="35" t="s">
        <v>1950</v>
      </c>
      <c r="M808" s="36">
        <v>24377</v>
      </c>
      <c r="N808" s="53">
        <v>0</v>
      </c>
      <c r="O808" s="40">
        <v>0</v>
      </c>
      <c r="P808" s="35">
        <v>0</v>
      </c>
      <c r="Q808" s="35" t="s">
        <v>1950</v>
      </c>
      <c r="R808" s="53">
        <v>2</v>
      </c>
      <c r="S808" s="53">
        <v>0</v>
      </c>
    </row>
    <row r="809" spans="1:19" x14ac:dyDescent="0.3">
      <c r="A809" s="35" t="s">
        <v>1586</v>
      </c>
      <c r="B809" s="35" t="s">
        <v>12</v>
      </c>
      <c r="C809" s="35" t="s">
        <v>17</v>
      </c>
      <c r="D809" s="35">
        <v>259.91000000000003</v>
      </c>
      <c r="E809" s="39" t="s">
        <v>1950</v>
      </c>
      <c r="F809" s="37">
        <v>0</v>
      </c>
      <c r="G809" s="35" t="s">
        <v>1950</v>
      </c>
      <c r="H809" s="37">
        <v>0</v>
      </c>
      <c r="I809" s="37" t="s">
        <v>1950</v>
      </c>
      <c r="J809" s="35">
        <v>1987</v>
      </c>
      <c r="K809" s="35" t="s">
        <v>25</v>
      </c>
      <c r="L809" s="35" t="s">
        <v>1601</v>
      </c>
      <c r="M809" s="36">
        <v>36325</v>
      </c>
      <c r="N809" s="53">
        <v>0</v>
      </c>
      <c r="O809" s="40">
        <v>0</v>
      </c>
      <c r="P809" s="35">
        <v>0</v>
      </c>
      <c r="Q809" s="35" t="s">
        <v>1950</v>
      </c>
      <c r="R809" s="53">
        <v>3</v>
      </c>
      <c r="S809" s="53">
        <v>0</v>
      </c>
    </row>
    <row r="810" spans="1:19" x14ac:dyDescent="0.3">
      <c r="A810" s="35" t="s">
        <v>1586</v>
      </c>
      <c r="B810" s="35" t="s">
        <v>8</v>
      </c>
      <c r="C810" s="35" t="s">
        <v>17</v>
      </c>
      <c r="D810" s="35">
        <v>288.81</v>
      </c>
      <c r="E810" s="39" t="s">
        <v>1950</v>
      </c>
      <c r="F810" s="37">
        <v>0</v>
      </c>
      <c r="G810" s="35" t="s">
        <v>1950</v>
      </c>
      <c r="H810" s="37">
        <v>0</v>
      </c>
      <c r="I810" s="37" t="s">
        <v>1950</v>
      </c>
      <c r="J810" s="35">
        <v>1998</v>
      </c>
      <c r="K810" s="35" t="s">
        <v>21</v>
      </c>
      <c r="L810" s="35" t="s">
        <v>1601</v>
      </c>
      <c r="M810" s="36">
        <v>52095</v>
      </c>
      <c r="N810" s="53">
        <v>0</v>
      </c>
      <c r="O810" s="40">
        <v>0</v>
      </c>
      <c r="P810" s="35">
        <v>0</v>
      </c>
      <c r="Q810" s="35" t="s">
        <v>1950</v>
      </c>
      <c r="R810" s="53">
        <v>4</v>
      </c>
      <c r="S810" s="53">
        <v>0</v>
      </c>
    </row>
    <row r="811" spans="1:19" x14ac:dyDescent="0.3">
      <c r="A811" s="35" t="s">
        <v>1586</v>
      </c>
      <c r="B811" s="35" t="s">
        <v>29</v>
      </c>
      <c r="C811" s="35" t="s">
        <v>17</v>
      </c>
      <c r="D811" s="35">
        <v>209.34</v>
      </c>
      <c r="E811" s="39" t="s">
        <v>1950</v>
      </c>
      <c r="F811" s="37">
        <v>0</v>
      </c>
      <c r="G811" s="35" t="s">
        <v>1950</v>
      </c>
      <c r="H811" s="37">
        <v>0</v>
      </c>
      <c r="I811" s="37" t="s">
        <v>1950</v>
      </c>
      <c r="J811" s="35">
        <v>2007</v>
      </c>
      <c r="K811" s="35" t="s">
        <v>19</v>
      </c>
      <c r="L811" s="35" t="s">
        <v>1601</v>
      </c>
      <c r="M811" s="36">
        <v>15020</v>
      </c>
      <c r="N811" s="53">
        <v>0</v>
      </c>
      <c r="O811" s="40">
        <v>0</v>
      </c>
      <c r="P811" s="35">
        <v>0</v>
      </c>
      <c r="Q811" s="35" t="s">
        <v>1950</v>
      </c>
      <c r="R811" s="53">
        <v>1</v>
      </c>
      <c r="S811" s="53">
        <v>0</v>
      </c>
    </row>
    <row r="812" spans="1:19" x14ac:dyDescent="0.3">
      <c r="A812" s="35" t="s">
        <v>1586</v>
      </c>
      <c r="B812" s="35" t="s">
        <v>29</v>
      </c>
      <c r="C812" s="35" t="s">
        <v>1775</v>
      </c>
      <c r="D812" s="35">
        <v>246.83</v>
      </c>
      <c r="E812" s="39" t="s">
        <v>1950</v>
      </c>
      <c r="F812" s="37">
        <v>0</v>
      </c>
      <c r="G812" s="35" t="s">
        <v>1950</v>
      </c>
      <c r="H812" s="37">
        <v>0</v>
      </c>
      <c r="I812" s="37" t="s">
        <v>1950</v>
      </c>
      <c r="J812" s="35">
        <v>2012</v>
      </c>
      <c r="K812" s="35" t="s">
        <v>21</v>
      </c>
      <c r="L812" s="35" t="s">
        <v>1601</v>
      </c>
      <c r="M812" s="36">
        <v>8922</v>
      </c>
      <c r="N812" s="53">
        <v>0</v>
      </c>
      <c r="O812" s="40">
        <v>0</v>
      </c>
      <c r="P812" s="35">
        <v>0</v>
      </c>
      <c r="Q812" s="35" t="s">
        <v>1950</v>
      </c>
      <c r="R812" s="53">
        <v>4</v>
      </c>
      <c r="S812" s="53">
        <v>0</v>
      </c>
    </row>
    <row r="813" spans="1:19" x14ac:dyDescent="0.3">
      <c r="A813" s="35" t="s">
        <v>1586</v>
      </c>
      <c r="B813" s="35" t="s">
        <v>12</v>
      </c>
      <c r="C813" s="35" t="s">
        <v>17</v>
      </c>
      <c r="D813" s="35">
        <v>126.64</v>
      </c>
      <c r="E813" s="39" t="s">
        <v>1950</v>
      </c>
      <c r="F813" s="37">
        <v>0</v>
      </c>
      <c r="G813" s="35" t="s">
        <v>1950</v>
      </c>
      <c r="H813" s="37">
        <v>0</v>
      </c>
      <c r="I813" s="37" t="s">
        <v>1950</v>
      </c>
      <c r="J813" s="35">
        <v>1990</v>
      </c>
      <c r="K813" s="35" t="s">
        <v>1950</v>
      </c>
      <c r="L813" s="35" t="s">
        <v>1950</v>
      </c>
      <c r="M813" s="36">
        <v>79471</v>
      </c>
      <c r="N813" s="53">
        <v>0</v>
      </c>
      <c r="O813" s="40">
        <v>0</v>
      </c>
      <c r="P813" s="35">
        <v>0</v>
      </c>
      <c r="Q813" s="35" t="s">
        <v>1950</v>
      </c>
      <c r="R813" s="53">
        <v>19</v>
      </c>
      <c r="S813" s="53">
        <v>0</v>
      </c>
    </row>
    <row r="814" spans="1:19" x14ac:dyDescent="0.3">
      <c r="A814" s="35" t="s">
        <v>1586</v>
      </c>
      <c r="B814" s="35" t="s">
        <v>29</v>
      </c>
      <c r="C814" s="35" t="s">
        <v>17</v>
      </c>
      <c r="D814" s="35">
        <v>194.83</v>
      </c>
      <c r="E814" s="39" t="s">
        <v>1950</v>
      </c>
      <c r="F814" s="37">
        <v>0</v>
      </c>
      <c r="G814" s="35" t="s">
        <v>1950</v>
      </c>
      <c r="H814" s="37">
        <v>0</v>
      </c>
      <c r="I814" s="37" t="s">
        <v>1950</v>
      </c>
      <c r="J814" s="35">
        <v>1984</v>
      </c>
      <c r="K814" s="35" t="s">
        <v>19</v>
      </c>
      <c r="L814" s="35" t="s">
        <v>1601</v>
      </c>
      <c r="M814" s="36">
        <v>25857</v>
      </c>
      <c r="N814" s="53">
        <v>0</v>
      </c>
      <c r="O814" s="40">
        <v>0</v>
      </c>
      <c r="P814" s="35">
        <v>0</v>
      </c>
      <c r="Q814" s="35" t="s">
        <v>1950</v>
      </c>
      <c r="R814" s="53">
        <v>10</v>
      </c>
      <c r="S814" s="53">
        <v>0</v>
      </c>
    </row>
    <row r="815" spans="1:19" x14ac:dyDescent="0.3">
      <c r="A815" s="35" t="s">
        <v>1586</v>
      </c>
      <c r="B815" s="35" t="s">
        <v>29</v>
      </c>
      <c r="C815" s="35" t="s">
        <v>17</v>
      </c>
      <c r="D815" s="35">
        <v>159.59</v>
      </c>
      <c r="E815" s="39" t="s">
        <v>1950</v>
      </c>
      <c r="F815" s="37">
        <v>0</v>
      </c>
      <c r="G815" s="35" t="s">
        <v>1950</v>
      </c>
      <c r="H815" s="37">
        <v>0</v>
      </c>
      <c r="I815" s="37" t="s">
        <v>1950</v>
      </c>
      <c r="J815" s="35">
        <v>1970</v>
      </c>
      <c r="K815" s="35" t="s">
        <v>25</v>
      </c>
      <c r="L815" s="35" t="s">
        <v>1601</v>
      </c>
      <c r="M815" s="36">
        <v>84230</v>
      </c>
      <c r="N815" s="53">
        <v>0</v>
      </c>
      <c r="O815" s="40">
        <v>0</v>
      </c>
      <c r="P815" s="35">
        <v>0</v>
      </c>
      <c r="Q815" s="35" t="s">
        <v>1950</v>
      </c>
      <c r="R815" s="53">
        <v>14</v>
      </c>
      <c r="S815" s="53">
        <v>0</v>
      </c>
    </row>
    <row r="816" spans="1:19" x14ac:dyDescent="0.3">
      <c r="A816" s="35" t="s">
        <v>1586</v>
      </c>
      <c r="B816" s="35" t="s">
        <v>14</v>
      </c>
      <c r="C816" s="35" t="s">
        <v>17</v>
      </c>
      <c r="D816" s="35">
        <v>197.31</v>
      </c>
      <c r="E816" s="39" t="s">
        <v>1950</v>
      </c>
      <c r="F816" s="37">
        <v>0</v>
      </c>
      <c r="G816" s="35" t="s">
        <v>1950</v>
      </c>
      <c r="H816" s="37">
        <v>0</v>
      </c>
      <c r="I816" s="37" t="s">
        <v>1950</v>
      </c>
      <c r="J816" s="35">
        <v>1998</v>
      </c>
      <c r="K816" s="35" t="s">
        <v>1950</v>
      </c>
      <c r="L816" s="35" t="s">
        <v>1950</v>
      </c>
      <c r="M816" s="36">
        <v>41363</v>
      </c>
      <c r="N816" s="53">
        <v>0</v>
      </c>
      <c r="O816" s="40">
        <v>0</v>
      </c>
      <c r="P816" s="35">
        <v>0</v>
      </c>
      <c r="Q816" s="35" t="s">
        <v>1950</v>
      </c>
      <c r="R816" s="53">
        <v>21</v>
      </c>
      <c r="S816" s="53">
        <v>0</v>
      </c>
    </row>
    <row r="817" spans="1:19" x14ac:dyDescent="0.3">
      <c r="A817" s="35" t="s">
        <v>1586</v>
      </c>
      <c r="B817" s="35" t="s">
        <v>14</v>
      </c>
      <c r="C817" s="35" t="s">
        <v>17</v>
      </c>
      <c r="D817" s="35">
        <v>176.38</v>
      </c>
      <c r="E817" s="39" t="s">
        <v>1950</v>
      </c>
      <c r="F817" s="37">
        <v>0</v>
      </c>
      <c r="G817" s="35" t="s">
        <v>1950</v>
      </c>
      <c r="H817" s="37">
        <v>0</v>
      </c>
      <c r="I817" s="37" t="s">
        <v>1950</v>
      </c>
      <c r="J817" s="35">
        <v>2005</v>
      </c>
      <c r="K817" s="35" t="s">
        <v>21</v>
      </c>
      <c r="L817" s="35" t="s">
        <v>1601</v>
      </c>
      <c r="M817" s="36">
        <v>27562</v>
      </c>
      <c r="N817" s="53">
        <v>0</v>
      </c>
      <c r="O817" s="40">
        <v>0</v>
      </c>
      <c r="P817" s="35">
        <v>0</v>
      </c>
      <c r="Q817" s="35" t="s">
        <v>1950</v>
      </c>
      <c r="R817" s="53">
        <v>3</v>
      </c>
      <c r="S817" s="53">
        <v>0</v>
      </c>
    </row>
    <row r="818" spans="1:19" x14ac:dyDescent="0.3">
      <c r="A818" s="35" t="s">
        <v>1586</v>
      </c>
      <c r="B818" s="35" t="s">
        <v>12</v>
      </c>
      <c r="C818" s="35" t="s">
        <v>17</v>
      </c>
      <c r="D818" s="35">
        <v>403.39</v>
      </c>
      <c r="E818" s="39" t="s">
        <v>1950</v>
      </c>
      <c r="F818" s="37">
        <v>0</v>
      </c>
      <c r="G818" s="35" t="s">
        <v>1950</v>
      </c>
      <c r="H818" s="37">
        <v>0</v>
      </c>
      <c r="I818" s="37" t="s">
        <v>1950</v>
      </c>
      <c r="J818" s="35">
        <v>2011</v>
      </c>
      <c r="K818" s="35" t="s">
        <v>25</v>
      </c>
      <c r="L818" s="35" t="s">
        <v>1597</v>
      </c>
      <c r="M818" s="36">
        <v>87361</v>
      </c>
      <c r="N818" s="53">
        <v>0</v>
      </c>
      <c r="O818" s="40">
        <v>0</v>
      </c>
      <c r="P818" s="35">
        <v>0</v>
      </c>
      <c r="Q818" s="35" t="s">
        <v>1950</v>
      </c>
      <c r="R818" s="53">
        <v>8</v>
      </c>
      <c r="S818" s="53">
        <v>0</v>
      </c>
    </row>
    <row r="819" spans="1:19" x14ac:dyDescent="0.3">
      <c r="A819" s="35" t="s">
        <v>1586</v>
      </c>
      <c r="B819" s="35" t="s">
        <v>14</v>
      </c>
      <c r="C819" s="35" t="s">
        <v>1775</v>
      </c>
      <c r="D819" s="35">
        <v>146.63999999999999</v>
      </c>
      <c r="E819" s="39" t="s">
        <v>1950</v>
      </c>
      <c r="F819" s="37">
        <v>0</v>
      </c>
      <c r="G819" s="35" t="s">
        <v>1950</v>
      </c>
      <c r="H819" s="37">
        <v>0</v>
      </c>
      <c r="I819" s="37" t="s">
        <v>1950</v>
      </c>
      <c r="J819" s="35">
        <v>1996</v>
      </c>
      <c r="K819" s="35" t="s">
        <v>19</v>
      </c>
      <c r="L819" s="35" t="s">
        <v>1601</v>
      </c>
      <c r="M819" s="36">
        <v>6832</v>
      </c>
      <c r="N819" s="53">
        <v>0</v>
      </c>
      <c r="O819" s="40">
        <v>0</v>
      </c>
      <c r="P819" s="35">
        <v>0</v>
      </c>
      <c r="Q819" s="35" t="s">
        <v>1950</v>
      </c>
      <c r="R819" s="53">
        <v>1</v>
      </c>
      <c r="S819" s="53">
        <v>0</v>
      </c>
    </row>
    <row r="820" spans="1:19" x14ac:dyDescent="0.3">
      <c r="A820" s="35" t="s">
        <v>1586</v>
      </c>
      <c r="B820" s="35" t="s">
        <v>29</v>
      </c>
      <c r="C820" s="35" t="s">
        <v>1775</v>
      </c>
      <c r="D820" s="35">
        <v>441.85</v>
      </c>
      <c r="E820" s="39" t="s">
        <v>1950</v>
      </c>
      <c r="F820" s="37">
        <v>0</v>
      </c>
      <c r="G820" s="35" t="s">
        <v>1950</v>
      </c>
      <c r="H820" s="37">
        <v>0</v>
      </c>
      <c r="I820" s="37" t="s">
        <v>1950</v>
      </c>
      <c r="J820" s="35">
        <v>2017</v>
      </c>
      <c r="K820" s="35" t="s">
        <v>21</v>
      </c>
      <c r="L820" s="35" t="s">
        <v>1598</v>
      </c>
      <c r="M820" s="36">
        <v>8657</v>
      </c>
      <c r="N820" s="53">
        <v>0</v>
      </c>
      <c r="O820" s="40">
        <v>0</v>
      </c>
      <c r="P820" s="35">
        <v>0</v>
      </c>
      <c r="Q820" s="35" t="s">
        <v>1950</v>
      </c>
      <c r="R820" s="53">
        <v>3</v>
      </c>
      <c r="S820" s="53">
        <v>0</v>
      </c>
    </row>
    <row r="821" spans="1:19" x14ac:dyDescent="0.3">
      <c r="A821" s="35" t="s">
        <v>1586</v>
      </c>
      <c r="B821" s="35" t="s">
        <v>29</v>
      </c>
      <c r="C821" s="35" t="s">
        <v>1775</v>
      </c>
      <c r="D821" s="35">
        <v>228.91</v>
      </c>
      <c r="E821" s="39" t="s">
        <v>1950</v>
      </c>
      <c r="F821" s="37">
        <v>0</v>
      </c>
      <c r="G821" s="35" t="s">
        <v>1950</v>
      </c>
      <c r="H821" s="37">
        <v>0</v>
      </c>
      <c r="I821" s="37" t="s">
        <v>1950</v>
      </c>
      <c r="J821" s="35">
        <v>2014</v>
      </c>
      <c r="K821" s="35" t="s">
        <v>19</v>
      </c>
      <c r="L821" s="35" t="s">
        <v>1600</v>
      </c>
      <c r="M821" s="36">
        <v>11783</v>
      </c>
      <c r="N821" s="53">
        <v>0</v>
      </c>
      <c r="O821" s="40">
        <v>0</v>
      </c>
      <c r="P821" s="35">
        <v>0</v>
      </c>
      <c r="Q821" s="35" t="s">
        <v>1950</v>
      </c>
      <c r="R821" s="53">
        <v>6</v>
      </c>
      <c r="S821" s="53">
        <v>0</v>
      </c>
    </row>
    <row r="822" spans="1:19" x14ac:dyDescent="0.3">
      <c r="A822" s="35" t="s">
        <v>1586</v>
      </c>
      <c r="B822" s="35" t="s">
        <v>14</v>
      </c>
      <c r="C822" s="35" t="s">
        <v>1775</v>
      </c>
      <c r="D822" s="35">
        <v>256.62</v>
      </c>
      <c r="E822" s="39" t="s">
        <v>1950</v>
      </c>
      <c r="F822" s="37">
        <v>0</v>
      </c>
      <c r="G822" s="35" t="s">
        <v>1950</v>
      </c>
      <c r="H822" s="37">
        <v>0</v>
      </c>
      <c r="I822" s="37" t="s">
        <v>1950</v>
      </c>
      <c r="J822" s="35">
        <v>1997</v>
      </c>
      <c r="K822" s="35" t="s">
        <v>1950</v>
      </c>
      <c r="L822" s="35" t="s">
        <v>1950</v>
      </c>
      <c r="M822" s="36">
        <v>11291</v>
      </c>
      <c r="N822" s="53">
        <v>0</v>
      </c>
      <c r="O822" s="40">
        <v>0</v>
      </c>
      <c r="P822" s="35">
        <v>0</v>
      </c>
      <c r="Q822" s="35" t="s">
        <v>1950</v>
      </c>
      <c r="R822" s="53">
        <v>1</v>
      </c>
      <c r="S822" s="53">
        <v>0</v>
      </c>
    </row>
    <row r="823" spans="1:19" x14ac:dyDescent="0.3">
      <c r="A823" s="35" t="s">
        <v>1586</v>
      </c>
      <c r="B823" s="35" t="s">
        <v>12</v>
      </c>
      <c r="C823" s="35" t="s">
        <v>1775</v>
      </c>
      <c r="D823" s="35">
        <v>430.47</v>
      </c>
      <c r="E823" s="39" t="s">
        <v>1950</v>
      </c>
      <c r="F823" s="37">
        <v>0</v>
      </c>
      <c r="G823" s="35" t="s">
        <v>1950</v>
      </c>
      <c r="H823" s="37">
        <v>0</v>
      </c>
      <c r="I823" s="37" t="s">
        <v>1950</v>
      </c>
      <c r="J823" s="35">
        <v>2011</v>
      </c>
      <c r="K823" s="35" t="s">
        <v>1950</v>
      </c>
      <c r="L823" s="35" t="s">
        <v>1950</v>
      </c>
      <c r="M823" s="36">
        <v>12161</v>
      </c>
      <c r="N823" s="53">
        <v>0</v>
      </c>
      <c r="O823" s="40">
        <v>0</v>
      </c>
      <c r="P823" s="35">
        <v>0</v>
      </c>
      <c r="Q823" s="35" t="s">
        <v>1950</v>
      </c>
      <c r="R823" s="53">
        <v>8</v>
      </c>
      <c r="S823" s="53">
        <v>0</v>
      </c>
    </row>
    <row r="824" spans="1:19" x14ac:dyDescent="0.3">
      <c r="A824" s="35" t="s">
        <v>1586</v>
      </c>
      <c r="B824" s="35" t="s">
        <v>14</v>
      </c>
      <c r="C824" s="35" t="s">
        <v>17</v>
      </c>
      <c r="D824" s="35">
        <v>106.92</v>
      </c>
      <c r="E824" s="39" t="s">
        <v>1950</v>
      </c>
      <c r="F824" s="37">
        <v>0</v>
      </c>
      <c r="G824" s="35" t="s">
        <v>1950</v>
      </c>
      <c r="H824" s="37">
        <v>0</v>
      </c>
      <c r="I824" s="37" t="s">
        <v>1950</v>
      </c>
      <c r="J824" s="35">
        <v>1984</v>
      </c>
      <c r="K824" s="35" t="s">
        <v>19</v>
      </c>
      <c r="L824" s="35" t="s">
        <v>1601</v>
      </c>
      <c r="M824" s="36">
        <v>20180</v>
      </c>
      <c r="N824" s="53">
        <v>0</v>
      </c>
      <c r="O824" s="40">
        <v>0</v>
      </c>
      <c r="P824" s="35">
        <v>0</v>
      </c>
      <c r="Q824" s="35" t="s">
        <v>1950</v>
      </c>
      <c r="R824" s="53">
        <v>8</v>
      </c>
      <c r="S824" s="53">
        <v>0</v>
      </c>
    </row>
    <row r="825" spans="1:19" x14ac:dyDescent="0.3">
      <c r="A825" s="35" t="s">
        <v>1586</v>
      </c>
      <c r="B825" s="35" t="s">
        <v>29</v>
      </c>
      <c r="C825" s="35" t="s">
        <v>17</v>
      </c>
      <c r="D825" s="35">
        <v>264.74</v>
      </c>
      <c r="E825" s="39" t="s">
        <v>1950</v>
      </c>
      <c r="F825" s="37">
        <v>0</v>
      </c>
      <c r="G825" s="35" t="s">
        <v>1950</v>
      </c>
      <c r="H825" s="37">
        <v>0</v>
      </c>
      <c r="I825" s="37" t="s">
        <v>1950</v>
      </c>
      <c r="J825" s="35">
        <v>1972</v>
      </c>
      <c r="K825" s="35" t="s">
        <v>25</v>
      </c>
      <c r="L825" s="35" t="s">
        <v>1601</v>
      </c>
      <c r="M825" s="36">
        <v>79709</v>
      </c>
      <c r="N825" s="53">
        <v>0</v>
      </c>
      <c r="O825" s="40">
        <v>0</v>
      </c>
      <c r="P825" s="35">
        <v>0</v>
      </c>
      <c r="Q825" s="35" t="s">
        <v>1950</v>
      </c>
      <c r="R825" s="53">
        <v>20</v>
      </c>
      <c r="S825" s="53">
        <v>0</v>
      </c>
    </row>
    <row r="826" spans="1:19" x14ac:dyDescent="0.3">
      <c r="A826" s="35" t="s">
        <v>1586</v>
      </c>
      <c r="B826" s="35" t="s">
        <v>14</v>
      </c>
      <c r="C826" s="35" t="s">
        <v>17</v>
      </c>
      <c r="D826" s="35">
        <v>172.67</v>
      </c>
      <c r="E826" s="39" t="s">
        <v>1950</v>
      </c>
      <c r="F826" s="37">
        <v>0</v>
      </c>
      <c r="G826" s="35" t="s">
        <v>1950</v>
      </c>
      <c r="H826" s="37">
        <v>0</v>
      </c>
      <c r="I826" s="37" t="s">
        <v>1950</v>
      </c>
      <c r="J826" s="35">
        <v>1979</v>
      </c>
      <c r="K826" s="35" t="s">
        <v>25</v>
      </c>
      <c r="L826" s="35" t="s">
        <v>1597</v>
      </c>
      <c r="M826" s="36">
        <v>75079</v>
      </c>
      <c r="N826" s="53">
        <v>0</v>
      </c>
      <c r="O826" s="40">
        <v>0</v>
      </c>
      <c r="P826" s="35">
        <v>0</v>
      </c>
      <c r="Q826" s="35" t="s">
        <v>1950</v>
      </c>
      <c r="R826" s="53">
        <v>9</v>
      </c>
      <c r="S826" s="53">
        <v>0</v>
      </c>
    </row>
    <row r="827" spans="1:19" x14ac:dyDescent="0.3">
      <c r="A827" s="35" t="s">
        <v>1586</v>
      </c>
      <c r="B827" s="35" t="s">
        <v>14</v>
      </c>
      <c r="C827" s="35" t="s">
        <v>1775</v>
      </c>
      <c r="D827" s="35">
        <v>361.59</v>
      </c>
      <c r="E827" s="39" t="s">
        <v>1950</v>
      </c>
      <c r="F827" s="37">
        <v>0</v>
      </c>
      <c r="G827" s="35" t="s">
        <v>1950</v>
      </c>
      <c r="H827" s="37">
        <v>0</v>
      </c>
      <c r="I827" s="37" t="s">
        <v>1950</v>
      </c>
      <c r="J827" s="35">
        <v>1986</v>
      </c>
      <c r="K827" s="35" t="s">
        <v>25</v>
      </c>
      <c r="L827" s="35" t="s">
        <v>1597</v>
      </c>
      <c r="M827" s="36">
        <v>11047</v>
      </c>
      <c r="N827" s="53">
        <v>0</v>
      </c>
      <c r="O827" s="40">
        <v>0</v>
      </c>
      <c r="P827" s="35">
        <v>0</v>
      </c>
      <c r="Q827" s="35" t="s">
        <v>1950</v>
      </c>
      <c r="R827" s="53">
        <v>9</v>
      </c>
      <c r="S827" s="53">
        <v>0</v>
      </c>
    </row>
    <row r="828" spans="1:19" x14ac:dyDescent="0.3">
      <c r="A828" s="35" t="s">
        <v>1586</v>
      </c>
      <c r="B828" s="35" t="s">
        <v>14</v>
      </c>
      <c r="C828" s="35" t="s">
        <v>17</v>
      </c>
      <c r="D828" s="35">
        <v>146.57</v>
      </c>
      <c r="E828" s="39" t="s">
        <v>1950</v>
      </c>
      <c r="F828" s="37">
        <v>0</v>
      </c>
      <c r="G828" s="35" t="s">
        <v>1950</v>
      </c>
      <c r="H828" s="37">
        <v>0</v>
      </c>
      <c r="I828" s="37" t="s">
        <v>1950</v>
      </c>
      <c r="J828" s="35">
        <v>1996</v>
      </c>
      <c r="K828" s="35" t="s">
        <v>25</v>
      </c>
      <c r="L828" s="35" t="s">
        <v>1597</v>
      </c>
      <c r="M828" s="36">
        <v>22518</v>
      </c>
      <c r="N828" s="53">
        <v>0</v>
      </c>
      <c r="O828" s="40">
        <v>0</v>
      </c>
      <c r="P828" s="35">
        <v>0</v>
      </c>
      <c r="Q828" s="35" t="s">
        <v>1950</v>
      </c>
      <c r="R828" s="53">
        <v>9</v>
      </c>
      <c r="S828" s="53">
        <v>0</v>
      </c>
    </row>
    <row r="829" spans="1:19" x14ac:dyDescent="0.3">
      <c r="A829" s="35" t="s">
        <v>1586</v>
      </c>
      <c r="B829" s="35" t="s">
        <v>12</v>
      </c>
      <c r="C829" s="35" t="s">
        <v>1775</v>
      </c>
      <c r="D829" s="35">
        <v>433.63</v>
      </c>
      <c r="E829" s="39" t="s">
        <v>1950</v>
      </c>
      <c r="F829" s="37">
        <v>0</v>
      </c>
      <c r="G829" s="35" t="s">
        <v>1950</v>
      </c>
      <c r="H829" s="37">
        <v>0</v>
      </c>
      <c r="I829" s="37" t="s">
        <v>1950</v>
      </c>
      <c r="J829" s="35">
        <v>1992</v>
      </c>
      <c r="K829" s="35" t="s">
        <v>1950</v>
      </c>
      <c r="L829" s="35" t="s">
        <v>1950</v>
      </c>
      <c r="M829" s="36">
        <v>5574</v>
      </c>
      <c r="N829" s="53">
        <v>0</v>
      </c>
      <c r="O829" s="40">
        <v>0</v>
      </c>
      <c r="P829" s="35">
        <v>0</v>
      </c>
      <c r="Q829" s="35" t="s">
        <v>1950</v>
      </c>
      <c r="R829" s="53">
        <v>20</v>
      </c>
      <c r="S829" s="53">
        <v>0</v>
      </c>
    </row>
    <row r="830" spans="1:19" x14ac:dyDescent="0.3">
      <c r="A830" s="35" t="s">
        <v>1586</v>
      </c>
      <c r="B830" s="35" t="s">
        <v>14</v>
      </c>
      <c r="C830" s="35" t="s">
        <v>1775</v>
      </c>
      <c r="D830" s="35">
        <v>148.66</v>
      </c>
      <c r="E830" s="39" t="s">
        <v>1950</v>
      </c>
      <c r="F830" s="37">
        <v>0</v>
      </c>
      <c r="G830" s="35" t="s">
        <v>1950</v>
      </c>
      <c r="H830" s="37">
        <v>0</v>
      </c>
      <c r="I830" s="37" t="s">
        <v>1950</v>
      </c>
      <c r="J830" s="35">
        <v>2014</v>
      </c>
      <c r="K830" s="35" t="s">
        <v>19</v>
      </c>
      <c r="L830" s="35" t="s">
        <v>1600</v>
      </c>
      <c r="M830" s="36">
        <v>12767</v>
      </c>
      <c r="N830" s="53">
        <v>0</v>
      </c>
      <c r="O830" s="40">
        <v>0</v>
      </c>
      <c r="P830" s="35">
        <v>0</v>
      </c>
      <c r="Q830" s="35" t="s">
        <v>1950</v>
      </c>
      <c r="R830" s="53">
        <v>10</v>
      </c>
      <c r="S830" s="53">
        <v>0</v>
      </c>
    </row>
    <row r="831" spans="1:19" x14ac:dyDescent="0.3">
      <c r="A831" s="35" t="s">
        <v>1586</v>
      </c>
      <c r="B831" s="35" t="s">
        <v>14</v>
      </c>
      <c r="C831" s="35" t="s">
        <v>17</v>
      </c>
      <c r="D831" s="35">
        <v>297.45999999999998</v>
      </c>
      <c r="E831" s="39" t="s">
        <v>1950</v>
      </c>
      <c r="F831" s="37">
        <v>0</v>
      </c>
      <c r="G831" s="35" t="s">
        <v>1950</v>
      </c>
      <c r="H831" s="37">
        <v>0</v>
      </c>
      <c r="I831" s="37" t="s">
        <v>1950</v>
      </c>
      <c r="J831" s="35">
        <v>2014</v>
      </c>
      <c r="K831" s="35" t="s">
        <v>21</v>
      </c>
      <c r="L831" s="35" t="s">
        <v>1600</v>
      </c>
      <c r="M831" s="36">
        <v>20484</v>
      </c>
      <c r="N831" s="53">
        <v>0</v>
      </c>
      <c r="O831" s="40">
        <v>0</v>
      </c>
      <c r="P831" s="35">
        <v>0</v>
      </c>
      <c r="Q831" s="35" t="s">
        <v>1950</v>
      </c>
      <c r="R831" s="53">
        <v>8</v>
      </c>
      <c r="S831" s="53">
        <v>0</v>
      </c>
    </row>
    <row r="832" spans="1:19" x14ac:dyDescent="0.3">
      <c r="A832" s="35" t="s">
        <v>1586</v>
      </c>
      <c r="B832" s="35" t="s">
        <v>14</v>
      </c>
      <c r="C832" s="35" t="s">
        <v>17</v>
      </c>
      <c r="D832" s="35">
        <v>256.61</v>
      </c>
      <c r="E832" s="39" t="s">
        <v>1950</v>
      </c>
      <c r="F832" s="37">
        <v>0</v>
      </c>
      <c r="G832" s="35" t="s">
        <v>1950</v>
      </c>
      <c r="H832" s="37">
        <v>0</v>
      </c>
      <c r="I832" s="37" t="s">
        <v>1950</v>
      </c>
      <c r="J832" s="35">
        <v>2013</v>
      </c>
      <c r="K832" s="35" t="s">
        <v>19</v>
      </c>
      <c r="L832" s="35" t="s">
        <v>1601</v>
      </c>
      <c r="M832" s="36">
        <v>22495</v>
      </c>
      <c r="N832" s="53">
        <v>0</v>
      </c>
      <c r="O832" s="40">
        <v>0</v>
      </c>
      <c r="P832" s="35">
        <v>0</v>
      </c>
      <c r="Q832" s="35" t="s">
        <v>1950</v>
      </c>
      <c r="R832" s="53">
        <v>11.5</v>
      </c>
      <c r="S832" s="53">
        <v>0</v>
      </c>
    </row>
    <row r="833" spans="1:19" x14ac:dyDescent="0.3">
      <c r="A833" s="35" t="s">
        <v>1586</v>
      </c>
      <c r="B833" s="35" t="s">
        <v>14</v>
      </c>
      <c r="C833" s="35" t="s">
        <v>17</v>
      </c>
      <c r="D833" s="35">
        <v>128.24</v>
      </c>
      <c r="E833" s="39" t="s">
        <v>1950</v>
      </c>
      <c r="F833" s="37">
        <v>0</v>
      </c>
      <c r="G833" s="35" t="s">
        <v>1950</v>
      </c>
      <c r="H833" s="37">
        <v>0</v>
      </c>
      <c r="I833" s="37" t="s">
        <v>1950</v>
      </c>
      <c r="J833" s="35">
        <v>1992</v>
      </c>
      <c r="K833" s="35" t="s">
        <v>21</v>
      </c>
      <c r="L833" s="35" t="s">
        <v>1601</v>
      </c>
      <c r="M833" s="36">
        <v>26866</v>
      </c>
      <c r="N833" s="53">
        <v>0</v>
      </c>
      <c r="O833" s="40">
        <v>0</v>
      </c>
      <c r="P833" s="35">
        <v>0</v>
      </c>
      <c r="Q833" s="35" t="s">
        <v>1950</v>
      </c>
      <c r="R833" s="53">
        <v>1</v>
      </c>
      <c r="S833" s="53">
        <v>0</v>
      </c>
    </row>
    <row r="834" spans="1:19" x14ac:dyDescent="0.3">
      <c r="A834" s="35" t="s">
        <v>1586</v>
      </c>
      <c r="B834" s="35" t="s">
        <v>12</v>
      </c>
      <c r="C834" s="35" t="s">
        <v>17</v>
      </c>
      <c r="D834" s="35">
        <v>111.51</v>
      </c>
      <c r="E834" s="39" t="s">
        <v>1950</v>
      </c>
      <c r="F834" s="37">
        <v>0</v>
      </c>
      <c r="G834" s="35" t="s">
        <v>1950</v>
      </c>
      <c r="H834" s="37">
        <v>0</v>
      </c>
      <c r="I834" s="37" t="s">
        <v>1950</v>
      </c>
      <c r="J834" s="35">
        <v>2014</v>
      </c>
      <c r="K834" s="35" t="s">
        <v>1950</v>
      </c>
      <c r="L834" s="35" t="s">
        <v>1950</v>
      </c>
      <c r="M834" s="36">
        <v>16971</v>
      </c>
      <c r="N834" s="53">
        <v>0</v>
      </c>
      <c r="O834" s="40">
        <v>0</v>
      </c>
      <c r="P834" s="35">
        <v>0</v>
      </c>
      <c r="Q834" s="35" t="s">
        <v>1950</v>
      </c>
      <c r="R834" s="53">
        <v>6</v>
      </c>
      <c r="S834" s="53">
        <v>0</v>
      </c>
    </row>
    <row r="835" spans="1:19" x14ac:dyDescent="0.3">
      <c r="A835" s="35" t="s">
        <v>1586</v>
      </c>
      <c r="B835" s="35" t="s">
        <v>14</v>
      </c>
      <c r="C835" s="35" t="s">
        <v>17</v>
      </c>
      <c r="D835" s="35">
        <v>172</v>
      </c>
      <c r="E835" s="39" t="s">
        <v>1950</v>
      </c>
      <c r="F835" s="37">
        <v>0</v>
      </c>
      <c r="G835" s="35" t="s">
        <v>1950</v>
      </c>
      <c r="H835" s="37">
        <v>0</v>
      </c>
      <c r="I835" s="37" t="s">
        <v>1950</v>
      </c>
      <c r="J835" s="35">
        <v>2013</v>
      </c>
      <c r="K835" s="35" t="s">
        <v>19</v>
      </c>
      <c r="L835" s="35" t="s">
        <v>1603</v>
      </c>
      <c r="M835" s="36">
        <v>100096</v>
      </c>
      <c r="N835" s="53">
        <v>0</v>
      </c>
      <c r="O835" s="40">
        <v>0</v>
      </c>
      <c r="P835" s="35">
        <v>0</v>
      </c>
      <c r="Q835" s="35" t="s">
        <v>1950</v>
      </c>
      <c r="R835" s="53">
        <v>6</v>
      </c>
      <c r="S835" s="53">
        <v>0</v>
      </c>
    </row>
    <row r="836" spans="1:19" x14ac:dyDescent="0.3">
      <c r="A836" s="35" t="s">
        <v>1586</v>
      </c>
      <c r="B836" s="35" t="s">
        <v>14</v>
      </c>
      <c r="C836" s="35" t="s">
        <v>17</v>
      </c>
      <c r="D836" s="35">
        <v>89.71</v>
      </c>
      <c r="E836" s="39" t="s">
        <v>1950</v>
      </c>
      <c r="F836" s="37">
        <v>0</v>
      </c>
      <c r="G836" s="35" t="s">
        <v>1950</v>
      </c>
      <c r="H836" s="37">
        <v>0</v>
      </c>
      <c r="I836" s="37" t="s">
        <v>1950</v>
      </c>
      <c r="J836" s="35">
        <v>2014</v>
      </c>
      <c r="K836" s="35" t="s">
        <v>25</v>
      </c>
      <c r="L836" s="35" t="s">
        <v>1600</v>
      </c>
      <c r="M836" s="36">
        <v>18365</v>
      </c>
      <c r="N836" s="53">
        <v>0</v>
      </c>
      <c r="O836" s="40">
        <v>0</v>
      </c>
      <c r="P836" s="35">
        <v>0</v>
      </c>
      <c r="Q836" s="35" t="s">
        <v>1950</v>
      </c>
      <c r="R836" s="53">
        <v>5</v>
      </c>
      <c r="S836" s="53">
        <v>0</v>
      </c>
    </row>
    <row r="837" spans="1:19" x14ac:dyDescent="0.3">
      <c r="A837" s="35" t="s">
        <v>1586</v>
      </c>
      <c r="B837" s="35" t="s">
        <v>14</v>
      </c>
      <c r="C837" s="35" t="s">
        <v>17</v>
      </c>
      <c r="D837" s="35">
        <v>165.19</v>
      </c>
      <c r="E837" s="39" t="s">
        <v>1950</v>
      </c>
      <c r="F837" s="37">
        <v>0</v>
      </c>
      <c r="G837" s="35" t="s">
        <v>1950</v>
      </c>
      <c r="H837" s="37">
        <v>0</v>
      </c>
      <c r="I837" s="37" t="s">
        <v>1950</v>
      </c>
      <c r="J837" s="35">
        <v>2009</v>
      </c>
      <c r="K837" s="35" t="s">
        <v>19</v>
      </c>
      <c r="L837" s="35" t="s">
        <v>1601</v>
      </c>
      <c r="M837" s="36">
        <v>27076</v>
      </c>
      <c r="N837" s="53">
        <v>0</v>
      </c>
      <c r="O837" s="40">
        <v>0</v>
      </c>
      <c r="P837" s="35">
        <v>0</v>
      </c>
      <c r="Q837" s="35" t="s">
        <v>1950</v>
      </c>
      <c r="R837" s="53">
        <v>10</v>
      </c>
      <c r="S837" s="53">
        <v>0</v>
      </c>
    </row>
    <row r="838" spans="1:19" x14ac:dyDescent="0.3">
      <c r="A838" s="35" t="s">
        <v>1586</v>
      </c>
      <c r="B838" s="35" t="s">
        <v>29</v>
      </c>
      <c r="C838" s="35" t="s">
        <v>1775</v>
      </c>
      <c r="D838" s="35">
        <v>255.67</v>
      </c>
      <c r="E838" s="39" t="s">
        <v>1950</v>
      </c>
      <c r="F838" s="37">
        <v>0</v>
      </c>
      <c r="G838" s="35" t="s">
        <v>1950</v>
      </c>
      <c r="H838" s="37">
        <v>0</v>
      </c>
      <c r="I838" s="37" t="s">
        <v>1950</v>
      </c>
      <c r="J838" s="35">
        <v>2018</v>
      </c>
      <c r="K838" s="35" t="s">
        <v>1950</v>
      </c>
      <c r="L838" s="35" t="s">
        <v>1950</v>
      </c>
      <c r="M838" s="36">
        <v>2122</v>
      </c>
      <c r="N838" s="53">
        <v>0</v>
      </c>
      <c r="O838" s="40">
        <v>0</v>
      </c>
      <c r="P838" s="35">
        <v>0</v>
      </c>
      <c r="Q838" s="35" t="s">
        <v>1950</v>
      </c>
      <c r="R838" s="53">
        <v>2</v>
      </c>
      <c r="S838" s="53">
        <v>0</v>
      </c>
    </row>
    <row r="839" spans="1:19" x14ac:dyDescent="0.3">
      <c r="A839" s="35" t="s">
        <v>1586</v>
      </c>
      <c r="B839" s="35" t="s">
        <v>12</v>
      </c>
      <c r="C839" s="35" t="s">
        <v>17</v>
      </c>
      <c r="D839" s="35">
        <v>471.41</v>
      </c>
      <c r="E839" s="39" t="s">
        <v>1950</v>
      </c>
      <c r="F839" s="37">
        <v>0</v>
      </c>
      <c r="G839" s="35" t="s">
        <v>1950</v>
      </c>
      <c r="H839" s="37">
        <v>0</v>
      </c>
      <c r="I839" s="37" t="s">
        <v>1950</v>
      </c>
      <c r="J839" s="35">
        <v>1996</v>
      </c>
      <c r="K839" s="35" t="s">
        <v>25</v>
      </c>
      <c r="L839" s="35" t="s">
        <v>1597</v>
      </c>
      <c r="M839" s="36">
        <v>31011</v>
      </c>
      <c r="N839" s="53">
        <v>0</v>
      </c>
      <c r="O839" s="40">
        <v>0</v>
      </c>
      <c r="P839" s="35">
        <v>0</v>
      </c>
      <c r="Q839" s="35" t="s">
        <v>1950</v>
      </c>
      <c r="R839" s="53">
        <v>1</v>
      </c>
      <c r="S839" s="53">
        <v>0</v>
      </c>
    </row>
    <row r="840" spans="1:19" x14ac:dyDescent="0.3">
      <c r="A840" s="35" t="s">
        <v>1586</v>
      </c>
      <c r="B840" s="35" t="s">
        <v>14</v>
      </c>
      <c r="C840" s="35" t="s">
        <v>1775</v>
      </c>
      <c r="D840" s="35">
        <v>805.56</v>
      </c>
      <c r="E840" s="39" t="s">
        <v>1950</v>
      </c>
      <c r="F840" s="37">
        <v>0</v>
      </c>
      <c r="G840" s="35" t="s">
        <v>1950</v>
      </c>
      <c r="H840" s="37">
        <v>0</v>
      </c>
      <c r="I840" s="37" t="s">
        <v>1950</v>
      </c>
      <c r="J840" s="35">
        <v>2003</v>
      </c>
      <c r="K840" s="35" t="s">
        <v>25</v>
      </c>
      <c r="L840" s="35" t="s">
        <v>1600</v>
      </c>
      <c r="M840" s="36">
        <v>10960</v>
      </c>
      <c r="N840" s="53">
        <v>0</v>
      </c>
      <c r="O840" s="40">
        <v>0</v>
      </c>
      <c r="P840" s="35">
        <v>0</v>
      </c>
      <c r="Q840" s="35" t="s">
        <v>1950</v>
      </c>
      <c r="R840" s="53">
        <v>6</v>
      </c>
      <c r="S840" s="53">
        <v>0</v>
      </c>
    </row>
    <row r="841" spans="1:19" x14ac:dyDescent="0.3">
      <c r="A841" s="35" t="s">
        <v>1586</v>
      </c>
      <c r="B841" s="35" t="s">
        <v>14</v>
      </c>
      <c r="C841" s="35" t="s">
        <v>1775</v>
      </c>
      <c r="D841" s="35">
        <v>1221.8800000000001</v>
      </c>
      <c r="E841" s="39" t="s">
        <v>1950</v>
      </c>
      <c r="F841" s="37">
        <v>0</v>
      </c>
      <c r="G841" s="35" t="s">
        <v>1950</v>
      </c>
      <c r="H841" s="37">
        <v>0</v>
      </c>
      <c r="I841" s="37" t="s">
        <v>1950</v>
      </c>
      <c r="J841" s="35">
        <v>1997</v>
      </c>
      <c r="K841" s="35" t="s">
        <v>1950</v>
      </c>
      <c r="L841" s="35" t="s">
        <v>1950</v>
      </c>
      <c r="M841" s="36">
        <v>11816</v>
      </c>
      <c r="N841" s="53">
        <v>0</v>
      </c>
      <c r="O841" s="40">
        <v>0</v>
      </c>
      <c r="P841" s="35">
        <v>0</v>
      </c>
      <c r="Q841" s="35" t="s">
        <v>1950</v>
      </c>
      <c r="R841" s="53">
        <v>23</v>
      </c>
      <c r="S841" s="53">
        <v>0</v>
      </c>
    </row>
    <row r="842" spans="1:19" x14ac:dyDescent="0.3">
      <c r="A842" s="35" t="s">
        <v>1586</v>
      </c>
      <c r="B842" s="35" t="s">
        <v>29</v>
      </c>
      <c r="C842" s="35" t="s">
        <v>17</v>
      </c>
      <c r="D842" s="35">
        <v>212.79</v>
      </c>
      <c r="E842" s="39" t="s">
        <v>1950</v>
      </c>
      <c r="F842" s="37">
        <v>0</v>
      </c>
      <c r="G842" s="35" t="s">
        <v>1950</v>
      </c>
      <c r="H842" s="37">
        <v>0</v>
      </c>
      <c r="I842" s="37" t="s">
        <v>1950</v>
      </c>
      <c r="J842" s="35">
        <v>1987</v>
      </c>
      <c r="K842" s="35" t="s">
        <v>1950</v>
      </c>
      <c r="L842" s="35" t="s">
        <v>1950</v>
      </c>
      <c r="M842" s="36">
        <v>59329</v>
      </c>
      <c r="N842" s="53">
        <v>0</v>
      </c>
      <c r="O842" s="40">
        <v>0</v>
      </c>
      <c r="P842" s="35">
        <v>0</v>
      </c>
      <c r="Q842" s="35" t="s">
        <v>1950</v>
      </c>
      <c r="R842" s="53">
        <v>15</v>
      </c>
      <c r="S842" s="53">
        <v>0</v>
      </c>
    </row>
    <row r="843" spans="1:19" x14ac:dyDescent="0.3">
      <c r="A843" s="35" t="s">
        <v>1586</v>
      </c>
      <c r="B843" s="35" t="s">
        <v>29</v>
      </c>
      <c r="C843" s="35" t="s">
        <v>17</v>
      </c>
      <c r="D843" s="35">
        <v>306.32</v>
      </c>
      <c r="E843" s="39" t="s">
        <v>1950</v>
      </c>
      <c r="F843" s="37">
        <v>0</v>
      </c>
      <c r="G843" s="35" t="s">
        <v>1950</v>
      </c>
      <c r="H843" s="37">
        <v>0</v>
      </c>
      <c r="I843" s="37" t="s">
        <v>1950</v>
      </c>
      <c r="J843" s="35">
        <v>2012</v>
      </c>
      <c r="K843" s="35" t="s">
        <v>1950</v>
      </c>
      <c r="L843" s="35" t="s">
        <v>1950</v>
      </c>
      <c r="M843" s="36">
        <v>16026</v>
      </c>
      <c r="N843" s="53">
        <v>0</v>
      </c>
      <c r="O843" s="40">
        <v>0</v>
      </c>
      <c r="P843" s="35">
        <v>0</v>
      </c>
      <c r="Q843" s="35" t="s">
        <v>1950</v>
      </c>
      <c r="R843" s="53">
        <v>6</v>
      </c>
      <c r="S843" s="53">
        <v>0</v>
      </c>
    </row>
    <row r="844" spans="1:19" x14ac:dyDescent="0.3">
      <c r="A844" s="35" t="s">
        <v>1586</v>
      </c>
      <c r="B844" s="35" t="s">
        <v>29</v>
      </c>
      <c r="C844" s="35" t="s">
        <v>1775</v>
      </c>
      <c r="D844" s="35">
        <v>266.64999999999998</v>
      </c>
      <c r="E844" s="39" t="s">
        <v>1950</v>
      </c>
      <c r="F844" s="37">
        <v>0</v>
      </c>
      <c r="G844" s="35" t="s">
        <v>1950</v>
      </c>
      <c r="H844" s="37">
        <v>0</v>
      </c>
      <c r="I844" s="37" t="s">
        <v>1950</v>
      </c>
      <c r="J844" s="35">
        <v>2015</v>
      </c>
      <c r="K844" s="35" t="s">
        <v>2663</v>
      </c>
      <c r="L844" s="35" t="s">
        <v>1950</v>
      </c>
      <c r="M844" s="36">
        <v>8140</v>
      </c>
      <c r="N844" s="53">
        <v>0</v>
      </c>
      <c r="O844" s="40">
        <v>0</v>
      </c>
      <c r="P844" s="35">
        <v>0</v>
      </c>
      <c r="Q844" s="35" t="s">
        <v>1950</v>
      </c>
      <c r="R844" s="53">
        <v>5</v>
      </c>
      <c r="S844" s="53">
        <v>0</v>
      </c>
    </row>
    <row r="845" spans="1:19" x14ac:dyDescent="0.3">
      <c r="A845" s="35" t="s">
        <v>1586</v>
      </c>
      <c r="B845" s="35" t="s">
        <v>29</v>
      </c>
      <c r="C845" s="35" t="s">
        <v>17</v>
      </c>
      <c r="D845" s="35">
        <v>270.08999999999997</v>
      </c>
      <c r="E845" s="39" t="s">
        <v>1950</v>
      </c>
      <c r="F845" s="37">
        <v>0</v>
      </c>
      <c r="G845" s="35" t="s">
        <v>1950</v>
      </c>
      <c r="H845" s="37">
        <v>0</v>
      </c>
      <c r="I845" s="37" t="s">
        <v>1950</v>
      </c>
      <c r="J845" s="35">
        <v>2012</v>
      </c>
      <c r="K845" s="35" t="s">
        <v>19</v>
      </c>
      <c r="L845" s="35" t="s">
        <v>1603</v>
      </c>
      <c r="M845" s="36">
        <v>29227</v>
      </c>
      <c r="N845" s="53">
        <v>0</v>
      </c>
      <c r="O845" s="40">
        <v>0</v>
      </c>
      <c r="P845" s="35">
        <v>0</v>
      </c>
      <c r="Q845" s="35" t="s">
        <v>1950</v>
      </c>
      <c r="R845" s="53">
        <v>7</v>
      </c>
      <c r="S845" s="53">
        <v>0</v>
      </c>
    </row>
    <row r="846" spans="1:19" x14ac:dyDescent="0.3">
      <c r="A846" s="35" t="s">
        <v>1586</v>
      </c>
      <c r="B846" s="35" t="s">
        <v>12</v>
      </c>
      <c r="C846" s="35" t="s">
        <v>1775</v>
      </c>
      <c r="D846" s="35">
        <v>136.27000000000001</v>
      </c>
      <c r="E846" s="39" t="s">
        <v>1950</v>
      </c>
      <c r="F846" s="37">
        <v>0</v>
      </c>
      <c r="G846" s="35" t="s">
        <v>1950</v>
      </c>
      <c r="H846" s="37">
        <v>0</v>
      </c>
      <c r="I846" s="37" t="s">
        <v>1950</v>
      </c>
      <c r="J846" s="35">
        <v>1996</v>
      </c>
      <c r="K846" s="35" t="s">
        <v>25</v>
      </c>
      <c r="L846" s="35" t="s">
        <v>1597</v>
      </c>
      <c r="M846" s="36">
        <v>5659</v>
      </c>
      <c r="N846" s="53">
        <v>0</v>
      </c>
      <c r="O846" s="40">
        <v>0</v>
      </c>
      <c r="P846" s="35">
        <v>0</v>
      </c>
      <c r="Q846" s="35" t="s">
        <v>1950</v>
      </c>
      <c r="R846" s="53">
        <v>5</v>
      </c>
      <c r="S846" s="53">
        <v>0</v>
      </c>
    </row>
    <row r="847" spans="1:19" x14ac:dyDescent="0.3">
      <c r="A847" s="35" t="s">
        <v>1586</v>
      </c>
      <c r="B847" s="35" t="s">
        <v>8</v>
      </c>
      <c r="C847" s="35" t="s">
        <v>2662</v>
      </c>
      <c r="D847" s="35">
        <v>289.33</v>
      </c>
      <c r="E847" s="39" t="s">
        <v>1950</v>
      </c>
      <c r="F847" s="37">
        <v>0</v>
      </c>
      <c r="G847" s="35" t="s">
        <v>1950</v>
      </c>
      <c r="H847" s="37">
        <v>0</v>
      </c>
      <c r="I847" s="37" t="s">
        <v>1950</v>
      </c>
      <c r="J847" s="35">
        <v>2013</v>
      </c>
      <c r="K847" s="35" t="s">
        <v>19</v>
      </c>
      <c r="L847" s="35" t="s">
        <v>1598</v>
      </c>
      <c r="M847" s="36">
        <v>94046</v>
      </c>
      <c r="N847" s="53">
        <v>0</v>
      </c>
      <c r="O847" s="40">
        <v>0</v>
      </c>
      <c r="P847" s="35">
        <v>0</v>
      </c>
      <c r="Q847" s="35" t="s">
        <v>1950</v>
      </c>
      <c r="R847" s="53">
        <v>0</v>
      </c>
      <c r="S847" s="53">
        <v>0</v>
      </c>
    </row>
    <row r="848" spans="1:19" x14ac:dyDescent="0.3">
      <c r="A848" s="35" t="s">
        <v>1586</v>
      </c>
      <c r="B848" s="35" t="s">
        <v>14</v>
      </c>
      <c r="C848" s="35" t="s">
        <v>2662</v>
      </c>
      <c r="D848" s="35">
        <v>249.44</v>
      </c>
      <c r="E848" s="39" t="s">
        <v>1950</v>
      </c>
      <c r="F848" s="37">
        <v>0</v>
      </c>
      <c r="G848" s="35" t="s">
        <v>1950</v>
      </c>
      <c r="H848" s="37">
        <v>0</v>
      </c>
      <c r="I848" s="37" t="s">
        <v>1950</v>
      </c>
      <c r="J848" s="35">
        <v>2013</v>
      </c>
      <c r="K848" s="35" t="s">
        <v>21</v>
      </c>
      <c r="L848" s="35" t="s">
        <v>1600</v>
      </c>
      <c r="M848" s="36">
        <v>75269</v>
      </c>
      <c r="N848" s="53">
        <v>0</v>
      </c>
      <c r="O848" s="40">
        <v>0</v>
      </c>
      <c r="P848" s="35">
        <v>0</v>
      </c>
      <c r="Q848" s="35" t="s">
        <v>1950</v>
      </c>
      <c r="R848" s="53">
        <v>7</v>
      </c>
      <c r="S848" s="53">
        <v>0</v>
      </c>
    </row>
    <row r="849" spans="1:19" x14ac:dyDescent="0.3">
      <c r="A849" s="35" t="s">
        <v>1586</v>
      </c>
      <c r="B849" s="35" t="s">
        <v>14</v>
      </c>
      <c r="C849" s="35" t="s">
        <v>2662</v>
      </c>
      <c r="D849" s="35">
        <v>111.43</v>
      </c>
      <c r="E849" s="39" t="s">
        <v>1950</v>
      </c>
      <c r="F849" s="37">
        <v>0</v>
      </c>
      <c r="G849" s="35" t="s">
        <v>1950</v>
      </c>
      <c r="H849" s="37">
        <v>0</v>
      </c>
      <c r="I849" s="37" t="s">
        <v>1950</v>
      </c>
      <c r="J849" s="35">
        <v>1988</v>
      </c>
      <c r="K849" s="35" t="s">
        <v>21</v>
      </c>
      <c r="L849" s="35" t="s">
        <v>1599</v>
      </c>
      <c r="M849" s="36">
        <v>54211</v>
      </c>
      <c r="N849" s="53">
        <v>0</v>
      </c>
      <c r="O849" s="40">
        <v>0</v>
      </c>
      <c r="P849" s="35">
        <v>0</v>
      </c>
      <c r="Q849" s="35" t="s">
        <v>1950</v>
      </c>
      <c r="R849" s="53">
        <v>5</v>
      </c>
      <c r="S849" s="53">
        <v>0</v>
      </c>
    </row>
    <row r="850" spans="1:19" x14ac:dyDescent="0.3">
      <c r="A850" s="35" t="s">
        <v>1586</v>
      </c>
      <c r="B850" s="35" t="s">
        <v>12</v>
      </c>
      <c r="C850" s="35" t="s">
        <v>1775</v>
      </c>
      <c r="D850" s="35">
        <v>51.4</v>
      </c>
      <c r="E850" s="39" t="s">
        <v>1950</v>
      </c>
      <c r="F850" s="37">
        <v>0</v>
      </c>
      <c r="G850" s="35" t="s">
        <v>1950</v>
      </c>
      <c r="H850" s="37">
        <v>0</v>
      </c>
      <c r="I850" s="37" t="s">
        <v>1950</v>
      </c>
      <c r="J850" s="35">
        <v>1996</v>
      </c>
      <c r="K850" s="35" t="s">
        <v>47</v>
      </c>
      <c r="L850" s="35" t="s">
        <v>1599</v>
      </c>
      <c r="M850" s="36">
        <v>6100</v>
      </c>
      <c r="N850" s="53">
        <v>0</v>
      </c>
      <c r="O850" s="40">
        <v>0</v>
      </c>
      <c r="P850" s="35">
        <v>0</v>
      </c>
      <c r="Q850" s="35" t="s">
        <v>1950</v>
      </c>
      <c r="R850" s="53">
        <v>4</v>
      </c>
      <c r="S850" s="53">
        <v>0</v>
      </c>
    </row>
    <row r="851" spans="1:19" x14ac:dyDescent="0.3">
      <c r="A851" s="35" t="s">
        <v>1586</v>
      </c>
      <c r="B851" s="35" t="s">
        <v>14</v>
      </c>
      <c r="C851" s="35" t="s">
        <v>17</v>
      </c>
      <c r="D851" s="35">
        <v>163.41</v>
      </c>
      <c r="E851" s="39" t="s">
        <v>1950</v>
      </c>
      <c r="F851" s="37">
        <v>0</v>
      </c>
      <c r="G851" s="35" t="s">
        <v>1950</v>
      </c>
      <c r="H851" s="37">
        <v>0</v>
      </c>
      <c r="I851" s="37" t="s">
        <v>1950</v>
      </c>
      <c r="J851" s="35">
        <v>1995</v>
      </c>
      <c r="K851" s="35" t="s">
        <v>47</v>
      </c>
      <c r="L851" s="35" t="s">
        <v>1599</v>
      </c>
      <c r="M851" s="36">
        <v>20143</v>
      </c>
      <c r="N851" s="53">
        <v>0</v>
      </c>
      <c r="O851" s="40">
        <v>0</v>
      </c>
      <c r="P851" s="35">
        <v>0</v>
      </c>
      <c r="Q851" s="35" t="s">
        <v>1950</v>
      </c>
      <c r="R851" s="53">
        <v>4</v>
      </c>
      <c r="S851" s="53">
        <v>0</v>
      </c>
    </row>
    <row r="852" spans="1:19" x14ac:dyDescent="0.3">
      <c r="A852" s="35" t="s">
        <v>1586</v>
      </c>
      <c r="B852" s="35" t="s">
        <v>14</v>
      </c>
      <c r="C852" s="35" t="s">
        <v>17</v>
      </c>
      <c r="D852" s="35">
        <v>19.96</v>
      </c>
      <c r="E852" s="39" t="s">
        <v>1950</v>
      </c>
      <c r="F852" s="37">
        <v>0</v>
      </c>
      <c r="G852" s="35" t="s">
        <v>1950</v>
      </c>
      <c r="H852" s="37">
        <v>0</v>
      </c>
      <c r="I852" s="37" t="s">
        <v>1950</v>
      </c>
      <c r="J852" s="35">
        <v>2013</v>
      </c>
      <c r="K852" s="35" t="s">
        <v>19</v>
      </c>
      <c r="L852" s="35" t="s">
        <v>1600</v>
      </c>
      <c r="M852" s="36">
        <v>25510</v>
      </c>
      <c r="N852" s="53">
        <v>0</v>
      </c>
      <c r="O852" s="40">
        <v>0</v>
      </c>
      <c r="P852" s="35">
        <v>0</v>
      </c>
      <c r="Q852" s="35" t="s">
        <v>1950</v>
      </c>
      <c r="R852" s="53">
        <v>4</v>
      </c>
      <c r="S852" s="53">
        <v>0</v>
      </c>
    </row>
    <row r="853" spans="1:19" x14ac:dyDescent="0.3">
      <c r="A853" s="35" t="s">
        <v>1586</v>
      </c>
      <c r="B853" s="35" t="s">
        <v>14</v>
      </c>
      <c r="C853" s="35" t="s">
        <v>2662</v>
      </c>
      <c r="D853" s="35">
        <v>303.68</v>
      </c>
      <c r="E853" s="39" t="s">
        <v>1950</v>
      </c>
      <c r="F853" s="37">
        <v>0</v>
      </c>
      <c r="G853" s="35" t="s">
        <v>1950</v>
      </c>
      <c r="H853" s="37">
        <v>0</v>
      </c>
      <c r="I853" s="37" t="s">
        <v>1950</v>
      </c>
      <c r="J853" s="35">
        <v>2006</v>
      </c>
      <c r="K853" s="35" t="s">
        <v>25</v>
      </c>
      <c r="L853" s="35" t="s">
        <v>1606</v>
      </c>
      <c r="M853" s="36">
        <v>48424</v>
      </c>
      <c r="N853" s="53">
        <v>0</v>
      </c>
      <c r="O853" s="40">
        <v>0</v>
      </c>
      <c r="P853" s="35">
        <v>0</v>
      </c>
      <c r="Q853" s="35" t="s">
        <v>1950</v>
      </c>
      <c r="R853" s="53">
        <v>7</v>
      </c>
      <c r="S853" s="53">
        <v>0</v>
      </c>
    </row>
    <row r="854" spans="1:19" x14ac:dyDescent="0.3">
      <c r="A854" s="35" t="s">
        <v>1586</v>
      </c>
      <c r="B854" s="35" t="s">
        <v>12</v>
      </c>
      <c r="C854" s="35" t="s">
        <v>17</v>
      </c>
      <c r="D854" s="35">
        <v>441.97</v>
      </c>
      <c r="E854" s="39" t="s">
        <v>1950</v>
      </c>
      <c r="F854" s="37">
        <v>0</v>
      </c>
      <c r="G854" s="35" t="s">
        <v>1950</v>
      </c>
      <c r="H854" s="37">
        <v>0</v>
      </c>
      <c r="I854" s="37" t="s">
        <v>1950</v>
      </c>
      <c r="J854" s="35">
        <v>1981</v>
      </c>
      <c r="K854" s="35" t="s">
        <v>1950</v>
      </c>
      <c r="L854" s="35" t="s">
        <v>1950</v>
      </c>
      <c r="M854" s="36">
        <v>29413</v>
      </c>
      <c r="N854" s="53">
        <v>0</v>
      </c>
      <c r="O854" s="40">
        <v>0</v>
      </c>
      <c r="P854" s="35">
        <v>0</v>
      </c>
      <c r="Q854" s="35" t="s">
        <v>1950</v>
      </c>
      <c r="R854" s="53">
        <v>5</v>
      </c>
      <c r="S854" s="53">
        <v>0</v>
      </c>
    </row>
    <row r="855" spans="1:19" x14ac:dyDescent="0.3">
      <c r="A855" s="35" t="s">
        <v>1586</v>
      </c>
      <c r="B855" s="35" t="s">
        <v>14</v>
      </c>
      <c r="C855" s="35" t="s">
        <v>17</v>
      </c>
      <c r="D855" s="35">
        <v>116.38</v>
      </c>
      <c r="E855" s="39" t="s">
        <v>1950</v>
      </c>
      <c r="F855" s="37">
        <v>0</v>
      </c>
      <c r="G855" s="35" t="s">
        <v>1950</v>
      </c>
      <c r="H855" s="37">
        <v>0</v>
      </c>
      <c r="I855" s="37" t="s">
        <v>1950</v>
      </c>
      <c r="J855" s="35">
        <v>1985</v>
      </c>
      <c r="K855" s="35" t="s">
        <v>19</v>
      </c>
      <c r="L855" s="35" t="s">
        <v>1601</v>
      </c>
      <c r="M855" s="36">
        <v>55206</v>
      </c>
      <c r="N855" s="53">
        <v>0</v>
      </c>
      <c r="O855" s="40">
        <v>0</v>
      </c>
      <c r="P855" s="35">
        <v>0</v>
      </c>
      <c r="Q855" s="35" t="s">
        <v>1950</v>
      </c>
      <c r="R855" s="53">
        <v>2</v>
      </c>
      <c r="S855" s="53">
        <v>0</v>
      </c>
    </row>
    <row r="856" spans="1:19" x14ac:dyDescent="0.3">
      <c r="A856" s="35" t="s">
        <v>1586</v>
      </c>
      <c r="B856" s="35" t="s">
        <v>14</v>
      </c>
      <c r="C856" s="35" t="s">
        <v>17</v>
      </c>
      <c r="D856" s="35">
        <v>199.6</v>
      </c>
      <c r="E856" s="39" t="s">
        <v>1950</v>
      </c>
      <c r="F856" s="37">
        <v>0</v>
      </c>
      <c r="G856" s="35" t="s">
        <v>1950</v>
      </c>
      <c r="H856" s="37">
        <v>0</v>
      </c>
      <c r="I856" s="37" t="s">
        <v>1950</v>
      </c>
      <c r="J856" s="35">
        <v>2001</v>
      </c>
      <c r="K856" s="35" t="s">
        <v>1950</v>
      </c>
      <c r="L856" s="35" t="s">
        <v>1950</v>
      </c>
      <c r="M856" s="36">
        <v>15423</v>
      </c>
      <c r="N856" s="53">
        <v>0</v>
      </c>
      <c r="O856" s="40">
        <v>0</v>
      </c>
      <c r="P856" s="35">
        <v>0</v>
      </c>
      <c r="Q856" s="35" t="s">
        <v>1950</v>
      </c>
      <c r="R856" s="53">
        <v>14</v>
      </c>
      <c r="S856" s="53">
        <v>0</v>
      </c>
    </row>
    <row r="857" spans="1:19" x14ac:dyDescent="0.3">
      <c r="A857" s="35" t="s">
        <v>1586</v>
      </c>
      <c r="B857" s="35" t="s">
        <v>14</v>
      </c>
      <c r="C857" s="35" t="s">
        <v>1775</v>
      </c>
      <c r="D857" s="35">
        <v>135.84</v>
      </c>
      <c r="E857" s="39" t="s">
        <v>1950</v>
      </c>
      <c r="F857" s="37">
        <v>0</v>
      </c>
      <c r="G857" s="35" t="s">
        <v>1950</v>
      </c>
      <c r="H857" s="37">
        <v>0</v>
      </c>
      <c r="I857" s="37" t="s">
        <v>1950</v>
      </c>
      <c r="J857" s="35">
        <v>1999</v>
      </c>
      <c r="K857" s="35" t="s">
        <v>1950</v>
      </c>
      <c r="L857" s="35" t="s">
        <v>1950</v>
      </c>
      <c r="M857" s="36">
        <v>11470</v>
      </c>
      <c r="N857" s="53">
        <v>0</v>
      </c>
      <c r="O857" s="40">
        <v>0</v>
      </c>
      <c r="P857" s="35">
        <v>0</v>
      </c>
      <c r="Q857" s="35" t="s">
        <v>1950</v>
      </c>
      <c r="R857" s="53">
        <v>1</v>
      </c>
      <c r="S857" s="53">
        <v>0</v>
      </c>
    </row>
    <row r="858" spans="1:19" x14ac:dyDescent="0.3">
      <c r="A858" s="35" t="s">
        <v>1586</v>
      </c>
      <c r="B858" s="35" t="s">
        <v>14</v>
      </c>
      <c r="C858" s="35" t="s">
        <v>1775</v>
      </c>
      <c r="D858" s="35">
        <v>265.08999999999997</v>
      </c>
      <c r="E858" s="39" t="s">
        <v>1950</v>
      </c>
      <c r="F858" s="37">
        <v>0</v>
      </c>
      <c r="G858" s="35" t="s">
        <v>1950</v>
      </c>
      <c r="H858" s="37">
        <v>0</v>
      </c>
      <c r="I858" s="37" t="s">
        <v>1950</v>
      </c>
      <c r="J858" s="35">
        <v>1998</v>
      </c>
      <c r="K858" s="35" t="s">
        <v>1950</v>
      </c>
      <c r="L858" s="35" t="s">
        <v>1950</v>
      </c>
      <c r="M858" s="36">
        <v>8908</v>
      </c>
      <c r="N858" s="53">
        <v>0</v>
      </c>
      <c r="O858" s="40">
        <v>0</v>
      </c>
      <c r="P858" s="35">
        <v>0</v>
      </c>
      <c r="Q858" s="35" t="s">
        <v>1950</v>
      </c>
      <c r="R858" s="53">
        <v>2</v>
      </c>
      <c r="S858" s="53">
        <v>0</v>
      </c>
    </row>
    <row r="859" spans="1:19" x14ac:dyDescent="0.3">
      <c r="A859" s="35" t="s">
        <v>1586</v>
      </c>
      <c r="B859" s="35" t="s">
        <v>14</v>
      </c>
      <c r="C859" s="35" t="s">
        <v>1775</v>
      </c>
      <c r="D859" s="35">
        <v>129.78</v>
      </c>
      <c r="E859" s="39" t="s">
        <v>1950</v>
      </c>
      <c r="F859" s="37">
        <v>0</v>
      </c>
      <c r="G859" s="35" t="s">
        <v>1950</v>
      </c>
      <c r="H859" s="37">
        <v>0</v>
      </c>
      <c r="I859" s="37" t="s">
        <v>1950</v>
      </c>
      <c r="J859" s="35">
        <v>1999</v>
      </c>
      <c r="K859" s="35" t="s">
        <v>1950</v>
      </c>
      <c r="L859" s="35" t="s">
        <v>1950</v>
      </c>
      <c r="M859" s="36">
        <v>10416</v>
      </c>
      <c r="N859" s="53">
        <v>0</v>
      </c>
      <c r="O859" s="40">
        <v>0</v>
      </c>
      <c r="P859" s="35">
        <v>0</v>
      </c>
      <c r="Q859" s="35" t="s">
        <v>1950</v>
      </c>
      <c r="R859" s="53">
        <v>1</v>
      </c>
      <c r="S859" s="53">
        <v>0</v>
      </c>
    </row>
    <row r="860" spans="1:19" x14ac:dyDescent="0.3">
      <c r="A860" s="35" t="s">
        <v>1586</v>
      </c>
      <c r="B860" s="35" t="s">
        <v>14</v>
      </c>
      <c r="C860" s="35" t="s">
        <v>1775</v>
      </c>
      <c r="D860" s="35">
        <v>189.66</v>
      </c>
      <c r="E860" s="39" t="s">
        <v>1950</v>
      </c>
      <c r="F860" s="37">
        <v>0</v>
      </c>
      <c r="G860" s="35" t="s">
        <v>1950</v>
      </c>
      <c r="H860" s="37">
        <v>0</v>
      </c>
      <c r="I860" s="37" t="s">
        <v>1950</v>
      </c>
      <c r="J860" s="35">
        <v>1999</v>
      </c>
      <c r="K860" s="35" t="s">
        <v>1950</v>
      </c>
      <c r="L860" s="35" t="s">
        <v>1950</v>
      </c>
      <c r="M860" s="36">
        <v>10417</v>
      </c>
      <c r="N860" s="53">
        <v>0</v>
      </c>
      <c r="O860" s="40">
        <v>0</v>
      </c>
      <c r="P860" s="35">
        <v>0</v>
      </c>
      <c r="Q860" s="35" t="s">
        <v>1950</v>
      </c>
      <c r="R860" s="53">
        <v>1</v>
      </c>
      <c r="S860" s="53">
        <v>0</v>
      </c>
    </row>
    <row r="861" spans="1:19" x14ac:dyDescent="0.3">
      <c r="A861" s="35" t="s">
        <v>1586</v>
      </c>
      <c r="B861" s="35" t="s">
        <v>29</v>
      </c>
      <c r="C861" s="35" t="s">
        <v>17</v>
      </c>
      <c r="D861" s="35">
        <v>218.94</v>
      </c>
      <c r="E861" s="39" t="s">
        <v>1950</v>
      </c>
      <c r="F861" s="37">
        <v>0</v>
      </c>
      <c r="G861" s="35" t="s">
        <v>1950</v>
      </c>
      <c r="H861" s="37">
        <v>0</v>
      </c>
      <c r="I861" s="37" t="s">
        <v>1950</v>
      </c>
      <c r="J861" s="35">
        <v>1985</v>
      </c>
      <c r="K861" s="35" t="s">
        <v>25</v>
      </c>
      <c r="L861" s="35" t="s">
        <v>1597</v>
      </c>
      <c r="M861" s="36">
        <v>21089</v>
      </c>
      <c r="N861" s="53">
        <v>0</v>
      </c>
      <c r="O861" s="40">
        <v>0</v>
      </c>
      <c r="P861" s="35">
        <v>0</v>
      </c>
      <c r="Q861" s="35" t="s">
        <v>1950</v>
      </c>
      <c r="R861" s="53">
        <v>15</v>
      </c>
      <c r="S861" s="53">
        <v>0</v>
      </c>
    </row>
    <row r="862" spans="1:19" x14ac:dyDescent="0.3">
      <c r="A862" s="35" t="s">
        <v>1586</v>
      </c>
      <c r="B862" s="35" t="s">
        <v>14</v>
      </c>
      <c r="C862" s="35" t="s">
        <v>17</v>
      </c>
      <c r="D862" s="35">
        <v>447.36</v>
      </c>
      <c r="E862" s="39" t="s">
        <v>1950</v>
      </c>
      <c r="F862" s="37">
        <v>0</v>
      </c>
      <c r="G862" s="35" t="s">
        <v>1950</v>
      </c>
      <c r="H862" s="37">
        <v>0</v>
      </c>
      <c r="I862" s="37" t="s">
        <v>1950</v>
      </c>
      <c r="J862" s="35">
        <v>1988</v>
      </c>
      <c r="K862" s="35" t="s">
        <v>19</v>
      </c>
      <c r="L862" s="35" t="s">
        <v>1601</v>
      </c>
      <c r="M862" s="36">
        <v>17284</v>
      </c>
      <c r="N862" s="53">
        <v>0</v>
      </c>
      <c r="O862" s="40">
        <v>0</v>
      </c>
      <c r="P862" s="35">
        <v>0</v>
      </c>
      <c r="Q862" s="35" t="s">
        <v>1950</v>
      </c>
      <c r="R862" s="53">
        <v>1</v>
      </c>
      <c r="S862" s="53">
        <v>0</v>
      </c>
    </row>
    <row r="863" spans="1:19" x14ac:dyDescent="0.3">
      <c r="A863" s="35" t="s">
        <v>1586</v>
      </c>
      <c r="B863" s="35" t="s">
        <v>14</v>
      </c>
      <c r="C863" s="35" t="s">
        <v>17</v>
      </c>
      <c r="D863" s="35">
        <v>298.43</v>
      </c>
      <c r="E863" s="39" t="s">
        <v>1950</v>
      </c>
      <c r="F863" s="37">
        <v>0</v>
      </c>
      <c r="G863" s="35" t="s">
        <v>1950</v>
      </c>
      <c r="H863" s="37">
        <v>0</v>
      </c>
      <c r="I863" s="37" t="s">
        <v>1950</v>
      </c>
      <c r="J863" s="35">
        <v>1998</v>
      </c>
      <c r="K863" s="35" t="s">
        <v>21</v>
      </c>
      <c r="L863" s="35" t="s">
        <v>1601</v>
      </c>
      <c r="M863" s="36">
        <v>36196</v>
      </c>
      <c r="N863" s="53">
        <v>0</v>
      </c>
      <c r="O863" s="40">
        <v>0</v>
      </c>
      <c r="P863" s="35">
        <v>0</v>
      </c>
      <c r="Q863" s="35" t="s">
        <v>1950</v>
      </c>
      <c r="R863" s="53">
        <v>4</v>
      </c>
      <c r="S863" s="53">
        <v>0</v>
      </c>
    </row>
    <row r="864" spans="1:19" x14ac:dyDescent="0.3">
      <c r="A864" s="35" t="s">
        <v>1586</v>
      </c>
      <c r="B864" s="35" t="s">
        <v>29</v>
      </c>
      <c r="C864" s="35" t="s">
        <v>1775</v>
      </c>
      <c r="D864" s="35">
        <v>215.22</v>
      </c>
      <c r="E864" s="39" t="s">
        <v>1950</v>
      </c>
      <c r="F864" s="37">
        <v>0</v>
      </c>
      <c r="G864" s="35" t="s">
        <v>1950</v>
      </c>
      <c r="H864" s="37">
        <v>0</v>
      </c>
      <c r="I864" s="37" t="s">
        <v>1950</v>
      </c>
      <c r="J864" s="35">
        <v>2011</v>
      </c>
      <c r="K864" s="35" t="s">
        <v>25</v>
      </c>
      <c r="L864" s="35" t="s">
        <v>1597</v>
      </c>
      <c r="M864" s="36">
        <v>13539</v>
      </c>
      <c r="N864" s="53">
        <v>0</v>
      </c>
      <c r="O864" s="40">
        <v>0</v>
      </c>
      <c r="P864" s="35">
        <v>0</v>
      </c>
      <c r="Q864" s="35" t="s">
        <v>1950</v>
      </c>
      <c r="R864" s="53">
        <v>8</v>
      </c>
      <c r="S864" s="53">
        <v>0</v>
      </c>
    </row>
    <row r="865" spans="1:19" x14ac:dyDescent="0.3">
      <c r="A865" s="35" t="s">
        <v>1586</v>
      </c>
      <c r="B865" s="35" t="s">
        <v>12</v>
      </c>
      <c r="C865" s="35" t="s">
        <v>1775</v>
      </c>
      <c r="D865" s="35">
        <v>248.72</v>
      </c>
      <c r="E865" s="39" t="s">
        <v>1950</v>
      </c>
      <c r="F865" s="37">
        <v>0</v>
      </c>
      <c r="G865" s="35" t="s">
        <v>1950</v>
      </c>
      <c r="H865" s="37">
        <v>0</v>
      </c>
      <c r="I865" s="37" t="s">
        <v>1950</v>
      </c>
      <c r="J865" s="35">
        <v>1984</v>
      </c>
      <c r="K865" s="35" t="s">
        <v>1950</v>
      </c>
      <c r="L865" s="35" t="s">
        <v>1950</v>
      </c>
      <c r="M865" s="36">
        <v>6188</v>
      </c>
      <c r="N865" s="53">
        <v>0</v>
      </c>
      <c r="O865" s="40">
        <v>0</v>
      </c>
      <c r="P865" s="35">
        <v>0</v>
      </c>
      <c r="Q865" s="35" t="s">
        <v>1950</v>
      </c>
      <c r="R865" s="53">
        <v>3</v>
      </c>
      <c r="S865" s="53">
        <v>0</v>
      </c>
    </row>
    <row r="866" spans="1:19" x14ac:dyDescent="0.3">
      <c r="A866" s="35" t="s">
        <v>1586</v>
      </c>
      <c r="B866" s="35" t="s">
        <v>29</v>
      </c>
      <c r="C866" s="35" t="s">
        <v>17</v>
      </c>
      <c r="D866" s="35">
        <v>187.05</v>
      </c>
      <c r="E866" s="39" t="s">
        <v>1950</v>
      </c>
      <c r="F866" s="37">
        <v>0</v>
      </c>
      <c r="G866" s="35" t="s">
        <v>1950</v>
      </c>
      <c r="H866" s="37">
        <v>0</v>
      </c>
      <c r="I866" s="37" t="s">
        <v>1950</v>
      </c>
      <c r="J866" s="35">
        <v>2016</v>
      </c>
      <c r="K866" s="35" t="s">
        <v>19</v>
      </c>
      <c r="L866" s="35" t="s">
        <v>1598</v>
      </c>
      <c r="M866" s="36">
        <v>25200</v>
      </c>
      <c r="N866" s="53">
        <v>0</v>
      </c>
      <c r="O866" s="40">
        <v>0</v>
      </c>
      <c r="P866" s="35">
        <v>0</v>
      </c>
      <c r="Q866" s="35" t="s">
        <v>1950</v>
      </c>
      <c r="R866" s="53">
        <v>2</v>
      </c>
      <c r="S866" s="53">
        <v>0</v>
      </c>
    </row>
    <row r="867" spans="1:19" x14ac:dyDescent="0.3">
      <c r="A867" s="35" t="s">
        <v>1586</v>
      </c>
      <c r="B867" s="35" t="s">
        <v>14</v>
      </c>
      <c r="C867" s="35" t="s">
        <v>17</v>
      </c>
      <c r="D867" s="35">
        <v>177.1</v>
      </c>
      <c r="E867" s="39" t="s">
        <v>1950</v>
      </c>
      <c r="F867" s="37">
        <v>0</v>
      </c>
      <c r="G867" s="35" t="s">
        <v>1950</v>
      </c>
      <c r="H867" s="37">
        <v>0</v>
      </c>
      <c r="I867" s="37" t="s">
        <v>1950</v>
      </c>
      <c r="J867" s="35">
        <v>2009</v>
      </c>
      <c r="K867" s="35" t="s">
        <v>25</v>
      </c>
      <c r="L867" s="35" t="s">
        <v>1597</v>
      </c>
      <c r="M867" s="36">
        <v>24089</v>
      </c>
      <c r="N867" s="53">
        <v>0</v>
      </c>
      <c r="O867" s="40">
        <v>0</v>
      </c>
      <c r="P867" s="35">
        <v>0</v>
      </c>
      <c r="Q867" s="35" t="s">
        <v>1950</v>
      </c>
      <c r="R867" s="53">
        <v>7</v>
      </c>
      <c r="S867" s="53">
        <v>0</v>
      </c>
    </row>
    <row r="868" spans="1:19" x14ac:dyDescent="0.3">
      <c r="A868" s="35" t="s">
        <v>1586</v>
      </c>
      <c r="B868" s="35" t="s">
        <v>14</v>
      </c>
      <c r="C868" s="35" t="s">
        <v>17</v>
      </c>
      <c r="D868" s="35">
        <v>277.19</v>
      </c>
      <c r="E868" s="39" t="s">
        <v>1950</v>
      </c>
      <c r="F868" s="37">
        <v>0</v>
      </c>
      <c r="G868" s="35" t="s">
        <v>1950</v>
      </c>
      <c r="H868" s="37">
        <v>0</v>
      </c>
      <c r="I868" s="37" t="s">
        <v>1950</v>
      </c>
      <c r="J868" s="35">
        <v>1998</v>
      </c>
      <c r="K868" s="35" t="s">
        <v>47</v>
      </c>
      <c r="L868" s="35" t="s">
        <v>1599</v>
      </c>
      <c r="M868" s="36">
        <v>32629</v>
      </c>
      <c r="N868" s="53">
        <v>0</v>
      </c>
      <c r="O868" s="40">
        <v>0</v>
      </c>
      <c r="P868" s="35">
        <v>0</v>
      </c>
      <c r="Q868" s="35" t="s">
        <v>1950</v>
      </c>
      <c r="R868" s="53">
        <v>2</v>
      </c>
      <c r="S868" s="53">
        <v>0</v>
      </c>
    </row>
    <row r="869" spans="1:19" x14ac:dyDescent="0.3">
      <c r="A869" s="35" t="s">
        <v>1586</v>
      </c>
      <c r="B869" s="35" t="s">
        <v>14</v>
      </c>
      <c r="C869" s="35" t="s">
        <v>1775</v>
      </c>
      <c r="D869" s="35">
        <v>752.78</v>
      </c>
      <c r="E869" s="39" t="s">
        <v>1950</v>
      </c>
      <c r="F869" s="37">
        <v>0</v>
      </c>
      <c r="G869" s="35" t="s">
        <v>1950</v>
      </c>
      <c r="H869" s="37">
        <v>0</v>
      </c>
      <c r="I869" s="37" t="s">
        <v>1950</v>
      </c>
      <c r="J869" s="35">
        <v>1999</v>
      </c>
      <c r="K869" s="35" t="s">
        <v>47</v>
      </c>
      <c r="L869" s="35" t="s">
        <v>1599</v>
      </c>
      <c r="M869" s="36">
        <v>14695</v>
      </c>
      <c r="N869" s="53">
        <v>0</v>
      </c>
      <c r="O869" s="40">
        <v>0</v>
      </c>
      <c r="P869" s="35">
        <v>0</v>
      </c>
      <c r="Q869" s="35" t="s">
        <v>1950</v>
      </c>
      <c r="R869" s="53">
        <v>3</v>
      </c>
      <c r="S869" s="53">
        <v>0</v>
      </c>
    </row>
    <row r="870" spans="1:19" x14ac:dyDescent="0.3">
      <c r="A870" s="35" t="s">
        <v>1586</v>
      </c>
      <c r="B870" s="35" t="s">
        <v>14</v>
      </c>
      <c r="C870" s="35" t="s">
        <v>17</v>
      </c>
      <c r="D870" s="35">
        <v>100.6</v>
      </c>
      <c r="E870" s="39" t="s">
        <v>1950</v>
      </c>
      <c r="F870" s="37">
        <v>0</v>
      </c>
      <c r="G870" s="35" t="s">
        <v>1950</v>
      </c>
      <c r="H870" s="37">
        <v>0</v>
      </c>
      <c r="I870" s="37" t="s">
        <v>1950</v>
      </c>
      <c r="J870" s="35">
        <v>2000</v>
      </c>
      <c r="K870" s="35" t="s">
        <v>47</v>
      </c>
      <c r="L870" s="35" t="s">
        <v>1599</v>
      </c>
      <c r="M870" s="36">
        <v>18122</v>
      </c>
      <c r="N870" s="53">
        <v>0</v>
      </c>
      <c r="O870" s="40">
        <v>0</v>
      </c>
      <c r="P870" s="35">
        <v>0</v>
      </c>
      <c r="Q870" s="35" t="s">
        <v>1950</v>
      </c>
      <c r="R870" s="53">
        <v>18</v>
      </c>
      <c r="S870" s="53">
        <v>0</v>
      </c>
    </row>
    <row r="871" spans="1:19" x14ac:dyDescent="0.3">
      <c r="A871" s="35" t="s">
        <v>1586</v>
      </c>
      <c r="B871" s="35" t="s">
        <v>14</v>
      </c>
      <c r="C871" s="35" t="s">
        <v>17</v>
      </c>
      <c r="D871" s="35">
        <v>85.46</v>
      </c>
      <c r="E871" s="39" t="s">
        <v>1950</v>
      </c>
      <c r="F871" s="37">
        <v>0</v>
      </c>
      <c r="G871" s="35" t="s">
        <v>1950</v>
      </c>
      <c r="H871" s="37">
        <v>0</v>
      </c>
      <c r="I871" s="37" t="s">
        <v>1950</v>
      </c>
      <c r="J871" s="35">
        <v>2002</v>
      </c>
      <c r="K871" s="35" t="s">
        <v>25</v>
      </c>
      <c r="L871" s="35" t="s">
        <v>1597</v>
      </c>
      <c r="M871" s="36">
        <v>19225</v>
      </c>
      <c r="N871" s="53">
        <v>0</v>
      </c>
      <c r="O871" s="40">
        <v>0</v>
      </c>
      <c r="P871" s="35">
        <v>0</v>
      </c>
      <c r="Q871" s="35" t="s">
        <v>1950</v>
      </c>
      <c r="R871" s="53">
        <v>16</v>
      </c>
      <c r="S871" s="53">
        <v>0</v>
      </c>
    </row>
    <row r="872" spans="1:19" x14ac:dyDescent="0.3">
      <c r="A872" s="35" t="s">
        <v>1586</v>
      </c>
      <c r="B872" s="35" t="s">
        <v>14</v>
      </c>
      <c r="C872" s="35" t="s">
        <v>17</v>
      </c>
      <c r="D872" s="35">
        <v>129.1</v>
      </c>
      <c r="E872" s="39" t="s">
        <v>1950</v>
      </c>
      <c r="F872" s="37">
        <v>0</v>
      </c>
      <c r="G872" s="35" t="s">
        <v>1950</v>
      </c>
      <c r="H872" s="37">
        <v>0</v>
      </c>
      <c r="I872" s="37" t="s">
        <v>1950</v>
      </c>
      <c r="J872" s="35">
        <v>2009</v>
      </c>
      <c r="K872" s="35" t="s">
        <v>25</v>
      </c>
      <c r="L872" s="35" t="s">
        <v>1603</v>
      </c>
      <c r="M872" s="36">
        <v>32504</v>
      </c>
      <c r="N872" s="53">
        <v>0</v>
      </c>
      <c r="O872" s="40">
        <v>0</v>
      </c>
      <c r="P872" s="35">
        <v>0</v>
      </c>
      <c r="Q872" s="35" t="s">
        <v>1950</v>
      </c>
      <c r="R872" s="53">
        <v>7</v>
      </c>
      <c r="S872" s="53">
        <v>0</v>
      </c>
    </row>
    <row r="873" spans="1:19" x14ac:dyDescent="0.3">
      <c r="A873" s="35" t="s">
        <v>1586</v>
      </c>
      <c r="B873" s="35" t="s">
        <v>14</v>
      </c>
      <c r="C873" s="35" t="s">
        <v>17</v>
      </c>
      <c r="D873" s="35">
        <v>199.87</v>
      </c>
      <c r="E873" s="39" t="s">
        <v>1950</v>
      </c>
      <c r="F873" s="37">
        <v>0</v>
      </c>
      <c r="G873" s="35" t="s">
        <v>1950</v>
      </c>
      <c r="H873" s="37">
        <v>0</v>
      </c>
      <c r="I873" s="37" t="s">
        <v>1950</v>
      </c>
      <c r="J873" s="35">
        <v>2012</v>
      </c>
      <c r="K873" s="35" t="s">
        <v>21</v>
      </c>
      <c r="L873" s="35" t="s">
        <v>1603</v>
      </c>
      <c r="M873" s="36">
        <v>71158</v>
      </c>
      <c r="N873" s="53">
        <v>0</v>
      </c>
      <c r="O873" s="40">
        <v>0</v>
      </c>
      <c r="P873" s="35">
        <v>0</v>
      </c>
      <c r="Q873" s="35" t="s">
        <v>1950</v>
      </c>
      <c r="R873" s="53">
        <v>4</v>
      </c>
      <c r="S873" s="53">
        <v>0</v>
      </c>
    </row>
    <row r="874" spans="1:19" x14ac:dyDescent="0.3">
      <c r="A874" s="35" t="s">
        <v>1586</v>
      </c>
      <c r="B874" s="35" t="s">
        <v>14</v>
      </c>
      <c r="C874" s="35" t="s">
        <v>17</v>
      </c>
      <c r="D874" s="35">
        <v>290.5</v>
      </c>
      <c r="E874" s="39" t="s">
        <v>1950</v>
      </c>
      <c r="F874" s="37">
        <v>0</v>
      </c>
      <c r="G874" s="35" t="s">
        <v>1950</v>
      </c>
      <c r="H874" s="37">
        <v>0</v>
      </c>
      <c r="I874" s="37" t="s">
        <v>1950</v>
      </c>
      <c r="J874" s="35">
        <v>2009</v>
      </c>
      <c r="K874" s="35" t="s">
        <v>1950</v>
      </c>
      <c r="L874" s="35" t="s">
        <v>1950</v>
      </c>
      <c r="M874" s="36">
        <v>21167</v>
      </c>
      <c r="N874" s="53">
        <v>0</v>
      </c>
      <c r="O874" s="40">
        <v>0</v>
      </c>
      <c r="P874" s="35">
        <v>0</v>
      </c>
      <c r="Q874" s="35" t="s">
        <v>1950</v>
      </c>
      <c r="R874" s="53">
        <v>9</v>
      </c>
      <c r="S874" s="53">
        <v>0</v>
      </c>
    </row>
    <row r="875" spans="1:19" x14ac:dyDescent="0.3">
      <c r="A875" s="35" t="s">
        <v>1586</v>
      </c>
      <c r="B875" s="35" t="s">
        <v>14</v>
      </c>
      <c r="C875" s="35" t="s">
        <v>1775</v>
      </c>
      <c r="D875" s="35">
        <v>128.41999999999999</v>
      </c>
      <c r="E875" s="39" t="s">
        <v>1950</v>
      </c>
      <c r="F875" s="37">
        <v>0</v>
      </c>
      <c r="G875" s="35" t="s">
        <v>1950</v>
      </c>
      <c r="H875" s="37">
        <v>0</v>
      </c>
      <c r="I875" s="37" t="s">
        <v>1950</v>
      </c>
      <c r="J875" s="35">
        <v>2014</v>
      </c>
      <c r="K875" s="35" t="s">
        <v>47</v>
      </c>
      <c r="L875" s="35" t="s">
        <v>1599</v>
      </c>
      <c r="M875" s="36">
        <v>19102</v>
      </c>
      <c r="N875" s="53">
        <v>0</v>
      </c>
      <c r="O875" s="40">
        <v>0</v>
      </c>
      <c r="P875" s="35">
        <v>0</v>
      </c>
      <c r="Q875" s="35" t="s">
        <v>1950</v>
      </c>
      <c r="R875" s="53">
        <v>8</v>
      </c>
      <c r="S875" s="53">
        <v>0</v>
      </c>
    </row>
    <row r="876" spans="1:19" x14ac:dyDescent="0.3">
      <c r="A876" s="35" t="s">
        <v>1586</v>
      </c>
      <c r="B876" s="35" t="s">
        <v>14</v>
      </c>
      <c r="C876" s="35" t="s">
        <v>17</v>
      </c>
      <c r="D876" s="35">
        <v>298.51</v>
      </c>
      <c r="E876" s="39" t="s">
        <v>1950</v>
      </c>
      <c r="F876" s="37">
        <v>0</v>
      </c>
      <c r="G876" s="35" t="s">
        <v>1950</v>
      </c>
      <c r="H876" s="37">
        <v>0</v>
      </c>
      <c r="I876" s="37" t="s">
        <v>1950</v>
      </c>
      <c r="J876" s="35">
        <v>2008</v>
      </c>
      <c r="K876" s="35" t="s">
        <v>19</v>
      </c>
      <c r="L876" s="35" t="s">
        <v>1601</v>
      </c>
      <c r="M876" s="36">
        <v>38774</v>
      </c>
      <c r="N876" s="53">
        <v>0</v>
      </c>
      <c r="O876" s="40">
        <v>0</v>
      </c>
      <c r="P876" s="35">
        <v>0</v>
      </c>
      <c r="Q876" s="35" t="s">
        <v>1950</v>
      </c>
      <c r="R876" s="53">
        <v>3</v>
      </c>
      <c r="S876" s="53">
        <v>0</v>
      </c>
    </row>
    <row r="877" spans="1:19" x14ac:dyDescent="0.3">
      <c r="A877" s="35" t="s">
        <v>1586</v>
      </c>
      <c r="B877" s="35" t="s">
        <v>14</v>
      </c>
      <c r="C877" s="35" t="s">
        <v>1775</v>
      </c>
      <c r="D877" s="35">
        <v>282.8</v>
      </c>
      <c r="E877" s="39" t="s">
        <v>1950</v>
      </c>
      <c r="F877" s="37">
        <v>0</v>
      </c>
      <c r="G877" s="35" t="s">
        <v>1950</v>
      </c>
      <c r="H877" s="37">
        <v>0</v>
      </c>
      <c r="I877" s="37" t="s">
        <v>1950</v>
      </c>
      <c r="J877" s="35">
        <v>1983</v>
      </c>
      <c r="K877" s="35" t="s">
        <v>19</v>
      </c>
      <c r="L877" s="35" t="s">
        <v>1603</v>
      </c>
      <c r="M877" s="36">
        <v>12893</v>
      </c>
      <c r="N877" s="53">
        <v>0</v>
      </c>
      <c r="O877" s="40">
        <v>0</v>
      </c>
      <c r="P877" s="35">
        <v>0</v>
      </c>
      <c r="Q877" s="35" t="s">
        <v>1950</v>
      </c>
      <c r="R877" s="53">
        <v>7</v>
      </c>
      <c r="S877" s="53">
        <v>0</v>
      </c>
    </row>
    <row r="878" spans="1:19" x14ac:dyDescent="0.3">
      <c r="A878" s="35" t="s">
        <v>1586</v>
      </c>
      <c r="B878" s="35" t="s">
        <v>14</v>
      </c>
      <c r="C878" s="35" t="s">
        <v>17</v>
      </c>
      <c r="D878" s="35">
        <v>185.36</v>
      </c>
      <c r="E878" s="39" t="s">
        <v>1950</v>
      </c>
      <c r="F878" s="37">
        <v>0</v>
      </c>
      <c r="G878" s="35" t="s">
        <v>1950</v>
      </c>
      <c r="H878" s="37">
        <v>0</v>
      </c>
      <c r="I878" s="37" t="s">
        <v>1950</v>
      </c>
      <c r="J878" s="35">
        <v>1997</v>
      </c>
      <c r="K878" s="35" t="s">
        <v>1950</v>
      </c>
      <c r="L878" s="35" t="s">
        <v>1950</v>
      </c>
      <c r="M878" s="36">
        <v>37923</v>
      </c>
      <c r="N878" s="53">
        <v>0</v>
      </c>
      <c r="O878" s="40">
        <v>0</v>
      </c>
      <c r="P878" s="35">
        <v>0</v>
      </c>
      <c r="Q878" s="35" t="s">
        <v>1950</v>
      </c>
      <c r="R878" s="53">
        <v>4</v>
      </c>
      <c r="S878" s="53">
        <v>0</v>
      </c>
    </row>
    <row r="879" spans="1:19" x14ac:dyDescent="0.3">
      <c r="A879" s="35" t="s">
        <v>1586</v>
      </c>
      <c r="B879" s="35" t="s">
        <v>14</v>
      </c>
      <c r="C879" s="35" t="s">
        <v>1775</v>
      </c>
      <c r="D879" s="35">
        <v>125.61</v>
      </c>
      <c r="E879" s="39" t="s">
        <v>1950</v>
      </c>
      <c r="F879" s="37">
        <v>0</v>
      </c>
      <c r="G879" s="35" t="s">
        <v>1950</v>
      </c>
      <c r="H879" s="37">
        <v>0</v>
      </c>
      <c r="I879" s="37" t="s">
        <v>1950</v>
      </c>
      <c r="J879" s="35">
        <v>1985</v>
      </c>
      <c r="K879" s="35" t="s">
        <v>19</v>
      </c>
      <c r="L879" s="35" t="s">
        <v>1598</v>
      </c>
      <c r="M879" s="36">
        <v>7669</v>
      </c>
      <c r="N879" s="53">
        <v>0</v>
      </c>
      <c r="O879" s="40">
        <v>0</v>
      </c>
      <c r="P879" s="35">
        <v>0</v>
      </c>
      <c r="Q879" s="35" t="s">
        <v>1950</v>
      </c>
      <c r="R879" s="53">
        <v>4</v>
      </c>
      <c r="S879" s="53">
        <v>0</v>
      </c>
    </row>
    <row r="880" spans="1:19" x14ac:dyDescent="0.3">
      <c r="A880" s="35" t="s">
        <v>1586</v>
      </c>
      <c r="B880" s="35" t="s">
        <v>29</v>
      </c>
      <c r="C880" s="35" t="s">
        <v>17</v>
      </c>
      <c r="D880" s="35">
        <v>276.97000000000003</v>
      </c>
      <c r="E880" s="39" t="s">
        <v>1950</v>
      </c>
      <c r="F880" s="37">
        <v>0</v>
      </c>
      <c r="G880" s="35" t="s">
        <v>1950</v>
      </c>
      <c r="H880" s="37">
        <v>0</v>
      </c>
      <c r="I880" s="37" t="s">
        <v>1950</v>
      </c>
      <c r="J880" s="35">
        <v>1980</v>
      </c>
      <c r="K880" s="35" t="s">
        <v>21</v>
      </c>
      <c r="L880" s="35" t="s">
        <v>1601</v>
      </c>
      <c r="M880" s="36">
        <v>44097</v>
      </c>
      <c r="N880" s="53">
        <v>0</v>
      </c>
      <c r="O880" s="40">
        <v>0</v>
      </c>
      <c r="P880" s="35">
        <v>0</v>
      </c>
      <c r="Q880" s="35" t="s">
        <v>1950</v>
      </c>
      <c r="R880" s="53">
        <v>8</v>
      </c>
      <c r="S880" s="53">
        <v>0</v>
      </c>
    </row>
    <row r="881" spans="1:19" x14ac:dyDescent="0.3">
      <c r="A881" s="35" t="s">
        <v>1586</v>
      </c>
      <c r="B881" s="35" t="s">
        <v>29</v>
      </c>
      <c r="C881" s="35" t="s">
        <v>1775</v>
      </c>
      <c r="D881" s="35">
        <v>181.04</v>
      </c>
      <c r="E881" s="39" t="s">
        <v>1950</v>
      </c>
      <c r="F881" s="37">
        <v>0</v>
      </c>
      <c r="G881" s="35" t="s">
        <v>1950</v>
      </c>
      <c r="H881" s="37">
        <v>0</v>
      </c>
      <c r="I881" s="37" t="s">
        <v>1950</v>
      </c>
      <c r="J881" s="35">
        <v>1971</v>
      </c>
      <c r="K881" s="35" t="s">
        <v>1950</v>
      </c>
      <c r="L881" s="35" t="s">
        <v>1950</v>
      </c>
      <c r="M881" s="36">
        <v>14950</v>
      </c>
      <c r="N881" s="53">
        <v>0</v>
      </c>
      <c r="O881" s="40">
        <v>0</v>
      </c>
      <c r="P881" s="35">
        <v>0</v>
      </c>
      <c r="Q881" s="35" t="s">
        <v>1950</v>
      </c>
      <c r="R881" s="53">
        <v>5</v>
      </c>
      <c r="S881" s="53">
        <v>0</v>
      </c>
    </row>
    <row r="882" spans="1:19" x14ac:dyDescent="0.3">
      <c r="A882" s="35" t="s">
        <v>1586</v>
      </c>
      <c r="B882" s="35" t="s">
        <v>12</v>
      </c>
      <c r="C882" s="35" t="s">
        <v>2662</v>
      </c>
      <c r="D882" s="35">
        <v>348.83</v>
      </c>
      <c r="E882" s="39" t="s">
        <v>1950</v>
      </c>
      <c r="F882" s="37">
        <v>0</v>
      </c>
      <c r="G882" s="35" t="s">
        <v>1950</v>
      </c>
      <c r="H882" s="37">
        <v>0</v>
      </c>
      <c r="I882" s="37" t="s">
        <v>1950</v>
      </c>
      <c r="J882" s="35">
        <v>1996</v>
      </c>
      <c r="K882" s="35" t="s">
        <v>19</v>
      </c>
      <c r="L882" s="35" t="s">
        <v>1601</v>
      </c>
      <c r="M882" s="36">
        <v>48234</v>
      </c>
      <c r="N882" s="53">
        <v>0</v>
      </c>
      <c r="O882" s="40">
        <v>0</v>
      </c>
      <c r="P882" s="35">
        <v>0</v>
      </c>
      <c r="Q882" s="35" t="s">
        <v>1950</v>
      </c>
      <c r="R882" s="53">
        <v>3</v>
      </c>
      <c r="S882" s="53">
        <v>0</v>
      </c>
    </row>
    <row r="883" spans="1:19" x14ac:dyDescent="0.3">
      <c r="A883" s="35" t="s">
        <v>1586</v>
      </c>
      <c r="B883" s="35" t="s">
        <v>12</v>
      </c>
      <c r="C883" s="35" t="s">
        <v>17</v>
      </c>
      <c r="D883" s="35">
        <v>522.36</v>
      </c>
      <c r="E883" s="39" t="s">
        <v>1950</v>
      </c>
      <c r="F883" s="37">
        <v>0</v>
      </c>
      <c r="G883" s="35" t="s">
        <v>1950</v>
      </c>
      <c r="H883" s="37">
        <v>0</v>
      </c>
      <c r="I883" s="37" t="s">
        <v>1950</v>
      </c>
      <c r="J883" s="35">
        <v>1996</v>
      </c>
      <c r="K883" s="35" t="s">
        <v>19</v>
      </c>
      <c r="L883" s="35" t="s">
        <v>1601</v>
      </c>
      <c r="M883" s="36">
        <v>22076</v>
      </c>
      <c r="N883" s="53">
        <v>0</v>
      </c>
      <c r="O883" s="40">
        <v>0</v>
      </c>
      <c r="P883" s="35">
        <v>0</v>
      </c>
      <c r="Q883" s="35" t="s">
        <v>1950</v>
      </c>
      <c r="R883" s="53">
        <v>5</v>
      </c>
      <c r="S883" s="53">
        <v>0</v>
      </c>
    </row>
    <row r="884" spans="1:19" x14ac:dyDescent="0.3">
      <c r="A884" s="35" t="s">
        <v>1586</v>
      </c>
      <c r="B884" s="35" t="s">
        <v>14</v>
      </c>
      <c r="C884" s="35" t="s">
        <v>17</v>
      </c>
      <c r="D884" s="35">
        <v>280.22000000000003</v>
      </c>
      <c r="E884" s="39" t="s">
        <v>1950</v>
      </c>
      <c r="F884" s="37">
        <v>0</v>
      </c>
      <c r="G884" s="35" t="s">
        <v>1950</v>
      </c>
      <c r="H884" s="37">
        <v>0</v>
      </c>
      <c r="I884" s="37" t="s">
        <v>1950</v>
      </c>
      <c r="J884" s="35">
        <v>2013</v>
      </c>
      <c r="K884" s="35" t="s">
        <v>25</v>
      </c>
      <c r="L884" s="35" t="s">
        <v>1600</v>
      </c>
      <c r="M884" s="36">
        <v>33363</v>
      </c>
      <c r="N884" s="53">
        <v>0</v>
      </c>
      <c r="O884" s="40">
        <v>0</v>
      </c>
      <c r="P884" s="35">
        <v>0</v>
      </c>
      <c r="Q884" s="35" t="s">
        <v>1950</v>
      </c>
      <c r="R884" s="53">
        <v>3</v>
      </c>
      <c r="S884" s="53">
        <v>0</v>
      </c>
    </row>
    <row r="885" spans="1:19" x14ac:dyDescent="0.3">
      <c r="A885" s="35" t="s">
        <v>1586</v>
      </c>
      <c r="B885" s="35" t="s">
        <v>14</v>
      </c>
      <c r="C885" s="35" t="s">
        <v>17</v>
      </c>
      <c r="D885" s="35">
        <v>159.77000000000001</v>
      </c>
      <c r="E885" s="39" t="s">
        <v>1950</v>
      </c>
      <c r="F885" s="37">
        <v>0</v>
      </c>
      <c r="G885" s="35" t="s">
        <v>1950</v>
      </c>
      <c r="H885" s="37">
        <v>0</v>
      </c>
      <c r="I885" s="37" t="s">
        <v>1950</v>
      </c>
      <c r="J885" s="35">
        <v>1975</v>
      </c>
      <c r="K885" s="35" t="s">
        <v>21</v>
      </c>
      <c r="L885" s="35" t="s">
        <v>1601</v>
      </c>
      <c r="M885" s="36">
        <v>31296</v>
      </c>
      <c r="N885" s="53">
        <v>0</v>
      </c>
      <c r="O885" s="40">
        <v>0</v>
      </c>
      <c r="P885" s="35">
        <v>0</v>
      </c>
      <c r="Q885" s="35" t="s">
        <v>1950</v>
      </c>
      <c r="R885" s="53">
        <v>1</v>
      </c>
      <c r="S885" s="53">
        <v>0</v>
      </c>
    </row>
    <row r="886" spans="1:19" x14ac:dyDescent="0.3">
      <c r="A886" s="35" t="s">
        <v>1586</v>
      </c>
      <c r="B886" s="35" t="s">
        <v>14</v>
      </c>
      <c r="C886" s="35" t="s">
        <v>17</v>
      </c>
      <c r="D886" s="35">
        <v>216.86</v>
      </c>
      <c r="E886" s="39" t="s">
        <v>1950</v>
      </c>
      <c r="F886" s="37">
        <v>0</v>
      </c>
      <c r="G886" s="35" t="s">
        <v>1950</v>
      </c>
      <c r="H886" s="37">
        <v>0</v>
      </c>
      <c r="I886" s="37" t="s">
        <v>1950</v>
      </c>
      <c r="J886" s="35">
        <v>2001</v>
      </c>
      <c r="K886" s="35" t="s">
        <v>19</v>
      </c>
      <c r="L886" s="35" t="s">
        <v>1601</v>
      </c>
      <c r="M886" s="36">
        <v>106793</v>
      </c>
      <c r="N886" s="53">
        <v>0</v>
      </c>
      <c r="O886" s="40">
        <v>0</v>
      </c>
      <c r="P886" s="35">
        <v>0</v>
      </c>
      <c r="Q886" s="35" t="s">
        <v>1950</v>
      </c>
      <c r="R886" s="53">
        <v>2</v>
      </c>
      <c r="S886" s="53">
        <v>0</v>
      </c>
    </row>
    <row r="887" spans="1:19" x14ac:dyDescent="0.3">
      <c r="A887" s="35" t="s">
        <v>1586</v>
      </c>
      <c r="B887" s="35" t="s">
        <v>14</v>
      </c>
      <c r="C887" s="35" t="s">
        <v>17</v>
      </c>
      <c r="D887" s="35">
        <v>82.2</v>
      </c>
      <c r="E887" s="39" t="s">
        <v>1950</v>
      </c>
      <c r="F887" s="37">
        <v>0</v>
      </c>
      <c r="G887" s="35" t="s">
        <v>1950</v>
      </c>
      <c r="H887" s="37">
        <v>0</v>
      </c>
      <c r="I887" s="37" t="s">
        <v>1950</v>
      </c>
      <c r="J887" s="35">
        <v>2015</v>
      </c>
      <c r="K887" s="35" t="s">
        <v>19</v>
      </c>
      <c r="L887" s="35" t="s">
        <v>1600</v>
      </c>
      <c r="M887" s="36">
        <v>15211</v>
      </c>
      <c r="N887" s="53">
        <v>0</v>
      </c>
      <c r="O887" s="40">
        <v>0</v>
      </c>
      <c r="P887" s="35">
        <v>0</v>
      </c>
      <c r="Q887" s="35" t="s">
        <v>1950</v>
      </c>
      <c r="R887" s="53">
        <v>5</v>
      </c>
      <c r="S887" s="53">
        <v>0</v>
      </c>
    </row>
    <row r="888" spans="1:19" x14ac:dyDescent="0.3">
      <c r="A888" s="35" t="s">
        <v>1586</v>
      </c>
      <c r="B888" s="35" t="s">
        <v>14</v>
      </c>
      <c r="C888" s="35" t="s">
        <v>1775</v>
      </c>
      <c r="D888" s="35">
        <v>315.98</v>
      </c>
      <c r="E888" s="39" t="s">
        <v>1950</v>
      </c>
      <c r="F888" s="37">
        <v>0</v>
      </c>
      <c r="G888" s="35" t="s">
        <v>1950</v>
      </c>
      <c r="H888" s="37">
        <v>0</v>
      </c>
      <c r="I888" s="37" t="s">
        <v>1950</v>
      </c>
      <c r="J888" s="35">
        <v>2001</v>
      </c>
      <c r="K888" s="35" t="s">
        <v>1950</v>
      </c>
      <c r="L888" s="35" t="s">
        <v>1950</v>
      </c>
      <c r="M888" s="36">
        <v>14989</v>
      </c>
      <c r="N888" s="53">
        <v>0</v>
      </c>
      <c r="O888" s="40">
        <v>0</v>
      </c>
      <c r="P888" s="35">
        <v>0</v>
      </c>
      <c r="Q888" s="35" t="s">
        <v>1950</v>
      </c>
      <c r="R888" s="53">
        <v>17</v>
      </c>
      <c r="S888" s="53">
        <v>0</v>
      </c>
    </row>
    <row r="889" spans="1:19" x14ac:dyDescent="0.3">
      <c r="A889" s="35" t="s">
        <v>1586</v>
      </c>
      <c r="B889" s="35" t="s">
        <v>29</v>
      </c>
      <c r="C889" s="35" t="s">
        <v>17</v>
      </c>
      <c r="D889" s="35">
        <v>161.22999999999999</v>
      </c>
      <c r="E889" s="39" t="s">
        <v>1950</v>
      </c>
      <c r="F889" s="37">
        <v>0</v>
      </c>
      <c r="G889" s="35" t="s">
        <v>1950</v>
      </c>
      <c r="H889" s="37">
        <v>0</v>
      </c>
      <c r="I889" s="37" t="s">
        <v>1950</v>
      </c>
      <c r="J889" s="35">
        <v>1985</v>
      </c>
      <c r="K889" s="35" t="s">
        <v>21</v>
      </c>
      <c r="L889" s="35" t="s">
        <v>1601</v>
      </c>
      <c r="M889" s="36">
        <v>31033</v>
      </c>
      <c r="N889" s="53">
        <v>0</v>
      </c>
      <c r="O889" s="40">
        <v>0</v>
      </c>
      <c r="P889" s="35">
        <v>0</v>
      </c>
      <c r="Q889" s="35" t="s">
        <v>1950</v>
      </c>
      <c r="R889" s="53">
        <v>15</v>
      </c>
      <c r="S889" s="53">
        <v>0</v>
      </c>
    </row>
    <row r="890" spans="1:19" x14ac:dyDescent="0.3">
      <c r="A890" s="35" t="s">
        <v>1586</v>
      </c>
      <c r="B890" s="35" t="s">
        <v>8</v>
      </c>
      <c r="C890" s="35" t="s">
        <v>17</v>
      </c>
      <c r="D890" s="35">
        <v>191.56</v>
      </c>
      <c r="E890" s="39" t="s">
        <v>1950</v>
      </c>
      <c r="F890" s="37">
        <v>0</v>
      </c>
      <c r="G890" s="35" t="s">
        <v>1950</v>
      </c>
      <c r="H890" s="37">
        <v>0</v>
      </c>
      <c r="I890" s="37" t="s">
        <v>1950</v>
      </c>
      <c r="J890" s="35">
        <v>1988</v>
      </c>
      <c r="K890" s="35" t="s">
        <v>1950</v>
      </c>
      <c r="L890" s="35" t="s">
        <v>1950</v>
      </c>
      <c r="M890" s="36">
        <v>23500</v>
      </c>
      <c r="N890" s="53">
        <v>0</v>
      </c>
      <c r="O890" s="40">
        <v>0</v>
      </c>
      <c r="P890" s="35">
        <v>0</v>
      </c>
      <c r="Q890" s="35" t="s">
        <v>1950</v>
      </c>
      <c r="R890" s="53">
        <v>30</v>
      </c>
      <c r="S890" s="53">
        <v>0</v>
      </c>
    </row>
    <row r="891" spans="1:19" x14ac:dyDescent="0.3">
      <c r="A891" s="35" t="s">
        <v>1586</v>
      </c>
      <c r="B891" s="35" t="s">
        <v>14</v>
      </c>
      <c r="C891" s="35" t="s">
        <v>17</v>
      </c>
      <c r="D891" s="35">
        <v>151.24</v>
      </c>
      <c r="E891" s="39" t="s">
        <v>1950</v>
      </c>
      <c r="F891" s="37">
        <v>0</v>
      </c>
      <c r="G891" s="35" t="s">
        <v>1950</v>
      </c>
      <c r="H891" s="37">
        <v>0</v>
      </c>
      <c r="I891" s="37" t="s">
        <v>1950</v>
      </c>
      <c r="J891" s="35">
        <v>1997</v>
      </c>
      <c r="K891" s="35" t="s">
        <v>25</v>
      </c>
      <c r="L891" s="35" t="s">
        <v>1597</v>
      </c>
      <c r="M891" s="36">
        <v>15724</v>
      </c>
      <c r="N891" s="53">
        <v>0</v>
      </c>
      <c r="O891" s="40">
        <v>0</v>
      </c>
      <c r="P891" s="35">
        <v>0</v>
      </c>
      <c r="Q891" s="35" t="s">
        <v>1950</v>
      </c>
      <c r="R891" s="53">
        <v>18</v>
      </c>
      <c r="S891" s="53">
        <v>0</v>
      </c>
    </row>
    <row r="892" spans="1:19" x14ac:dyDescent="0.3">
      <c r="A892" s="35" t="s">
        <v>1586</v>
      </c>
      <c r="B892" s="35" t="s">
        <v>14</v>
      </c>
      <c r="C892" s="35" t="s">
        <v>17</v>
      </c>
      <c r="D892" s="35">
        <v>326.89</v>
      </c>
      <c r="E892" s="39" t="s">
        <v>1950</v>
      </c>
      <c r="F892" s="37">
        <v>0</v>
      </c>
      <c r="G892" s="35" t="s">
        <v>1950</v>
      </c>
      <c r="H892" s="37">
        <v>0</v>
      </c>
      <c r="I892" s="37" t="s">
        <v>1950</v>
      </c>
      <c r="J892" s="35">
        <v>2016</v>
      </c>
      <c r="K892" s="35" t="s">
        <v>19</v>
      </c>
      <c r="L892" s="35" t="s">
        <v>1600</v>
      </c>
      <c r="M892" s="36">
        <v>129726</v>
      </c>
      <c r="N892" s="53">
        <v>0</v>
      </c>
      <c r="O892" s="40">
        <v>0</v>
      </c>
      <c r="P892" s="35">
        <v>0</v>
      </c>
      <c r="Q892" s="35" t="s">
        <v>1950</v>
      </c>
      <c r="R892" s="53">
        <v>2</v>
      </c>
      <c r="S892" s="53">
        <v>0</v>
      </c>
    </row>
    <row r="893" spans="1:19" x14ac:dyDescent="0.3">
      <c r="A893" s="35" t="s">
        <v>1586</v>
      </c>
      <c r="B893" s="35" t="s">
        <v>14</v>
      </c>
      <c r="C893" s="35" t="s">
        <v>1775</v>
      </c>
      <c r="D893" s="35">
        <v>62.69</v>
      </c>
      <c r="E893" s="39" t="s">
        <v>1950</v>
      </c>
      <c r="F893" s="37">
        <v>0</v>
      </c>
      <c r="G893" s="35" t="s">
        <v>1950</v>
      </c>
      <c r="H893" s="37">
        <v>0</v>
      </c>
      <c r="I893" s="37" t="s">
        <v>1950</v>
      </c>
      <c r="J893" s="35">
        <v>2019</v>
      </c>
      <c r="K893" s="35" t="s">
        <v>21</v>
      </c>
      <c r="L893" s="35" t="s">
        <v>1601</v>
      </c>
      <c r="M893" s="36">
        <v>13855</v>
      </c>
      <c r="N893" s="53">
        <v>0</v>
      </c>
      <c r="O893" s="40">
        <v>0</v>
      </c>
      <c r="P893" s="35">
        <v>0</v>
      </c>
      <c r="Q893" s="35" t="s">
        <v>1950</v>
      </c>
      <c r="R893" s="53">
        <v>7</v>
      </c>
      <c r="S893" s="53">
        <v>0</v>
      </c>
    </row>
    <row r="894" spans="1:19" x14ac:dyDescent="0.3">
      <c r="A894" s="35" t="s">
        <v>1586</v>
      </c>
      <c r="B894" s="35" t="s">
        <v>14</v>
      </c>
      <c r="C894" s="35" t="s">
        <v>17</v>
      </c>
      <c r="D894" s="35">
        <v>124.07</v>
      </c>
      <c r="E894" s="39" t="s">
        <v>1950</v>
      </c>
      <c r="F894" s="37">
        <v>0</v>
      </c>
      <c r="G894" s="35" t="s">
        <v>1950</v>
      </c>
      <c r="H894" s="37">
        <v>0</v>
      </c>
      <c r="I894" s="37" t="s">
        <v>1950</v>
      </c>
      <c r="J894" s="35">
        <v>1999</v>
      </c>
      <c r="K894" s="35" t="s">
        <v>25</v>
      </c>
      <c r="L894" s="35" t="s">
        <v>1599</v>
      </c>
      <c r="M894" s="36">
        <v>42561</v>
      </c>
      <c r="N894" s="53">
        <v>0</v>
      </c>
      <c r="O894" s="40">
        <v>0</v>
      </c>
      <c r="P894" s="35">
        <v>0</v>
      </c>
      <c r="Q894" s="35" t="s">
        <v>1950</v>
      </c>
      <c r="R894" s="53">
        <v>1</v>
      </c>
      <c r="S894" s="53">
        <v>0</v>
      </c>
    </row>
    <row r="895" spans="1:19" x14ac:dyDescent="0.3">
      <c r="A895" s="35" t="s">
        <v>1586</v>
      </c>
      <c r="B895" s="35" t="s">
        <v>12</v>
      </c>
      <c r="C895" s="35" t="s">
        <v>1775</v>
      </c>
      <c r="D895" s="35">
        <v>303.60000000000002</v>
      </c>
      <c r="E895" s="39" t="s">
        <v>1950</v>
      </c>
      <c r="F895" s="37">
        <v>0</v>
      </c>
      <c r="G895" s="35" t="s">
        <v>1950</v>
      </c>
      <c r="H895" s="37">
        <v>0</v>
      </c>
      <c r="I895" s="37" t="s">
        <v>1950</v>
      </c>
      <c r="J895" s="35">
        <v>1988</v>
      </c>
      <c r="K895" s="35" t="s">
        <v>1950</v>
      </c>
      <c r="L895" s="35" t="s">
        <v>1950</v>
      </c>
      <c r="M895" s="36">
        <v>6154</v>
      </c>
      <c r="N895" s="53">
        <v>0</v>
      </c>
      <c r="O895" s="40">
        <v>0</v>
      </c>
      <c r="P895" s="35">
        <v>0</v>
      </c>
      <c r="Q895" s="35" t="s">
        <v>1950</v>
      </c>
      <c r="R895" s="53">
        <v>3</v>
      </c>
      <c r="S895" s="53">
        <v>0</v>
      </c>
    </row>
    <row r="896" spans="1:19" x14ac:dyDescent="0.3">
      <c r="A896" s="35" t="s">
        <v>1586</v>
      </c>
      <c r="B896" s="35" t="s">
        <v>14</v>
      </c>
      <c r="C896" s="35" t="s">
        <v>17</v>
      </c>
      <c r="D896" s="35">
        <v>184.6</v>
      </c>
      <c r="E896" s="39" t="s">
        <v>1950</v>
      </c>
      <c r="F896" s="37">
        <v>0</v>
      </c>
      <c r="G896" s="35" t="s">
        <v>1950</v>
      </c>
      <c r="H896" s="37">
        <v>0</v>
      </c>
      <c r="I896" s="37" t="s">
        <v>1950</v>
      </c>
      <c r="J896" s="35">
        <v>2011</v>
      </c>
      <c r="K896" s="35" t="s">
        <v>19</v>
      </c>
      <c r="L896" s="35" t="s">
        <v>1601</v>
      </c>
      <c r="M896" s="36">
        <v>95992</v>
      </c>
      <c r="N896" s="53">
        <v>0</v>
      </c>
      <c r="O896" s="40">
        <v>0</v>
      </c>
      <c r="P896" s="35">
        <v>0</v>
      </c>
      <c r="Q896" s="35" t="s">
        <v>1950</v>
      </c>
      <c r="R896" s="53">
        <v>8.75</v>
      </c>
      <c r="S896" s="53">
        <v>0</v>
      </c>
    </row>
    <row r="897" spans="1:19" x14ac:dyDescent="0.3">
      <c r="A897" s="35" t="s">
        <v>1586</v>
      </c>
      <c r="B897" s="35" t="s">
        <v>14</v>
      </c>
      <c r="C897" s="35" t="s">
        <v>17</v>
      </c>
      <c r="D897" s="35">
        <v>114.19</v>
      </c>
      <c r="E897" s="39" t="s">
        <v>1950</v>
      </c>
      <c r="F897" s="37">
        <v>0</v>
      </c>
      <c r="G897" s="35" t="s">
        <v>1950</v>
      </c>
      <c r="H897" s="37">
        <v>0</v>
      </c>
      <c r="I897" s="37" t="s">
        <v>1950</v>
      </c>
      <c r="J897" s="35">
        <v>2019</v>
      </c>
      <c r="K897" s="35" t="s">
        <v>19</v>
      </c>
      <c r="L897" s="35" t="s">
        <v>1598</v>
      </c>
      <c r="M897" s="36">
        <v>103444</v>
      </c>
      <c r="N897" s="53">
        <v>0</v>
      </c>
      <c r="O897" s="40">
        <v>0</v>
      </c>
      <c r="P897" s="35">
        <v>0</v>
      </c>
      <c r="Q897" s="35" t="s">
        <v>1950</v>
      </c>
      <c r="R897" s="53">
        <v>1</v>
      </c>
      <c r="S897" s="53">
        <v>0</v>
      </c>
    </row>
    <row r="898" spans="1:19" x14ac:dyDescent="0.3">
      <c r="A898" s="35" t="s">
        <v>1586</v>
      </c>
      <c r="B898" s="35" t="s">
        <v>12</v>
      </c>
      <c r="C898" s="35" t="s">
        <v>2662</v>
      </c>
      <c r="D898" s="35">
        <v>147.53</v>
      </c>
      <c r="E898" s="39" t="s">
        <v>1950</v>
      </c>
      <c r="F898" s="37">
        <v>0</v>
      </c>
      <c r="G898" s="35" t="s">
        <v>1950</v>
      </c>
      <c r="H898" s="37">
        <v>0</v>
      </c>
      <c r="I898" s="37" t="s">
        <v>1950</v>
      </c>
      <c r="J898" s="35">
        <v>1986</v>
      </c>
      <c r="K898" s="35" t="s">
        <v>47</v>
      </c>
      <c r="L898" s="35" t="s">
        <v>1597</v>
      </c>
      <c r="M898" s="36">
        <v>452045</v>
      </c>
      <c r="N898" s="53">
        <v>0</v>
      </c>
      <c r="O898" s="40">
        <v>0</v>
      </c>
      <c r="P898" s="35">
        <v>0</v>
      </c>
      <c r="Q898" s="35" t="s">
        <v>1950</v>
      </c>
      <c r="R898" s="53">
        <v>16</v>
      </c>
      <c r="S898" s="53">
        <v>0</v>
      </c>
    </row>
    <row r="899" spans="1:19" x14ac:dyDescent="0.3">
      <c r="A899" s="35" t="s">
        <v>1586</v>
      </c>
      <c r="B899" s="35" t="s">
        <v>29</v>
      </c>
      <c r="C899" s="35" t="s">
        <v>1775</v>
      </c>
      <c r="D899" s="35">
        <v>327.08</v>
      </c>
      <c r="E899" s="39" t="s">
        <v>1950</v>
      </c>
      <c r="F899" s="37">
        <v>0</v>
      </c>
      <c r="G899" s="35" t="s">
        <v>1950</v>
      </c>
      <c r="H899" s="37">
        <v>0</v>
      </c>
      <c r="I899" s="37" t="s">
        <v>1950</v>
      </c>
      <c r="J899" s="35">
        <v>2013</v>
      </c>
      <c r="K899" s="35" t="s">
        <v>2663</v>
      </c>
      <c r="L899" s="35" t="s">
        <v>1950</v>
      </c>
      <c r="M899" s="36">
        <v>8784</v>
      </c>
      <c r="N899" s="53">
        <v>0</v>
      </c>
      <c r="O899" s="40">
        <v>0</v>
      </c>
      <c r="P899" s="35">
        <v>0</v>
      </c>
      <c r="Q899" s="35" t="s">
        <v>1950</v>
      </c>
      <c r="R899" s="53">
        <v>7</v>
      </c>
      <c r="S899" s="53">
        <v>0</v>
      </c>
    </row>
    <row r="900" spans="1:19" x14ac:dyDescent="0.3">
      <c r="A900" s="35" t="s">
        <v>1586</v>
      </c>
      <c r="B900" s="35" t="s">
        <v>29</v>
      </c>
      <c r="C900" s="35" t="s">
        <v>1775</v>
      </c>
      <c r="D900" s="35">
        <v>323.82</v>
      </c>
      <c r="E900" s="39" t="s">
        <v>1950</v>
      </c>
      <c r="F900" s="37">
        <v>0</v>
      </c>
      <c r="G900" s="35" t="s">
        <v>1950</v>
      </c>
      <c r="H900" s="37">
        <v>0</v>
      </c>
      <c r="I900" s="37" t="s">
        <v>1950</v>
      </c>
      <c r="J900" s="35">
        <v>2015</v>
      </c>
      <c r="K900" s="35" t="s">
        <v>1950</v>
      </c>
      <c r="L900" s="35" t="s">
        <v>1950</v>
      </c>
      <c r="M900" s="36">
        <v>10803</v>
      </c>
      <c r="N900" s="53">
        <v>0</v>
      </c>
      <c r="O900" s="40">
        <v>0</v>
      </c>
      <c r="P900" s="35">
        <v>0</v>
      </c>
      <c r="Q900" s="35" t="s">
        <v>1950</v>
      </c>
      <c r="R900" s="53">
        <v>10</v>
      </c>
      <c r="S900" s="53">
        <v>0</v>
      </c>
    </row>
    <row r="901" spans="1:19" x14ac:dyDescent="0.3">
      <c r="A901" s="35" t="s">
        <v>1586</v>
      </c>
      <c r="B901" s="35" t="s">
        <v>8</v>
      </c>
      <c r="C901" s="35" t="s">
        <v>2662</v>
      </c>
      <c r="D901" s="35">
        <v>193.93</v>
      </c>
      <c r="E901" s="39" t="s">
        <v>1950</v>
      </c>
      <c r="F901" s="37">
        <v>0</v>
      </c>
      <c r="G901" s="35" t="s">
        <v>1950</v>
      </c>
      <c r="H901" s="37">
        <v>0</v>
      </c>
      <c r="I901" s="37" t="s">
        <v>1950</v>
      </c>
      <c r="J901" s="35">
        <v>1986</v>
      </c>
      <c r="K901" s="35" t="s">
        <v>1950</v>
      </c>
      <c r="L901" s="35" t="s">
        <v>1950</v>
      </c>
      <c r="M901" s="36">
        <v>44615</v>
      </c>
      <c r="N901" s="53">
        <v>0</v>
      </c>
      <c r="O901" s="40">
        <v>0</v>
      </c>
      <c r="P901" s="35">
        <v>0</v>
      </c>
      <c r="Q901" s="35" t="s">
        <v>1950</v>
      </c>
      <c r="R901" s="53">
        <v>10</v>
      </c>
      <c r="S901" s="53">
        <v>0</v>
      </c>
    </row>
    <row r="902" spans="1:19" x14ac:dyDescent="0.3">
      <c r="A902" s="35" t="s">
        <v>1586</v>
      </c>
      <c r="B902" s="35" t="s">
        <v>14</v>
      </c>
      <c r="C902" s="35" t="s">
        <v>1775</v>
      </c>
      <c r="D902" s="35">
        <v>800.18</v>
      </c>
      <c r="E902" s="39" t="s">
        <v>1950</v>
      </c>
      <c r="F902" s="37">
        <v>0</v>
      </c>
      <c r="G902" s="35" t="s">
        <v>1950</v>
      </c>
      <c r="H902" s="37">
        <v>0</v>
      </c>
      <c r="I902" s="37" t="s">
        <v>1950</v>
      </c>
      <c r="J902" s="35">
        <v>1983</v>
      </c>
      <c r="K902" s="35" t="s">
        <v>1950</v>
      </c>
      <c r="L902" s="35" t="s">
        <v>1950</v>
      </c>
      <c r="M902" s="36">
        <v>12135</v>
      </c>
      <c r="N902" s="53">
        <v>0</v>
      </c>
      <c r="O902" s="40">
        <v>0</v>
      </c>
      <c r="P902" s="35">
        <v>0</v>
      </c>
      <c r="Q902" s="35" t="s">
        <v>1950</v>
      </c>
      <c r="R902" s="53">
        <v>17</v>
      </c>
      <c r="S902" s="53">
        <v>0</v>
      </c>
    </row>
    <row r="903" spans="1:19" x14ac:dyDescent="0.3">
      <c r="A903" s="35" t="s">
        <v>1586</v>
      </c>
      <c r="B903" s="35" t="s">
        <v>12</v>
      </c>
      <c r="C903" s="35" t="s">
        <v>17</v>
      </c>
      <c r="D903" s="35">
        <v>186.65</v>
      </c>
      <c r="E903" s="39" t="s">
        <v>1950</v>
      </c>
      <c r="F903" s="37">
        <v>0</v>
      </c>
      <c r="G903" s="35" t="s">
        <v>1950</v>
      </c>
      <c r="H903" s="37">
        <v>0</v>
      </c>
      <c r="I903" s="37" t="s">
        <v>1950</v>
      </c>
      <c r="J903" s="35">
        <v>2016</v>
      </c>
      <c r="K903" s="35" t="s">
        <v>1950</v>
      </c>
      <c r="L903" s="35" t="s">
        <v>1950</v>
      </c>
      <c r="M903" s="36">
        <v>19970</v>
      </c>
      <c r="N903" s="53">
        <v>0</v>
      </c>
      <c r="O903" s="40">
        <v>0</v>
      </c>
      <c r="P903" s="35">
        <v>0</v>
      </c>
      <c r="Q903" s="35" t="s">
        <v>1950</v>
      </c>
      <c r="R903" s="53">
        <v>2</v>
      </c>
      <c r="S903" s="53">
        <v>0</v>
      </c>
    </row>
    <row r="904" spans="1:19" x14ac:dyDescent="0.3">
      <c r="A904" s="35" t="s">
        <v>1586</v>
      </c>
      <c r="B904" s="35" t="s">
        <v>14</v>
      </c>
      <c r="C904" s="35" t="s">
        <v>2662</v>
      </c>
      <c r="D904" s="35">
        <v>482.91</v>
      </c>
      <c r="E904" s="39" t="s">
        <v>1950</v>
      </c>
      <c r="F904" s="37">
        <v>0</v>
      </c>
      <c r="G904" s="35" t="s">
        <v>1950</v>
      </c>
      <c r="H904" s="37">
        <v>0</v>
      </c>
      <c r="I904" s="37" t="s">
        <v>1950</v>
      </c>
      <c r="J904" s="35">
        <v>2000</v>
      </c>
      <c r="K904" s="35" t="s">
        <v>21</v>
      </c>
      <c r="L904" s="35" t="s">
        <v>1601</v>
      </c>
      <c r="M904" s="36">
        <v>42570</v>
      </c>
      <c r="N904" s="53">
        <v>0</v>
      </c>
      <c r="O904" s="40">
        <v>0</v>
      </c>
      <c r="P904" s="35">
        <v>0</v>
      </c>
      <c r="Q904" s="35" t="s">
        <v>1950</v>
      </c>
      <c r="R904" s="53">
        <v>2</v>
      </c>
      <c r="S904" s="53">
        <v>0</v>
      </c>
    </row>
    <row r="905" spans="1:19" x14ac:dyDescent="0.3">
      <c r="A905" s="35" t="s">
        <v>1586</v>
      </c>
      <c r="B905" s="35" t="s">
        <v>14</v>
      </c>
      <c r="C905" s="35" t="s">
        <v>17</v>
      </c>
      <c r="D905" s="35">
        <v>319.11</v>
      </c>
      <c r="E905" s="39" t="s">
        <v>1950</v>
      </c>
      <c r="F905" s="37">
        <v>0</v>
      </c>
      <c r="G905" s="35" t="s">
        <v>1950</v>
      </c>
      <c r="H905" s="37">
        <v>0</v>
      </c>
      <c r="I905" s="37" t="s">
        <v>1950</v>
      </c>
      <c r="J905" s="35">
        <v>2001</v>
      </c>
      <c r="K905" s="35" t="s">
        <v>19</v>
      </c>
      <c r="L905" s="35" t="s">
        <v>1599</v>
      </c>
      <c r="M905" s="36">
        <v>99091</v>
      </c>
      <c r="N905" s="53">
        <v>0</v>
      </c>
      <c r="O905" s="40">
        <v>0</v>
      </c>
      <c r="P905" s="35">
        <v>0</v>
      </c>
      <c r="Q905" s="35" t="s">
        <v>1950</v>
      </c>
      <c r="R905" s="53">
        <v>16</v>
      </c>
      <c r="S905" s="53">
        <v>0</v>
      </c>
    </row>
    <row r="906" spans="1:19" x14ac:dyDescent="0.3">
      <c r="A906" s="35" t="s">
        <v>1586</v>
      </c>
      <c r="B906" s="35" t="s">
        <v>14</v>
      </c>
      <c r="C906" s="35" t="s">
        <v>1775</v>
      </c>
      <c r="D906" s="35">
        <v>58.33</v>
      </c>
      <c r="E906" s="39" t="s">
        <v>1950</v>
      </c>
      <c r="F906" s="37">
        <v>0</v>
      </c>
      <c r="G906" s="35" t="s">
        <v>1950</v>
      </c>
      <c r="H906" s="37">
        <v>0</v>
      </c>
      <c r="I906" s="37" t="s">
        <v>1950</v>
      </c>
      <c r="J906" s="35">
        <v>1999</v>
      </c>
      <c r="K906" s="35" t="s">
        <v>1950</v>
      </c>
      <c r="L906" s="35" t="s">
        <v>1950</v>
      </c>
      <c r="M906" s="36">
        <v>7386</v>
      </c>
      <c r="N906" s="53">
        <v>0</v>
      </c>
      <c r="O906" s="40">
        <v>0</v>
      </c>
      <c r="P906" s="35">
        <v>0</v>
      </c>
      <c r="Q906" s="35" t="s">
        <v>1950</v>
      </c>
      <c r="R906" s="53">
        <v>3</v>
      </c>
      <c r="S906" s="53">
        <v>0</v>
      </c>
    </row>
    <row r="907" spans="1:19" x14ac:dyDescent="0.3">
      <c r="A907" s="35" t="s">
        <v>1586</v>
      </c>
      <c r="B907" s="35" t="s">
        <v>29</v>
      </c>
      <c r="C907" s="35" t="s">
        <v>17</v>
      </c>
      <c r="D907" s="35">
        <v>228.78</v>
      </c>
      <c r="E907" s="39" t="s">
        <v>1950</v>
      </c>
      <c r="F907" s="37">
        <v>0</v>
      </c>
      <c r="G907" s="35" t="s">
        <v>1950</v>
      </c>
      <c r="H907" s="37">
        <v>0</v>
      </c>
      <c r="I907" s="37" t="s">
        <v>1950</v>
      </c>
      <c r="J907" s="35">
        <v>1982</v>
      </c>
      <c r="K907" s="35" t="s">
        <v>21</v>
      </c>
      <c r="L907" s="35" t="s">
        <v>1597</v>
      </c>
      <c r="M907" s="36">
        <v>42483</v>
      </c>
      <c r="N907" s="53">
        <v>0</v>
      </c>
      <c r="O907" s="40">
        <v>0</v>
      </c>
      <c r="P907" s="35">
        <v>0</v>
      </c>
      <c r="Q907" s="35" t="s">
        <v>1950</v>
      </c>
      <c r="R907" s="53">
        <v>16</v>
      </c>
      <c r="S907" s="53">
        <v>0</v>
      </c>
    </row>
    <row r="908" spans="1:19" x14ac:dyDescent="0.3">
      <c r="A908" s="35" t="s">
        <v>1586</v>
      </c>
      <c r="B908" s="35" t="s">
        <v>14</v>
      </c>
      <c r="C908" s="35" t="s">
        <v>1775</v>
      </c>
      <c r="D908" s="35">
        <v>190.05</v>
      </c>
      <c r="E908" s="39" t="s">
        <v>1950</v>
      </c>
      <c r="F908" s="37">
        <v>0</v>
      </c>
      <c r="G908" s="35" t="s">
        <v>1950</v>
      </c>
      <c r="H908" s="37">
        <v>0</v>
      </c>
      <c r="I908" s="37" t="s">
        <v>1950</v>
      </c>
      <c r="J908" s="35">
        <v>1998</v>
      </c>
      <c r="K908" s="35" t="s">
        <v>25</v>
      </c>
      <c r="L908" s="35" t="s">
        <v>1601</v>
      </c>
      <c r="M908" s="36">
        <v>13627</v>
      </c>
      <c r="N908" s="53">
        <v>0</v>
      </c>
      <c r="O908" s="40">
        <v>0</v>
      </c>
      <c r="P908" s="35">
        <v>0</v>
      </c>
      <c r="Q908" s="35" t="s">
        <v>1950</v>
      </c>
      <c r="R908" s="53">
        <v>1</v>
      </c>
      <c r="S908" s="53">
        <v>0</v>
      </c>
    </row>
    <row r="909" spans="1:19" x14ac:dyDescent="0.3">
      <c r="A909" s="35" t="s">
        <v>1586</v>
      </c>
      <c r="B909" s="35" t="s">
        <v>14</v>
      </c>
      <c r="C909" s="35" t="s">
        <v>17</v>
      </c>
      <c r="D909" s="35">
        <v>129.43</v>
      </c>
      <c r="E909" s="39" t="s">
        <v>1950</v>
      </c>
      <c r="F909" s="37">
        <v>0</v>
      </c>
      <c r="G909" s="35" t="s">
        <v>1950</v>
      </c>
      <c r="H909" s="37">
        <v>0</v>
      </c>
      <c r="I909" s="37" t="s">
        <v>1950</v>
      </c>
      <c r="J909" s="35">
        <v>1992</v>
      </c>
      <c r="K909" s="35" t="s">
        <v>19</v>
      </c>
      <c r="L909" s="35" t="s">
        <v>1601</v>
      </c>
      <c r="M909" s="36">
        <v>22368</v>
      </c>
      <c r="N909" s="53">
        <v>0</v>
      </c>
      <c r="O909" s="40">
        <v>0</v>
      </c>
      <c r="P909" s="35">
        <v>0</v>
      </c>
      <c r="Q909" s="35" t="s">
        <v>1950</v>
      </c>
      <c r="R909" s="53">
        <v>4</v>
      </c>
      <c r="S909" s="53">
        <v>0</v>
      </c>
    </row>
    <row r="910" spans="1:19" x14ac:dyDescent="0.3">
      <c r="A910" s="35" t="s">
        <v>1586</v>
      </c>
      <c r="B910" s="35" t="s">
        <v>8</v>
      </c>
      <c r="C910" s="35" t="s">
        <v>17</v>
      </c>
      <c r="D910" s="35">
        <v>187.74</v>
      </c>
      <c r="E910" s="39" t="s">
        <v>1950</v>
      </c>
      <c r="F910" s="37">
        <v>0</v>
      </c>
      <c r="G910" s="35" t="s">
        <v>1950</v>
      </c>
      <c r="H910" s="37">
        <v>0</v>
      </c>
      <c r="I910" s="37" t="s">
        <v>1950</v>
      </c>
      <c r="J910" s="35">
        <v>1979</v>
      </c>
      <c r="K910" s="35" t="s">
        <v>25</v>
      </c>
      <c r="L910" s="35" t="s">
        <v>1601</v>
      </c>
      <c r="M910" s="36">
        <v>19209</v>
      </c>
      <c r="N910" s="53">
        <v>0</v>
      </c>
      <c r="O910" s="40">
        <v>0</v>
      </c>
      <c r="P910" s="35">
        <v>0</v>
      </c>
      <c r="Q910" s="35" t="s">
        <v>1950</v>
      </c>
      <c r="R910" s="53">
        <v>1</v>
      </c>
      <c r="S910" s="53">
        <v>0</v>
      </c>
    </row>
    <row r="911" spans="1:19" x14ac:dyDescent="0.3">
      <c r="A911" s="35" t="s">
        <v>1586</v>
      </c>
      <c r="B911" s="35" t="s">
        <v>12</v>
      </c>
      <c r="C911" s="35" t="s">
        <v>1775</v>
      </c>
      <c r="D911" s="35">
        <v>293.97000000000003</v>
      </c>
      <c r="E911" s="39" t="s">
        <v>1950</v>
      </c>
      <c r="F911" s="37">
        <v>0</v>
      </c>
      <c r="G911" s="35" t="s">
        <v>1950</v>
      </c>
      <c r="H911" s="37">
        <v>0</v>
      </c>
      <c r="I911" s="37" t="s">
        <v>1950</v>
      </c>
      <c r="J911" s="35">
        <v>1993</v>
      </c>
      <c r="K911" s="35" t="s">
        <v>1950</v>
      </c>
      <c r="L911" s="35" t="s">
        <v>1950</v>
      </c>
      <c r="M911" s="36">
        <v>5992</v>
      </c>
      <c r="N911" s="53">
        <v>0</v>
      </c>
      <c r="O911" s="40">
        <v>0</v>
      </c>
      <c r="P911" s="35">
        <v>0</v>
      </c>
      <c r="Q911" s="35" t="s">
        <v>1950</v>
      </c>
      <c r="R911" s="53">
        <v>20</v>
      </c>
      <c r="S911" s="53">
        <v>0</v>
      </c>
    </row>
    <row r="912" spans="1:19" x14ac:dyDescent="0.3">
      <c r="A912" s="35" t="s">
        <v>1586</v>
      </c>
      <c r="B912" s="35" t="s">
        <v>14</v>
      </c>
      <c r="C912" s="35" t="s">
        <v>17</v>
      </c>
      <c r="D912" s="35">
        <v>225.99</v>
      </c>
      <c r="E912" s="39" t="s">
        <v>1950</v>
      </c>
      <c r="F912" s="37">
        <v>0</v>
      </c>
      <c r="G912" s="35" t="s">
        <v>1950</v>
      </c>
      <c r="H912" s="37">
        <v>0</v>
      </c>
      <c r="I912" s="37" t="s">
        <v>1950</v>
      </c>
      <c r="J912" s="35">
        <v>1993</v>
      </c>
      <c r="K912" s="35" t="s">
        <v>25</v>
      </c>
      <c r="L912" s="35" t="s">
        <v>1601</v>
      </c>
      <c r="M912" s="36">
        <v>49048</v>
      </c>
      <c r="N912" s="53">
        <v>0</v>
      </c>
      <c r="O912" s="40">
        <v>0</v>
      </c>
      <c r="P912" s="35">
        <v>0</v>
      </c>
      <c r="Q912" s="35" t="s">
        <v>1950</v>
      </c>
      <c r="R912" s="53">
        <v>0</v>
      </c>
      <c r="S912" s="53">
        <v>0</v>
      </c>
    </row>
    <row r="913" spans="1:19" x14ac:dyDescent="0.3">
      <c r="A913" s="35" t="s">
        <v>1586</v>
      </c>
      <c r="B913" s="35" t="s">
        <v>14</v>
      </c>
      <c r="C913" s="35" t="s">
        <v>17</v>
      </c>
      <c r="D913" s="35">
        <v>317.64</v>
      </c>
      <c r="E913" s="39" t="s">
        <v>1950</v>
      </c>
      <c r="F913" s="37">
        <v>0</v>
      </c>
      <c r="G913" s="35" t="s">
        <v>1950</v>
      </c>
      <c r="H913" s="37">
        <v>0</v>
      </c>
      <c r="I913" s="37" t="s">
        <v>1950</v>
      </c>
      <c r="J913" s="35">
        <v>1975</v>
      </c>
      <c r="K913" s="35" t="s">
        <v>25</v>
      </c>
      <c r="L913" s="35" t="s">
        <v>1601</v>
      </c>
      <c r="M913" s="36">
        <v>40939</v>
      </c>
      <c r="N913" s="53">
        <v>0</v>
      </c>
      <c r="O913" s="40">
        <v>0</v>
      </c>
      <c r="P913" s="35">
        <v>0</v>
      </c>
      <c r="Q913" s="35" t="s">
        <v>1950</v>
      </c>
      <c r="R913" s="53">
        <v>2</v>
      </c>
      <c r="S913" s="53">
        <v>0</v>
      </c>
    </row>
    <row r="914" spans="1:19" x14ac:dyDescent="0.3">
      <c r="A914" s="35" t="s">
        <v>1586</v>
      </c>
      <c r="B914" s="35" t="s">
        <v>12</v>
      </c>
      <c r="C914" s="35" t="s">
        <v>17</v>
      </c>
      <c r="D914" s="35">
        <v>460.46</v>
      </c>
      <c r="E914" s="39" t="s">
        <v>1950</v>
      </c>
      <c r="F914" s="37">
        <v>0</v>
      </c>
      <c r="G914" s="35" t="s">
        <v>1950</v>
      </c>
      <c r="H914" s="37">
        <v>0</v>
      </c>
      <c r="I914" s="37" t="s">
        <v>1950</v>
      </c>
      <c r="J914" s="35">
        <v>1995</v>
      </c>
      <c r="K914" s="35" t="s">
        <v>21</v>
      </c>
      <c r="L914" s="35" t="s">
        <v>1601</v>
      </c>
      <c r="M914" s="36">
        <v>47065</v>
      </c>
      <c r="N914" s="53">
        <v>0</v>
      </c>
      <c r="O914" s="40">
        <v>0</v>
      </c>
      <c r="P914" s="35">
        <v>0</v>
      </c>
      <c r="Q914" s="35" t="s">
        <v>1950</v>
      </c>
      <c r="R914" s="53">
        <v>8</v>
      </c>
      <c r="S914" s="53">
        <v>0</v>
      </c>
    </row>
    <row r="915" spans="1:19" x14ac:dyDescent="0.3">
      <c r="A915" s="35" t="s">
        <v>1586</v>
      </c>
      <c r="B915" s="35" t="s">
        <v>29</v>
      </c>
      <c r="C915" s="35" t="s">
        <v>17</v>
      </c>
      <c r="D915" s="35">
        <v>159.72999999999999</v>
      </c>
      <c r="E915" s="39" t="s">
        <v>1950</v>
      </c>
      <c r="F915" s="37">
        <v>0</v>
      </c>
      <c r="G915" s="35" t="s">
        <v>1950</v>
      </c>
      <c r="H915" s="37">
        <v>0</v>
      </c>
      <c r="I915" s="37" t="s">
        <v>1950</v>
      </c>
      <c r="J915" s="35">
        <v>1981</v>
      </c>
      <c r="K915" s="35" t="s">
        <v>19</v>
      </c>
      <c r="L915" s="35" t="s">
        <v>1601</v>
      </c>
      <c r="M915" s="36">
        <v>37721</v>
      </c>
      <c r="N915" s="53">
        <v>0</v>
      </c>
      <c r="O915" s="40">
        <v>0</v>
      </c>
      <c r="P915" s="35">
        <v>0</v>
      </c>
      <c r="Q915" s="35" t="s">
        <v>1950</v>
      </c>
      <c r="R915" s="53">
        <v>6</v>
      </c>
      <c r="S915" s="53">
        <v>0</v>
      </c>
    </row>
    <row r="916" spans="1:19" x14ac:dyDescent="0.3">
      <c r="A916" s="35" t="s">
        <v>1586</v>
      </c>
      <c r="B916" s="35" t="s">
        <v>29</v>
      </c>
      <c r="C916" s="35" t="s">
        <v>17</v>
      </c>
      <c r="D916" s="35">
        <v>203.07</v>
      </c>
      <c r="E916" s="39" t="s">
        <v>1950</v>
      </c>
      <c r="F916" s="37">
        <v>0</v>
      </c>
      <c r="G916" s="35" t="s">
        <v>1950</v>
      </c>
      <c r="H916" s="37">
        <v>0</v>
      </c>
      <c r="I916" s="37" t="s">
        <v>1950</v>
      </c>
      <c r="J916" s="35">
        <v>1900</v>
      </c>
      <c r="K916" s="35" t="s">
        <v>25</v>
      </c>
      <c r="L916" s="35" t="s">
        <v>1601</v>
      </c>
      <c r="M916" s="36">
        <v>29616</v>
      </c>
      <c r="N916" s="53">
        <v>0</v>
      </c>
      <c r="O916" s="40">
        <v>0</v>
      </c>
      <c r="P916" s="35">
        <v>0</v>
      </c>
      <c r="Q916" s="35" t="s">
        <v>1950</v>
      </c>
      <c r="R916" s="53">
        <v>3</v>
      </c>
      <c r="S916" s="53">
        <v>0</v>
      </c>
    </row>
    <row r="917" spans="1:19" x14ac:dyDescent="0.3">
      <c r="A917" s="35" t="s">
        <v>1586</v>
      </c>
      <c r="B917" s="35" t="s">
        <v>29</v>
      </c>
      <c r="C917" s="35" t="s">
        <v>2662</v>
      </c>
      <c r="D917" s="35">
        <v>522.24</v>
      </c>
      <c r="E917" s="39" t="s">
        <v>1950</v>
      </c>
      <c r="F917" s="37">
        <v>0</v>
      </c>
      <c r="G917" s="35" t="s">
        <v>1950</v>
      </c>
      <c r="H917" s="37">
        <v>0</v>
      </c>
      <c r="I917" s="37" t="s">
        <v>1950</v>
      </c>
      <c r="J917" s="35">
        <v>1999</v>
      </c>
      <c r="K917" s="35" t="s">
        <v>1950</v>
      </c>
      <c r="L917" s="35" t="s">
        <v>1950</v>
      </c>
      <c r="M917" s="36">
        <v>63959</v>
      </c>
      <c r="N917" s="53">
        <v>0</v>
      </c>
      <c r="O917" s="40">
        <v>0</v>
      </c>
      <c r="P917" s="35">
        <v>0</v>
      </c>
      <c r="Q917" s="35" t="s">
        <v>1950</v>
      </c>
      <c r="R917" s="53">
        <v>0</v>
      </c>
      <c r="S917" s="53">
        <v>0</v>
      </c>
    </row>
    <row r="918" spans="1:19" x14ac:dyDescent="0.3">
      <c r="A918" s="35" t="s">
        <v>1586</v>
      </c>
      <c r="B918" s="35" t="s">
        <v>29</v>
      </c>
      <c r="C918" s="35" t="s">
        <v>1775</v>
      </c>
      <c r="D918" s="35">
        <v>217.25</v>
      </c>
      <c r="E918" s="39" t="s">
        <v>1950</v>
      </c>
      <c r="F918" s="37">
        <v>0</v>
      </c>
      <c r="G918" s="35" t="s">
        <v>1950</v>
      </c>
      <c r="H918" s="37">
        <v>0</v>
      </c>
      <c r="I918" s="37" t="s">
        <v>1950</v>
      </c>
      <c r="J918" s="35">
        <v>2006</v>
      </c>
      <c r="K918" s="35" t="s">
        <v>1950</v>
      </c>
      <c r="L918" s="35" t="s">
        <v>1950</v>
      </c>
      <c r="M918" s="36">
        <v>8651</v>
      </c>
      <c r="N918" s="53">
        <v>0</v>
      </c>
      <c r="O918" s="40">
        <v>0</v>
      </c>
      <c r="P918" s="35">
        <v>0</v>
      </c>
      <c r="Q918" s="35" t="s">
        <v>1950</v>
      </c>
      <c r="R918" s="53">
        <v>6</v>
      </c>
      <c r="S918" s="53">
        <v>0</v>
      </c>
    </row>
    <row r="919" spans="1:19" x14ac:dyDescent="0.3">
      <c r="A919" s="35" t="s">
        <v>1586</v>
      </c>
      <c r="B919" s="35" t="s">
        <v>29</v>
      </c>
      <c r="C919" s="35" t="s">
        <v>17</v>
      </c>
      <c r="D919" s="35">
        <v>229.96</v>
      </c>
      <c r="E919" s="39" t="s">
        <v>1950</v>
      </c>
      <c r="F919" s="37">
        <v>0</v>
      </c>
      <c r="G919" s="35" t="s">
        <v>1950</v>
      </c>
      <c r="H919" s="37">
        <v>0</v>
      </c>
      <c r="I919" s="37" t="s">
        <v>1950</v>
      </c>
      <c r="J919" s="35">
        <v>1998</v>
      </c>
      <c r="K919" s="35" t="s">
        <v>1950</v>
      </c>
      <c r="L919" s="35" t="s">
        <v>1950</v>
      </c>
      <c r="M919" s="36">
        <v>30793</v>
      </c>
      <c r="N919" s="53">
        <v>0</v>
      </c>
      <c r="O919" s="40">
        <v>0</v>
      </c>
      <c r="P919" s="35">
        <v>0</v>
      </c>
      <c r="Q919" s="35" t="s">
        <v>1950</v>
      </c>
      <c r="R919" s="53">
        <v>22</v>
      </c>
      <c r="S919" s="53">
        <v>0</v>
      </c>
    </row>
    <row r="920" spans="1:19" x14ac:dyDescent="0.3">
      <c r="A920" s="35" t="s">
        <v>1586</v>
      </c>
      <c r="B920" s="35" t="s">
        <v>12</v>
      </c>
      <c r="C920" s="35" t="s">
        <v>17</v>
      </c>
      <c r="D920" s="35">
        <v>103.59</v>
      </c>
      <c r="E920" s="39" t="s">
        <v>1950</v>
      </c>
      <c r="F920" s="37">
        <v>0</v>
      </c>
      <c r="G920" s="35" t="s">
        <v>1950</v>
      </c>
      <c r="H920" s="37">
        <v>0</v>
      </c>
      <c r="I920" s="37" t="s">
        <v>1950</v>
      </c>
      <c r="J920" s="35">
        <v>1999</v>
      </c>
      <c r="K920" s="35" t="s">
        <v>21</v>
      </c>
      <c r="L920" s="35" t="s">
        <v>1601</v>
      </c>
      <c r="M920" s="36">
        <v>170288</v>
      </c>
      <c r="N920" s="53">
        <v>0</v>
      </c>
      <c r="O920" s="40">
        <v>0</v>
      </c>
      <c r="P920" s="35">
        <v>0</v>
      </c>
      <c r="Q920" s="35" t="s">
        <v>1950</v>
      </c>
      <c r="R920" s="53">
        <v>1</v>
      </c>
      <c r="S920" s="53">
        <v>0</v>
      </c>
    </row>
    <row r="921" spans="1:19" x14ac:dyDescent="0.3">
      <c r="A921" s="35" t="s">
        <v>1586</v>
      </c>
      <c r="B921" s="35" t="s">
        <v>14</v>
      </c>
      <c r="C921" s="35" t="s">
        <v>1775</v>
      </c>
      <c r="D921" s="35">
        <v>61.53</v>
      </c>
      <c r="E921" s="39" t="s">
        <v>1950</v>
      </c>
      <c r="F921" s="37">
        <v>0</v>
      </c>
      <c r="G921" s="35" t="s">
        <v>1950</v>
      </c>
      <c r="H921" s="37">
        <v>0</v>
      </c>
      <c r="I921" s="37" t="s">
        <v>1950</v>
      </c>
      <c r="J921" s="35">
        <v>1992</v>
      </c>
      <c r="K921" s="35" t="s">
        <v>1950</v>
      </c>
      <c r="L921" s="35" t="s">
        <v>1950</v>
      </c>
      <c r="M921" s="36">
        <v>10841</v>
      </c>
      <c r="N921" s="53">
        <v>0</v>
      </c>
      <c r="O921" s="40">
        <v>0</v>
      </c>
      <c r="P921" s="35">
        <v>0</v>
      </c>
      <c r="Q921" s="35" t="s">
        <v>1950</v>
      </c>
      <c r="R921" s="53">
        <v>15</v>
      </c>
      <c r="S921" s="53">
        <v>0</v>
      </c>
    </row>
    <row r="922" spans="1:19" x14ac:dyDescent="0.3">
      <c r="A922" s="35" t="s">
        <v>1586</v>
      </c>
      <c r="B922" s="35" t="s">
        <v>14</v>
      </c>
      <c r="C922" s="35" t="s">
        <v>1775</v>
      </c>
      <c r="D922" s="35">
        <v>105.17</v>
      </c>
      <c r="E922" s="39" t="s">
        <v>1950</v>
      </c>
      <c r="F922" s="37">
        <v>0</v>
      </c>
      <c r="G922" s="35" t="s">
        <v>1950</v>
      </c>
      <c r="H922" s="37">
        <v>0</v>
      </c>
      <c r="I922" s="37" t="s">
        <v>1950</v>
      </c>
      <c r="J922" s="35">
        <v>2016</v>
      </c>
      <c r="K922" s="35" t="s">
        <v>1950</v>
      </c>
      <c r="L922" s="35" t="s">
        <v>1950</v>
      </c>
      <c r="M922" s="36">
        <v>9453</v>
      </c>
      <c r="N922" s="53">
        <v>0</v>
      </c>
      <c r="O922" s="40">
        <v>0</v>
      </c>
      <c r="P922" s="35">
        <v>0</v>
      </c>
      <c r="Q922" s="35" t="s">
        <v>1950</v>
      </c>
      <c r="R922" s="53">
        <v>1</v>
      </c>
      <c r="S922" s="53">
        <v>0</v>
      </c>
    </row>
    <row r="923" spans="1:19" x14ac:dyDescent="0.3">
      <c r="A923" s="35" t="s">
        <v>1586</v>
      </c>
      <c r="B923" s="35" t="s">
        <v>29</v>
      </c>
      <c r="C923" s="35" t="s">
        <v>17</v>
      </c>
      <c r="D923" s="35">
        <v>36.369999999999997</v>
      </c>
      <c r="E923" s="39" t="s">
        <v>1950</v>
      </c>
      <c r="F923" s="37">
        <v>0</v>
      </c>
      <c r="G923" s="35" t="s">
        <v>1950</v>
      </c>
      <c r="H923" s="37">
        <v>0</v>
      </c>
      <c r="I923" s="37" t="s">
        <v>1950</v>
      </c>
      <c r="J923" s="35">
        <v>2012</v>
      </c>
      <c r="K923" s="35" t="s">
        <v>1950</v>
      </c>
      <c r="L923" s="35" t="s">
        <v>1950</v>
      </c>
      <c r="M923" s="36">
        <v>45000</v>
      </c>
      <c r="N923" s="53">
        <v>0</v>
      </c>
      <c r="O923" s="40">
        <v>0</v>
      </c>
      <c r="P923" s="35">
        <v>0</v>
      </c>
      <c r="Q923" s="35" t="s">
        <v>1950</v>
      </c>
      <c r="R923" s="53">
        <v>9</v>
      </c>
      <c r="S923" s="53">
        <v>0</v>
      </c>
    </row>
    <row r="924" spans="1:19" x14ac:dyDescent="0.3">
      <c r="A924" s="35" t="s">
        <v>1586</v>
      </c>
      <c r="B924" s="35" t="s">
        <v>14</v>
      </c>
      <c r="C924" s="35" t="s">
        <v>1775</v>
      </c>
      <c r="D924" s="35">
        <v>346.57</v>
      </c>
      <c r="E924" s="39" t="s">
        <v>1950</v>
      </c>
      <c r="F924" s="37">
        <v>0</v>
      </c>
      <c r="G924" s="35" t="s">
        <v>1950</v>
      </c>
      <c r="H924" s="37">
        <v>0</v>
      </c>
      <c r="I924" s="37" t="s">
        <v>1950</v>
      </c>
      <c r="J924" s="35">
        <v>2011</v>
      </c>
      <c r="K924" s="35" t="s">
        <v>2663</v>
      </c>
      <c r="L924" s="35" t="s">
        <v>1950</v>
      </c>
      <c r="M924" s="36">
        <v>2181</v>
      </c>
      <c r="N924" s="53">
        <v>0</v>
      </c>
      <c r="O924" s="40">
        <v>0</v>
      </c>
      <c r="P924" s="35">
        <v>0</v>
      </c>
      <c r="Q924" s="35" t="s">
        <v>1950</v>
      </c>
      <c r="R924" s="53">
        <v>9</v>
      </c>
      <c r="S924" s="53">
        <v>0</v>
      </c>
    </row>
    <row r="925" spans="1:19" x14ac:dyDescent="0.3">
      <c r="A925" s="35" t="s">
        <v>1586</v>
      </c>
      <c r="B925" s="35" t="s">
        <v>14</v>
      </c>
      <c r="C925" s="35" t="s">
        <v>1775</v>
      </c>
      <c r="D925" s="35">
        <v>94.93</v>
      </c>
      <c r="E925" s="39" t="s">
        <v>1950</v>
      </c>
      <c r="F925" s="37">
        <v>0</v>
      </c>
      <c r="G925" s="35" t="s">
        <v>1950</v>
      </c>
      <c r="H925" s="37">
        <v>0</v>
      </c>
      <c r="I925" s="37" t="s">
        <v>1950</v>
      </c>
      <c r="J925" s="35">
        <v>2011</v>
      </c>
      <c r="K925" s="35" t="s">
        <v>2663</v>
      </c>
      <c r="L925" s="35" t="s">
        <v>1950</v>
      </c>
      <c r="M925" s="35">
        <v>757</v>
      </c>
      <c r="N925" s="53">
        <v>0</v>
      </c>
      <c r="O925" s="40">
        <v>0</v>
      </c>
      <c r="P925" s="35">
        <v>0</v>
      </c>
      <c r="Q925" s="35" t="s">
        <v>1950</v>
      </c>
      <c r="R925" s="53">
        <v>9</v>
      </c>
      <c r="S925" s="53">
        <v>0</v>
      </c>
    </row>
    <row r="926" spans="1:19" x14ac:dyDescent="0.3">
      <c r="A926" s="35" t="s">
        <v>1586</v>
      </c>
      <c r="B926" s="35" t="s">
        <v>14</v>
      </c>
      <c r="C926" s="35" t="s">
        <v>1775</v>
      </c>
      <c r="D926" s="35">
        <v>41.08</v>
      </c>
      <c r="E926" s="39" t="s">
        <v>1950</v>
      </c>
      <c r="F926" s="37">
        <v>0</v>
      </c>
      <c r="G926" s="35" t="s">
        <v>1950</v>
      </c>
      <c r="H926" s="37">
        <v>0</v>
      </c>
      <c r="I926" s="37" t="s">
        <v>1950</v>
      </c>
      <c r="J926" s="35">
        <v>2011</v>
      </c>
      <c r="K926" s="35" t="s">
        <v>2663</v>
      </c>
      <c r="L926" s="35" t="s">
        <v>1950</v>
      </c>
      <c r="M926" s="36">
        <v>2853</v>
      </c>
      <c r="N926" s="53">
        <v>0</v>
      </c>
      <c r="O926" s="40">
        <v>0</v>
      </c>
      <c r="P926" s="35">
        <v>0</v>
      </c>
      <c r="Q926" s="35" t="s">
        <v>1950</v>
      </c>
      <c r="R926" s="53">
        <v>9</v>
      </c>
      <c r="S926" s="53">
        <v>0</v>
      </c>
    </row>
    <row r="927" spans="1:19" x14ac:dyDescent="0.3">
      <c r="A927" s="35" t="s">
        <v>1586</v>
      </c>
      <c r="B927" s="35" t="s">
        <v>14</v>
      </c>
      <c r="C927" s="35" t="s">
        <v>1775</v>
      </c>
      <c r="D927" s="35">
        <v>27.14</v>
      </c>
      <c r="E927" s="39" t="s">
        <v>1950</v>
      </c>
      <c r="F927" s="37">
        <v>0</v>
      </c>
      <c r="G927" s="35" t="s">
        <v>1950</v>
      </c>
      <c r="H927" s="37">
        <v>0</v>
      </c>
      <c r="I927" s="37" t="s">
        <v>1950</v>
      </c>
      <c r="J927" s="35">
        <v>2011</v>
      </c>
      <c r="K927" s="35" t="s">
        <v>2663</v>
      </c>
      <c r="L927" s="35" t="s">
        <v>1950</v>
      </c>
      <c r="M927" s="36">
        <v>2677</v>
      </c>
      <c r="N927" s="53">
        <v>0</v>
      </c>
      <c r="O927" s="40">
        <v>0</v>
      </c>
      <c r="P927" s="35">
        <v>0</v>
      </c>
      <c r="Q927" s="35" t="s">
        <v>1950</v>
      </c>
      <c r="R927" s="53">
        <v>9</v>
      </c>
      <c r="S927" s="53">
        <v>0</v>
      </c>
    </row>
    <row r="928" spans="1:19" x14ac:dyDescent="0.3">
      <c r="A928" s="35" t="s">
        <v>1586</v>
      </c>
      <c r="B928" s="35" t="s">
        <v>14</v>
      </c>
      <c r="C928" s="35" t="s">
        <v>1775</v>
      </c>
      <c r="D928" s="35">
        <v>120.24</v>
      </c>
      <c r="E928" s="39" t="s">
        <v>1950</v>
      </c>
      <c r="F928" s="37">
        <v>0</v>
      </c>
      <c r="G928" s="35" t="s">
        <v>1950</v>
      </c>
      <c r="H928" s="37">
        <v>0</v>
      </c>
      <c r="I928" s="37" t="s">
        <v>1950</v>
      </c>
      <c r="J928" s="35">
        <v>2011</v>
      </c>
      <c r="K928" s="35" t="s">
        <v>2663</v>
      </c>
      <c r="L928" s="35" t="s">
        <v>1950</v>
      </c>
      <c r="M928" s="36">
        <v>2601</v>
      </c>
      <c r="N928" s="53">
        <v>0</v>
      </c>
      <c r="O928" s="40">
        <v>0</v>
      </c>
      <c r="P928" s="35">
        <v>0</v>
      </c>
      <c r="Q928" s="35" t="s">
        <v>1950</v>
      </c>
      <c r="R928" s="53">
        <v>9</v>
      </c>
      <c r="S928" s="53">
        <v>0</v>
      </c>
    </row>
    <row r="929" spans="1:19" x14ac:dyDescent="0.3">
      <c r="A929" s="35" t="s">
        <v>1586</v>
      </c>
      <c r="B929" s="35" t="s">
        <v>14</v>
      </c>
      <c r="C929" s="35" t="s">
        <v>1775</v>
      </c>
      <c r="D929" s="35">
        <v>119.97</v>
      </c>
      <c r="E929" s="39" t="s">
        <v>1950</v>
      </c>
      <c r="F929" s="37">
        <v>0</v>
      </c>
      <c r="G929" s="35" t="s">
        <v>1950</v>
      </c>
      <c r="H929" s="37">
        <v>0</v>
      </c>
      <c r="I929" s="37" t="s">
        <v>1950</v>
      </c>
      <c r="J929" s="35">
        <v>2011</v>
      </c>
      <c r="K929" s="35" t="s">
        <v>2663</v>
      </c>
      <c r="L929" s="35" t="s">
        <v>1950</v>
      </c>
      <c r="M929" s="36">
        <v>1063</v>
      </c>
      <c r="N929" s="53">
        <v>0</v>
      </c>
      <c r="O929" s="40">
        <v>0</v>
      </c>
      <c r="P929" s="35">
        <v>0</v>
      </c>
      <c r="Q929" s="35" t="s">
        <v>1950</v>
      </c>
      <c r="R929" s="53">
        <v>9</v>
      </c>
      <c r="S929" s="53">
        <v>0</v>
      </c>
    </row>
    <row r="930" spans="1:19" x14ac:dyDescent="0.3">
      <c r="A930" s="35" t="s">
        <v>1586</v>
      </c>
      <c r="B930" s="35" t="s">
        <v>14</v>
      </c>
      <c r="C930" s="35" t="s">
        <v>17</v>
      </c>
      <c r="D930" s="35">
        <v>135.9</v>
      </c>
      <c r="E930" s="39" t="s">
        <v>1950</v>
      </c>
      <c r="F930" s="37">
        <v>0</v>
      </c>
      <c r="G930" s="35" t="s">
        <v>1950</v>
      </c>
      <c r="H930" s="37">
        <v>0</v>
      </c>
      <c r="I930" s="37" t="s">
        <v>1950</v>
      </c>
      <c r="J930" s="35">
        <v>2008</v>
      </c>
      <c r="K930" s="35" t="s">
        <v>1950</v>
      </c>
      <c r="L930" s="35" t="s">
        <v>1950</v>
      </c>
      <c r="M930" s="36">
        <v>15645</v>
      </c>
      <c r="N930" s="53">
        <v>0</v>
      </c>
      <c r="O930" s="40">
        <v>0</v>
      </c>
      <c r="P930" s="35">
        <v>0</v>
      </c>
      <c r="Q930" s="35" t="s">
        <v>1950</v>
      </c>
      <c r="R930" s="53">
        <v>10</v>
      </c>
      <c r="S930" s="53">
        <v>0</v>
      </c>
    </row>
    <row r="931" spans="1:19" x14ac:dyDescent="0.3">
      <c r="A931" s="35" t="s">
        <v>1586</v>
      </c>
      <c r="B931" s="35" t="s">
        <v>12</v>
      </c>
      <c r="C931" s="35" t="s">
        <v>1775</v>
      </c>
      <c r="D931" s="35">
        <v>130.03</v>
      </c>
      <c r="E931" s="39" t="s">
        <v>1950</v>
      </c>
      <c r="F931" s="37">
        <v>0</v>
      </c>
      <c r="G931" s="35" t="s">
        <v>1950</v>
      </c>
      <c r="H931" s="37">
        <v>0</v>
      </c>
      <c r="I931" s="37" t="s">
        <v>1950</v>
      </c>
      <c r="J931" s="35">
        <v>1982</v>
      </c>
      <c r="K931" s="35" t="s">
        <v>25</v>
      </c>
      <c r="L931" s="35" t="s">
        <v>1601</v>
      </c>
      <c r="M931" s="36">
        <v>12969</v>
      </c>
      <c r="N931" s="53">
        <v>0</v>
      </c>
      <c r="O931" s="40">
        <v>0</v>
      </c>
      <c r="P931" s="35">
        <v>0</v>
      </c>
      <c r="Q931" s="35" t="s">
        <v>1950</v>
      </c>
      <c r="R931" s="53">
        <v>2</v>
      </c>
      <c r="S931" s="53">
        <v>0</v>
      </c>
    </row>
    <row r="932" spans="1:19" x14ac:dyDescent="0.3">
      <c r="A932" s="35" t="s">
        <v>1586</v>
      </c>
      <c r="B932" s="35" t="s">
        <v>12</v>
      </c>
      <c r="C932" s="35" t="s">
        <v>1775</v>
      </c>
      <c r="D932" s="35">
        <v>463.57</v>
      </c>
      <c r="E932" s="39" t="s">
        <v>1950</v>
      </c>
      <c r="F932" s="37">
        <v>0</v>
      </c>
      <c r="G932" s="35" t="s">
        <v>1950</v>
      </c>
      <c r="H932" s="37">
        <v>0</v>
      </c>
      <c r="I932" s="37" t="s">
        <v>1950</v>
      </c>
      <c r="J932" s="35">
        <v>2018</v>
      </c>
      <c r="K932" s="35" t="s">
        <v>2663</v>
      </c>
      <c r="L932" s="35" t="s">
        <v>1950</v>
      </c>
      <c r="M932" s="36">
        <v>6011</v>
      </c>
      <c r="N932" s="53">
        <v>0</v>
      </c>
      <c r="O932" s="40">
        <v>0</v>
      </c>
      <c r="P932" s="35">
        <v>0</v>
      </c>
      <c r="Q932" s="35" t="s">
        <v>1950</v>
      </c>
      <c r="R932" s="53">
        <v>5</v>
      </c>
      <c r="S932" s="53">
        <v>0</v>
      </c>
    </row>
    <row r="933" spans="1:19" x14ac:dyDescent="0.3">
      <c r="A933" s="35" t="s">
        <v>1586</v>
      </c>
      <c r="B933" s="35" t="s">
        <v>14</v>
      </c>
      <c r="C933" s="35" t="s">
        <v>17</v>
      </c>
      <c r="D933" s="35">
        <v>65.27</v>
      </c>
      <c r="E933" s="39" t="s">
        <v>1950</v>
      </c>
      <c r="F933" s="37">
        <v>0</v>
      </c>
      <c r="G933" s="35" t="s">
        <v>1950</v>
      </c>
      <c r="H933" s="37">
        <v>0</v>
      </c>
      <c r="I933" s="37" t="s">
        <v>1950</v>
      </c>
      <c r="J933" s="35">
        <v>2017</v>
      </c>
      <c r="K933" s="35" t="s">
        <v>19</v>
      </c>
      <c r="L933" s="35" t="s">
        <v>1601</v>
      </c>
      <c r="M933" s="36">
        <v>26248</v>
      </c>
      <c r="N933" s="53">
        <v>0</v>
      </c>
      <c r="O933" s="40">
        <v>0</v>
      </c>
      <c r="P933" s="35">
        <v>0</v>
      </c>
      <c r="Q933" s="35" t="s">
        <v>1950</v>
      </c>
      <c r="R933" s="53">
        <v>4</v>
      </c>
      <c r="S933" s="53">
        <v>0</v>
      </c>
    </row>
    <row r="934" spans="1:19" x14ac:dyDescent="0.3">
      <c r="A934" s="35" t="s">
        <v>1586</v>
      </c>
      <c r="B934" s="35" t="s">
        <v>14</v>
      </c>
      <c r="C934" s="35" t="s">
        <v>17</v>
      </c>
      <c r="D934" s="35">
        <v>128.02000000000001</v>
      </c>
      <c r="E934" s="39" t="s">
        <v>1950</v>
      </c>
      <c r="F934" s="37">
        <v>0</v>
      </c>
      <c r="G934" s="35" t="s">
        <v>1950</v>
      </c>
      <c r="H934" s="37">
        <v>0</v>
      </c>
      <c r="I934" s="37" t="s">
        <v>1950</v>
      </c>
      <c r="J934" s="35">
        <v>2000</v>
      </c>
      <c r="K934" s="35" t="s">
        <v>19</v>
      </c>
      <c r="L934" s="35" t="s">
        <v>1597</v>
      </c>
      <c r="M934" s="36">
        <v>56527</v>
      </c>
      <c r="N934" s="53">
        <v>0</v>
      </c>
      <c r="O934" s="40">
        <v>0</v>
      </c>
      <c r="P934" s="35">
        <v>0</v>
      </c>
      <c r="Q934" s="35" t="s">
        <v>1950</v>
      </c>
      <c r="R934" s="53">
        <v>6</v>
      </c>
      <c r="S934" s="53">
        <v>0</v>
      </c>
    </row>
    <row r="935" spans="1:19" x14ac:dyDescent="0.3">
      <c r="A935" s="35" t="s">
        <v>1586</v>
      </c>
      <c r="B935" s="35" t="s">
        <v>12</v>
      </c>
      <c r="C935" s="35" t="s">
        <v>1775</v>
      </c>
      <c r="D935" s="35">
        <v>102.65</v>
      </c>
      <c r="E935" s="39" t="s">
        <v>1950</v>
      </c>
      <c r="F935" s="37">
        <v>0</v>
      </c>
      <c r="G935" s="35" t="s">
        <v>1950</v>
      </c>
      <c r="H935" s="37">
        <v>0</v>
      </c>
      <c r="I935" s="37" t="s">
        <v>1950</v>
      </c>
      <c r="J935" s="35">
        <v>1996</v>
      </c>
      <c r="K935" s="35" t="s">
        <v>1950</v>
      </c>
      <c r="L935" s="35" t="s">
        <v>1950</v>
      </c>
      <c r="M935" s="36">
        <v>2300</v>
      </c>
      <c r="N935" s="53">
        <v>0</v>
      </c>
      <c r="O935" s="40">
        <v>0</v>
      </c>
      <c r="P935" s="35">
        <v>0</v>
      </c>
      <c r="Q935" s="35" t="s">
        <v>1950</v>
      </c>
      <c r="R935" s="53">
        <v>3</v>
      </c>
      <c r="S935" s="53">
        <v>0</v>
      </c>
    </row>
    <row r="936" spans="1:19" x14ac:dyDescent="0.3">
      <c r="A936" s="35" t="s">
        <v>1586</v>
      </c>
      <c r="B936" s="35" t="s">
        <v>14</v>
      </c>
      <c r="C936" s="35" t="s">
        <v>2662</v>
      </c>
      <c r="D936" s="35">
        <v>197.49</v>
      </c>
      <c r="E936" s="39" t="s">
        <v>1950</v>
      </c>
      <c r="F936" s="37">
        <v>0</v>
      </c>
      <c r="G936" s="35" t="s">
        <v>1950</v>
      </c>
      <c r="H936" s="37">
        <v>0</v>
      </c>
      <c r="I936" s="37" t="s">
        <v>1950</v>
      </c>
      <c r="J936" s="35">
        <v>2008</v>
      </c>
      <c r="K936" s="35" t="s">
        <v>19</v>
      </c>
      <c r="L936" s="35" t="s">
        <v>1601</v>
      </c>
      <c r="M936" s="36">
        <v>120384</v>
      </c>
      <c r="N936" s="53">
        <v>0</v>
      </c>
      <c r="O936" s="40">
        <v>0</v>
      </c>
      <c r="P936" s="35">
        <v>0</v>
      </c>
      <c r="Q936" s="35" t="s">
        <v>1950</v>
      </c>
      <c r="R936" s="53">
        <v>12.2</v>
      </c>
      <c r="S936" s="53">
        <v>0</v>
      </c>
    </row>
    <row r="937" spans="1:19" x14ac:dyDescent="0.3">
      <c r="A937" s="35" t="s">
        <v>1586</v>
      </c>
      <c r="B937" s="35" t="s">
        <v>14</v>
      </c>
      <c r="C937" s="35" t="s">
        <v>2662</v>
      </c>
      <c r="D937" s="35">
        <v>641.83000000000004</v>
      </c>
      <c r="E937" s="39" t="s">
        <v>1950</v>
      </c>
      <c r="F937" s="37">
        <v>0</v>
      </c>
      <c r="G937" s="35" t="s">
        <v>1950</v>
      </c>
      <c r="H937" s="37">
        <v>0</v>
      </c>
      <c r="I937" s="37" t="s">
        <v>1950</v>
      </c>
      <c r="J937" s="35">
        <v>2008</v>
      </c>
      <c r="K937" s="35" t="s">
        <v>21</v>
      </c>
      <c r="L937" s="35" t="s">
        <v>1601</v>
      </c>
      <c r="M937" s="36">
        <v>170856</v>
      </c>
      <c r="N937" s="53">
        <v>0</v>
      </c>
      <c r="O937" s="40">
        <v>0</v>
      </c>
      <c r="P937" s="35">
        <v>0</v>
      </c>
      <c r="Q937" s="35" t="s">
        <v>1950</v>
      </c>
      <c r="R937" s="53">
        <v>12.2</v>
      </c>
      <c r="S937" s="53">
        <v>0</v>
      </c>
    </row>
    <row r="938" spans="1:19" x14ac:dyDescent="0.3">
      <c r="A938" s="35" t="s">
        <v>1586</v>
      </c>
      <c r="B938" s="35" t="s">
        <v>14</v>
      </c>
      <c r="C938" s="35" t="s">
        <v>17</v>
      </c>
      <c r="D938" s="35">
        <v>503.36</v>
      </c>
      <c r="E938" s="39" t="s">
        <v>1950</v>
      </c>
      <c r="F938" s="37">
        <v>0</v>
      </c>
      <c r="G938" s="35" t="s">
        <v>1950</v>
      </c>
      <c r="H938" s="37">
        <v>0</v>
      </c>
      <c r="I938" s="37" t="s">
        <v>1950</v>
      </c>
      <c r="J938" s="35">
        <v>2015</v>
      </c>
      <c r="K938" s="35" t="s">
        <v>19</v>
      </c>
      <c r="L938" s="35" t="s">
        <v>1603</v>
      </c>
      <c r="M938" s="36">
        <v>41193</v>
      </c>
      <c r="N938" s="53">
        <v>0</v>
      </c>
      <c r="O938" s="40">
        <v>0</v>
      </c>
      <c r="P938" s="35">
        <v>0</v>
      </c>
      <c r="Q938" s="35" t="s">
        <v>1950</v>
      </c>
      <c r="R938" s="53">
        <v>0</v>
      </c>
      <c r="S938" s="53">
        <v>0</v>
      </c>
    </row>
    <row r="939" spans="1:19" x14ac:dyDescent="0.3">
      <c r="A939" s="35" t="s">
        <v>1586</v>
      </c>
      <c r="B939" s="35" t="s">
        <v>14</v>
      </c>
      <c r="C939" s="35" t="s">
        <v>17</v>
      </c>
      <c r="D939" s="35">
        <v>290.52999999999997</v>
      </c>
      <c r="E939" s="39" t="s">
        <v>1950</v>
      </c>
      <c r="F939" s="37">
        <v>0</v>
      </c>
      <c r="G939" s="35" t="s">
        <v>1950</v>
      </c>
      <c r="H939" s="37">
        <v>0</v>
      </c>
      <c r="I939" s="37" t="s">
        <v>1950</v>
      </c>
      <c r="J939" s="35">
        <v>2015</v>
      </c>
      <c r="K939" s="35" t="s">
        <v>19</v>
      </c>
      <c r="L939" s="35" t="s">
        <v>1603</v>
      </c>
      <c r="M939" s="36">
        <v>33123</v>
      </c>
      <c r="N939" s="53">
        <v>0</v>
      </c>
      <c r="O939" s="40">
        <v>0</v>
      </c>
      <c r="P939" s="35">
        <v>0</v>
      </c>
      <c r="Q939" s="35" t="s">
        <v>1950</v>
      </c>
      <c r="R939" s="53">
        <v>0</v>
      </c>
      <c r="S939" s="53">
        <v>0</v>
      </c>
    </row>
    <row r="940" spans="1:19" x14ac:dyDescent="0.3">
      <c r="A940" s="35" t="s">
        <v>1586</v>
      </c>
      <c r="B940" s="35" t="s">
        <v>14</v>
      </c>
      <c r="C940" s="35" t="s">
        <v>17</v>
      </c>
      <c r="D940" s="35">
        <v>1157.4000000000001</v>
      </c>
      <c r="E940" s="39" t="s">
        <v>1950</v>
      </c>
      <c r="F940" s="37">
        <v>0</v>
      </c>
      <c r="G940" s="35" t="s">
        <v>1950</v>
      </c>
      <c r="H940" s="37">
        <v>0</v>
      </c>
      <c r="I940" s="37" t="s">
        <v>1950</v>
      </c>
      <c r="J940" s="35">
        <v>2015</v>
      </c>
      <c r="K940" s="35" t="s">
        <v>19</v>
      </c>
      <c r="L940" s="35" t="s">
        <v>1603</v>
      </c>
      <c r="M940" s="36">
        <v>19173</v>
      </c>
      <c r="N940" s="53">
        <v>0</v>
      </c>
      <c r="O940" s="40">
        <v>0</v>
      </c>
      <c r="P940" s="35">
        <v>0</v>
      </c>
      <c r="Q940" s="35" t="s">
        <v>1950</v>
      </c>
      <c r="R940" s="53">
        <v>0</v>
      </c>
      <c r="S940" s="53">
        <v>0</v>
      </c>
    </row>
    <row r="941" spans="1:19" x14ac:dyDescent="0.3">
      <c r="A941" s="35" t="s">
        <v>1586</v>
      </c>
      <c r="B941" s="35" t="s">
        <v>29</v>
      </c>
      <c r="C941" s="35" t="s">
        <v>2662</v>
      </c>
      <c r="D941" s="35">
        <v>200.66</v>
      </c>
      <c r="E941" s="39" t="s">
        <v>1950</v>
      </c>
      <c r="F941" s="37">
        <v>0</v>
      </c>
      <c r="G941" s="35" t="s">
        <v>1950</v>
      </c>
      <c r="H941" s="37">
        <v>0</v>
      </c>
      <c r="I941" s="37" t="s">
        <v>1950</v>
      </c>
      <c r="J941" s="35">
        <v>1982</v>
      </c>
      <c r="K941" s="35" t="s">
        <v>25</v>
      </c>
      <c r="L941" s="35" t="s">
        <v>1601</v>
      </c>
      <c r="M941" s="36">
        <v>76504</v>
      </c>
      <c r="N941" s="53">
        <v>0</v>
      </c>
      <c r="O941" s="40">
        <v>0</v>
      </c>
      <c r="P941" s="35">
        <v>0</v>
      </c>
      <c r="Q941" s="35" t="s">
        <v>1950</v>
      </c>
      <c r="R941" s="53">
        <v>8</v>
      </c>
      <c r="S941" s="53">
        <v>0</v>
      </c>
    </row>
    <row r="942" spans="1:19" x14ac:dyDescent="0.3">
      <c r="A942" s="35" t="s">
        <v>1586</v>
      </c>
      <c r="B942" s="35" t="s">
        <v>12</v>
      </c>
      <c r="C942" s="35" t="s">
        <v>17</v>
      </c>
      <c r="D942" s="35">
        <v>30.77</v>
      </c>
      <c r="E942" s="39" t="s">
        <v>1950</v>
      </c>
      <c r="F942" s="37">
        <v>0</v>
      </c>
      <c r="G942" s="35" t="s">
        <v>1950</v>
      </c>
      <c r="H942" s="37">
        <v>0</v>
      </c>
      <c r="I942" s="37" t="s">
        <v>1950</v>
      </c>
      <c r="J942" s="35">
        <v>2007</v>
      </c>
      <c r="K942" s="35" t="s">
        <v>1950</v>
      </c>
      <c r="L942" s="35" t="s">
        <v>1950</v>
      </c>
      <c r="M942" s="36">
        <v>51909</v>
      </c>
      <c r="N942" s="53">
        <v>0</v>
      </c>
      <c r="O942" s="40">
        <v>0</v>
      </c>
      <c r="P942" s="35">
        <v>0</v>
      </c>
      <c r="Q942" s="35" t="s">
        <v>1950</v>
      </c>
      <c r="R942" s="53">
        <v>12</v>
      </c>
      <c r="S942" s="53">
        <v>0</v>
      </c>
    </row>
    <row r="943" spans="1:19" x14ac:dyDescent="0.3">
      <c r="A943" s="35" t="s">
        <v>1586</v>
      </c>
      <c r="B943" s="35" t="s">
        <v>12</v>
      </c>
      <c r="C943" s="35" t="s">
        <v>17</v>
      </c>
      <c r="D943" s="35">
        <v>518.74</v>
      </c>
      <c r="E943" s="39" t="s">
        <v>1950</v>
      </c>
      <c r="F943" s="37">
        <v>0</v>
      </c>
      <c r="G943" s="35" t="s">
        <v>1950</v>
      </c>
      <c r="H943" s="37">
        <v>0</v>
      </c>
      <c r="I943" s="37" t="s">
        <v>1950</v>
      </c>
      <c r="J943" s="35">
        <v>2017</v>
      </c>
      <c r="K943" s="35" t="s">
        <v>25</v>
      </c>
      <c r="L943" s="35" t="s">
        <v>1601</v>
      </c>
      <c r="M943" s="36">
        <v>38621</v>
      </c>
      <c r="N943" s="53">
        <v>0</v>
      </c>
      <c r="O943" s="40">
        <v>0</v>
      </c>
      <c r="P943" s="35">
        <v>0</v>
      </c>
      <c r="Q943" s="35" t="s">
        <v>1950</v>
      </c>
      <c r="R943" s="53">
        <v>3</v>
      </c>
      <c r="S943" s="53">
        <v>0</v>
      </c>
    </row>
    <row r="944" spans="1:19" x14ac:dyDescent="0.3">
      <c r="A944" s="35" t="s">
        <v>1586</v>
      </c>
      <c r="B944" s="35" t="s">
        <v>14</v>
      </c>
      <c r="C944" s="35" t="s">
        <v>1775</v>
      </c>
      <c r="D944" s="35">
        <v>38.700000000000003</v>
      </c>
      <c r="E944" s="39" t="s">
        <v>1950</v>
      </c>
      <c r="F944" s="37">
        <v>0</v>
      </c>
      <c r="G944" s="35" t="s">
        <v>1950</v>
      </c>
      <c r="H944" s="37">
        <v>0</v>
      </c>
      <c r="I944" s="37" t="s">
        <v>1950</v>
      </c>
      <c r="J944" s="35">
        <v>1997</v>
      </c>
      <c r="K944" s="35" t="s">
        <v>1950</v>
      </c>
      <c r="L944" s="35" t="s">
        <v>1950</v>
      </c>
      <c r="M944" s="36">
        <v>4179</v>
      </c>
      <c r="N944" s="53">
        <v>0</v>
      </c>
      <c r="O944" s="40">
        <v>0</v>
      </c>
      <c r="P944" s="35">
        <v>0</v>
      </c>
      <c r="Q944" s="35" t="s">
        <v>1950</v>
      </c>
      <c r="R944" s="53">
        <v>6</v>
      </c>
      <c r="S944" s="53">
        <v>0</v>
      </c>
    </row>
    <row r="945" spans="1:19" x14ac:dyDescent="0.3">
      <c r="A945" s="35" t="s">
        <v>1586</v>
      </c>
      <c r="B945" s="35" t="s">
        <v>12</v>
      </c>
      <c r="C945" s="35" t="s">
        <v>1775</v>
      </c>
      <c r="D945" s="35">
        <v>512.28</v>
      </c>
      <c r="E945" s="39" t="s">
        <v>1950</v>
      </c>
      <c r="F945" s="37">
        <v>0</v>
      </c>
      <c r="G945" s="35" t="s">
        <v>1950</v>
      </c>
      <c r="H945" s="37">
        <v>0</v>
      </c>
      <c r="I945" s="37" t="s">
        <v>1950</v>
      </c>
      <c r="J945" s="35">
        <v>1996</v>
      </c>
      <c r="K945" s="35" t="s">
        <v>1950</v>
      </c>
      <c r="L945" s="35" t="s">
        <v>1950</v>
      </c>
      <c r="M945" s="36">
        <v>9900</v>
      </c>
      <c r="N945" s="53">
        <v>0</v>
      </c>
      <c r="O945" s="40">
        <v>0</v>
      </c>
      <c r="P945" s="35">
        <v>0</v>
      </c>
      <c r="Q945" s="35" t="s">
        <v>1950</v>
      </c>
      <c r="R945" s="53">
        <v>1</v>
      </c>
      <c r="S945" s="53">
        <v>0</v>
      </c>
    </row>
    <row r="946" spans="1:19" x14ac:dyDescent="0.3">
      <c r="A946" s="35" t="s">
        <v>1586</v>
      </c>
      <c r="B946" s="35" t="s">
        <v>14</v>
      </c>
      <c r="C946" s="35" t="s">
        <v>1775</v>
      </c>
      <c r="D946" s="35">
        <v>75.069999999999993</v>
      </c>
      <c r="E946" s="39" t="s">
        <v>1950</v>
      </c>
      <c r="F946" s="37">
        <v>0</v>
      </c>
      <c r="G946" s="35" t="s">
        <v>1950</v>
      </c>
      <c r="H946" s="37">
        <v>0</v>
      </c>
      <c r="I946" s="37" t="s">
        <v>1950</v>
      </c>
      <c r="J946" s="35">
        <v>1930</v>
      </c>
      <c r="K946" s="35" t="s">
        <v>1950</v>
      </c>
      <c r="L946" s="35" t="s">
        <v>1950</v>
      </c>
      <c r="M946" s="36">
        <v>8906</v>
      </c>
      <c r="N946" s="53">
        <v>0</v>
      </c>
      <c r="O946" s="40">
        <v>0</v>
      </c>
      <c r="P946" s="35">
        <v>0</v>
      </c>
      <c r="Q946" s="35" t="s">
        <v>1950</v>
      </c>
      <c r="R946" s="53">
        <v>4</v>
      </c>
      <c r="S946" s="53">
        <v>0</v>
      </c>
    </row>
    <row r="947" spans="1:19" x14ac:dyDescent="0.3">
      <c r="A947" s="35" t="s">
        <v>1586</v>
      </c>
      <c r="B947" s="35" t="s">
        <v>14</v>
      </c>
      <c r="C947" s="35" t="s">
        <v>1775</v>
      </c>
      <c r="D947" s="35">
        <v>45.21</v>
      </c>
      <c r="E947" s="39" t="s">
        <v>1950</v>
      </c>
      <c r="F947" s="37">
        <v>0</v>
      </c>
      <c r="G947" s="35" t="s">
        <v>1950</v>
      </c>
      <c r="H947" s="37">
        <v>0</v>
      </c>
      <c r="I947" s="37" t="s">
        <v>1950</v>
      </c>
      <c r="J947" s="35">
        <v>2009</v>
      </c>
      <c r="K947" s="35" t="s">
        <v>1950</v>
      </c>
      <c r="L947" s="35" t="s">
        <v>1950</v>
      </c>
      <c r="M947" s="36">
        <v>6691</v>
      </c>
      <c r="N947" s="53">
        <v>0</v>
      </c>
      <c r="O947" s="40">
        <v>0</v>
      </c>
      <c r="P947" s="35">
        <v>0</v>
      </c>
      <c r="Q947" s="35" t="s">
        <v>1950</v>
      </c>
      <c r="R947" s="53">
        <v>15</v>
      </c>
      <c r="S947" s="53">
        <v>0</v>
      </c>
    </row>
    <row r="948" spans="1:19" x14ac:dyDescent="0.3">
      <c r="A948" s="35" t="s">
        <v>1586</v>
      </c>
      <c r="B948" s="35" t="s">
        <v>8</v>
      </c>
      <c r="C948" s="35" t="s">
        <v>2662</v>
      </c>
      <c r="D948" s="35">
        <v>241.77</v>
      </c>
      <c r="E948" s="39" t="s">
        <v>1950</v>
      </c>
      <c r="F948" s="37">
        <v>0</v>
      </c>
      <c r="G948" s="35" t="s">
        <v>1950</v>
      </c>
      <c r="H948" s="37">
        <v>0</v>
      </c>
      <c r="I948" s="37" t="s">
        <v>1950</v>
      </c>
      <c r="J948" s="35">
        <v>1993</v>
      </c>
      <c r="K948" s="35" t="s">
        <v>25</v>
      </c>
      <c r="L948" s="35" t="s">
        <v>1597</v>
      </c>
      <c r="M948" s="36">
        <v>228435</v>
      </c>
      <c r="N948" s="53">
        <v>0</v>
      </c>
      <c r="O948" s="40">
        <v>0</v>
      </c>
      <c r="P948" s="35">
        <v>0</v>
      </c>
      <c r="Q948" s="35" t="s">
        <v>1950</v>
      </c>
      <c r="R948" s="53">
        <v>20</v>
      </c>
      <c r="S948" s="53">
        <v>0</v>
      </c>
    </row>
    <row r="949" spans="1:19" x14ac:dyDescent="0.3">
      <c r="A949" s="35" t="s">
        <v>1586</v>
      </c>
      <c r="B949" s="35" t="s">
        <v>14</v>
      </c>
      <c r="C949" s="35" t="s">
        <v>17</v>
      </c>
      <c r="D949" s="35">
        <v>167.8</v>
      </c>
      <c r="E949" s="39" t="s">
        <v>1950</v>
      </c>
      <c r="F949" s="37">
        <v>0</v>
      </c>
      <c r="G949" s="35" t="s">
        <v>1950</v>
      </c>
      <c r="H949" s="37">
        <v>0</v>
      </c>
      <c r="I949" s="37" t="s">
        <v>1950</v>
      </c>
      <c r="J949" s="35">
        <v>1997</v>
      </c>
      <c r="K949" s="35" t="s">
        <v>21</v>
      </c>
      <c r="L949" s="35" t="s">
        <v>1597</v>
      </c>
      <c r="M949" s="36">
        <v>64846</v>
      </c>
      <c r="N949" s="53">
        <v>0</v>
      </c>
      <c r="O949" s="40">
        <v>0</v>
      </c>
      <c r="P949" s="35">
        <v>0</v>
      </c>
      <c r="Q949" s="35" t="s">
        <v>1950</v>
      </c>
      <c r="R949" s="53">
        <v>4</v>
      </c>
      <c r="S949" s="53">
        <v>0</v>
      </c>
    </row>
    <row r="950" spans="1:19" x14ac:dyDescent="0.3">
      <c r="A950" s="35" t="s">
        <v>1586</v>
      </c>
      <c r="B950" s="35" t="s">
        <v>14</v>
      </c>
      <c r="C950" s="35" t="s">
        <v>1775</v>
      </c>
      <c r="D950" s="35">
        <v>50.63</v>
      </c>
      <c r="E950" s="39" t="s">
        <v>1950</v>
      </c>
      <c r="F950" s="37">
        <v>0</v>
      </c>
      <c r="G950" s="35" t="s">
        <v>1950</v>
      </c>
      <c r="H950" s="37">
        <v>0</v>
      </c>
      <c r="I950" s="37" t="s">
        <v>1950</v>
      </c>
      <c r="J950" s="35">
        <v>2020</v>
      </c>
      <c r="K950" s="35" t="s">
        <v>19</v>
      </c>
      <c r="L950" s="35" t="s">
        <v>1602</v>
      </c>
      <c r="M950" s="36">
        <v>40389</v>
      </c>
      <c r="N950" s="53">
        <v>0</v>
      </c>
      <c r="O950" s="40">
        <v>0</v>
      </c>
      <c r="P950" s="35">
        <v>0</v>
      </c>
      <c r="Q950" s="35" t="s">
        <v>1950</v>
      </c>
      <c r="R950" s="53">
        <v>1</v>
      </c>
      <c r="S950" s="53">
        <v>0</v>
      </c>
    </row>
    <row r="951" spans="1:19" x14ac:dyDescent="0.3">
      <c r="A951" s="35" t="s">
        <v>1586</v>
      </c>
      <c r="B951" s="35" t="s">
        <v>14</v>
      </c>
      <c r="C951" s="35" t="s">
        <v>1775</v>
      </c>
      <c r="D951" s="35">
        <v>143.02000000000001</v>
      </c>
      <c r="E951" s="39" t="s">
        <v>1950</v>
      </c>
      <c r="F951" s="37">
        <v>0</v>
      </c>
      <c r="G951" s="35" t="s">
        <v>1950</v>
      </c>
      <c r="H951" s="37">
        <v>0</v>
      </c>
      <c r="I951" s="37" t="s">
        <v>1950</v>
      </c>
      <c r="J951" s="35">
        <v>2001</v>
      </c>
      <c r="K951" s="35" t="s">
        <v>1950</v>
      </c>
      <c r="L951" s="35" t="s">
        <v>1950</v>
      </c>
      <c r="M951" s="36">
        <v>10555</v>
      </c>
      <c r="N951" s="53">
        <v>0</v>
      </c>
      <c r="O951" s="40">
        <v>0</v>
      </c>
      <c r="P951" s="35">
        <v>0</v>
      </c>
      <c r="Q951" s="35" t="s">
        <v>1950</v>
      </c>
      <c r="R951" s="53">
        <v>5</v>
      </c>
      <c r="S951" s="53">
        <v>0</v>
      </c>
    </row>
    <row r="952" spans="1:19" x14ac:dyDescent="0.3">
      <c r="A952" s="35" t="s">
        <v>1586</v>
      </c>
      <c r="B952" s="35" t="s">
        <v>12</v>
      </c>
      <c r="C952" s="35" t="s">
        <v>1775</v>
      </c>
      <c r="D952" s="35">
        <v>511.52</v>
      </c>
      <c r="E952" s="39" t="s">
        <v>1950</v>
      </c>
      <c r="F952" s="37">
        <v>0</v>
      </c>
      <c r="G952" s="35" t="s">
        <v>1950</v>
      </c>
      <c r="H952" s="37">
        <v>0</v>
      </c>
      <c r="I952" s="37" t="s">
        <v>1950</v>
      </c>
      <c r="J952" s="35">
        <v>1984</v>
      </c>
      <c r="K952" s="35" t="s">
        <v>1950</v>
      </c>
      <c r="L952" s="35" t="s">
        <v>1950</v>
      </c>
      <c r="M952" s="36">
        <v>13568</v>
      </c>
      <c r="N952" s="53">
        <v>0</v>
      </c>
      <c r="O952" s="40">
        <v>0</v>
      </c>
      <c r="P952" s="35">
        <v>0</v>
      </c>
      <c r="Q952" s="35" t="s">
        <v>1950</v>
      </c>
      <c r="R952" s="53">
        <v>16</v>
      </c>
      <c r="S952" s="53">
        <v>0</v>
      </c>
    </row>
    <row r="953" spans="1:19" x14ac:dyDescent="0.3">
      <c r="A953" s="35" t="s">
        <v>1586</v>
      </c>
      <c r="B953" s="35" t="s">
        <v>14</v>
      </c>
      <c r="C953" s="35" t="s">
        <v>17</v>
      </c>
      <c r="D953" s="35">
        <v>137.43</v>
      </c>
      <c r="E953" s="39" t="s">
        <v>1950</v>
      </c>
      <c r="F953" s="37">
        <v>0</v>
      </c>
      <c r="G953" s="35" t="s">
        <v>1950</v>
      </c>
      <c r="H953" s="37">
        <v>0</v>
      </c>
      <c r="I953" s="37" t="s">
        <v>1950</v>
      </c>
      <c r="J953" s="35">
        <v>1996</v>
      </c>
      <c r="K953" s="35" t="s">
        <v>19</v>
      </c>
      <c r="L953" s="35" t="s">
        <v>1601</v>
      </c>
      <c r="M953" s="36">
        <v>86572</v>
      </c>
      <c r="N953" s="53">
        <v>0</v>
      </c>
      <c r="O953" s="40">
        <v>0</v>
      </c>
      <c r="P953" s="35">
        <v>0</v>
      </c>
      <c r="Q953" s="35" t="s">
        <v>1950</v>
      </c>
      <c r="R953" s="53">
        <v>4</v>
      </c>
      <c r="S953" s="53">
        <v>0</v>
      </c>
    </row>
    <row r="954" spans="1:19" x14ac:dyDescent="0.3">
      <c r="A954" s="35" t="s">
        <v>1586</v>
      </c>
      <c r="B954" s="35" t="s">
        <v>14</v>
      </c>
      <c r="C954" s="35" t="s">
        <v>17</v>
      </c>
      <c r="D954" s="35">
        <v>139.97999999999999</v>
      </c>
      <c r="E954" s="39" t="s">
        <v>1950</v>
      </c>
      <c r="F954" s="37">
        <v>0</v>
      </c>
      <c r="G954" s="35" t="s">
        <v>1950</v>
      </c>
      <c r="H954" s="37">
        <v>0</v>
      </c>
      <c r="I954" s="37" t="s">
        <v>1950</v>
      </c>
      <c r="J954" s="35">
        <v>1976</v>
      </c>
      <c r="K954" s="35" t="s">
        <v>21</v>
      </c>
      <c r="L954" s="35" t="s">
        <v>1601</v>
      </c>
      <c r="M954" s="36">
        <v>103899</v>
      </c>
      <c r="N954" s="53">
        <v>0</v>
      </c>
      <c r="O954" s="40">
        <v>0</v>
      </c>
      <c r="P954" s="35">
        <v>0</v>
      </c>
      <c r="Q954" s="35" t="s">
        <v>1950</v>
      </c>
      <c r="R954" s="53">
        <v>3</v>
      </c>
      <c r="S954" s="53">
        <v>0</v>
      </c>
    </row>
    <row r="955" spans="1:19" x14ac:dyDescent="0.3">
      <c r="A955" s="35" t="s">
        <v>1586</v>
      </c>
      <c r="B955" s="35" t="s">
        <v>14</v>
      </c>
      <c r="C955" s="35" t="s">
        <v>1775</v>
      </c>
      <c r="D955" s="35">
        <v>182.79</v>
      </c>
      <c r="E955" s="39" t="s">
        <v>1950</v>
      </c>
      <c r="F955" s="37">
        <v>0</v>
      </c>
      <c r="G955" s="35" t="s">
        <v>1950</v>
      </c>
      <c r="H955" s="37">
        <v>0</v>
      </c>
      <c r="I955" s="37" t="s">
        <v>1950</v>
      </c>
      <c r="J955" s="35">
        <v>2003</v>
      </c>
      <c r="K955" s="35" t="s">
        <v>1950</v>
      </c>
      <c r="L955" s="35" t="s">
        <v>1950</v>
      </c>
      <c r="M955" s="36">
        <v>9233</v>
      </c>
      <c r="N955" s="53">
        <v>0</v>
      </c>
      <c r="O955" s="40">
        <v>0</v>
      </c>
      <c r="P955" s="35">
        <v>0</v>
      </c>
      <c r="Q955" s="35" t="s">
        <v>1950</v>
      </c>
      <c r="R955" s="53">
        <v>0</v>
      </c>
      <c r="S955" s="53">
        <v>0</v>
      </c>
    </row>
    <row r="956" spans="1:19" x14ac:dyDescent="0.3">
      <c r="A956" s="35" t="s">
        <v>1586</v>
      </c>
      <c r="B956" s="35" t="s">
        <v>29</v>
      </c>
      <c r="C956" s="35" t="s">
        <v>17</v>
      </c>
      <c r="D956" s="35">
        <v>170.96</v>
      </c>
      <c r="E956" s="39" t="s">
        <v>1950</v>
      </c>
      <c r="F956" s="37">
        <v>0</v>
      </c>
      <c r="G956" s="35" t="s">
        <v>1950</v>
      </c>
      <c r="H956" s="37">
        <v>0</v>
      </c>
      <c r="I956" s="37" t="s">
        <v>1950</v>
      </c>
      <c r="J956" s="35">
        <v>1970</v>
      </c>
      <c r="K956" s="35" t="s">
        <v>19</v>
      </c>
      <c r="L956" s="35" t="s">
        <v>1601</v>
      </c>
      <c r="M956" s="36">
        <v>17598</v>
      </c>
      <c r="N956" s="53">
        <v>0</v>
      </c>
      <c r="O956" s="40">
        <v>0</v>
      </c>
      <c r="P956" s="35">
        <v>0</v>
      </c>
      <c r="Q956" s="35" t="s">
        <v>1950</v>
      </c>
      <c r="R956" s="53">
        <v>10</v>
      </c>
      <c r="S956" s="53">
        <v>0</v>
      </c>
    </row>
    <row r="957" spans="1:19" x14ac:dyDescent="0.3">
      <c r="A957" s="35" t="s">
        <v>1586</v>
      </c>
      <c r="B957" s="35" t="s">
        <v>14</v>
      </c>
      <c r="C957" s="35" t="s">
        <v>17</v>
      </c>
      <c r="D957" s="35">
        <v>93.81</v>
      </c>
      <c r="E957" s="39" t="s">
        <v>1950</v>
      </c>
      <c r="F957" s="37">
        <v>0</v>
      </c>
      <c r="G957" s="35" t="s">
        <v>1950</v>
      </c>
      <c r="H957" s="37">
        <v>0</v>
      </c>
      <c r="I957" s="37" t="s">
        <v>1950</v>
      </c>
      <c r="J957" s="35">
        <v>1979</v>
      </c>
      <c r="K957" s="35" t="s">
        <v>19</v>
      </c>
      <c r="L957" s="35" t="s">
        <v>1601</v>
      </c>
      <c r="M957" s="36">
        <v>22930</v>
      </c>
      <c r="N957" s="53">
        <v>0</v>
      </c>
      <c r="O957" s="40">
        <v>0</v>
      </c>
      <c r="P957" s="35">
        <v>0</v>
      </c>
      <c r="Q957" s="35" t="s">
        <v>1950</v>
      </c>
      <c r="R957" s="53">
        <v>7</v>
      </c>
      <c r="S957" s="53">
        <v>0</v>
      </c>
    </row>
    <row r="958" spans="1:19" x14ac:dyDescent="0.3">
      <c r="A958" s="35" t="s">
        <v>1586</v>
      </c>
      <c r="B958" s="35" t="s">
        <v>29</v>
      </c>
      <c r="C958" s="35" t="s">
        <v>1775</v>
      </c>
      <c r="D958" s="35">
        <v>363.33</v>
      </c>
      <c r="E958" s="39" t="s">
        <v>1950</v>
      </c>
      <c r="F958" s="37">
        <v>0</v>
      </c>
      <c r="G958" s="35" t="s">
        <v>1950</v>
      </c>
      <c r="H958" s="37">
        <v>0</v>
      </c>
      <c r="I958" s="37" t="s">
        <v>1950</v>
      </c>
      <c r="J958" s="35">
        <v>1990</v>
      </c>
      <c r="K958" s="35" t="s">
        <v>1950</v>
      </c>
      <c r="L958" s="35" t="s">
        <v>1950</v>
      </c>
      <c r="M958" s="36">
        <v>13752</v>
      </c>
      <c r="N958" s="53">
        <v>0</v>
      </c>
      <c r="O958" s="40">
        <v>0</v>
      </c>
      <c r="P958" s="35">
        <v>0</v>
      </c>
      <c r="Q958" s="35" t="s">
        <v>1950</v>
      </c>
      <c r="R958" s="53">
        <v>9</v>
      </c>
      <c r="S958" s="53">
        <v>0</v>
      </c>
    </row>
    <row r="959" spans="1:19" x14ac:dyDescent="0.3">
      <c r="A959" s="35" t="s">
        <v>1586</v>
      </c>
      <c r="B959" s="35" t="s">
        <v>29</v>
      </c>
      <c r="C959" s="35" t="s">
        <v>17</v>
      </c>
      <c r="D959" s="35">
        <v>176.95</v>
      </c>
      <c r="E959" s="39" t="s">
        <v>1950</v>
      </c>
      <c r="F959" s="37">
        <v>0</v>
      </c>
      <c r="G959" s="35" t="s">
        <v>1950</v>
      </c>
      <c r="H959" s="37">
        <v>0</v>
      </c>
      <c r="I959" s="37" t="s">
        <v>1950</v>
      </c>
      <c r="J959" s="35">
        <v>2008</v>
      </c>
      <c r="K959" s="35" t="s">
        <v>47</v>
      </c>
      <c r="L959" s="35" t="s">
        <v>1608</v>
      </c>
      <c r="M959" s="36">
        <v>16105</v>
      </c>
      <c r="N959" s="53">
        <v>0</v>
      </c>
      <c r="O959" s="40">
        <v>0</v>
      </c>
      <c r="P959" s="35">
        <v>0</v>
      </c>
      <c r="Q959" s="35" t="s">
        <v>1950</v>
      </c>
      <c r="R959" s="53">
        <v>10</v>
      </c>
      <c r="S959" s="53">
        <v>0</v>
      </c>
    </row>
    <row r="960" spans="1:19" x14ac:dyDescent="0.3">
      <c r="A960" s="35" t="s">
        <v>1586</v>
      </c>
      <c r="B960" s="35" t="s">
        <v>8</v>
      </c>
      <c r="C960" s="35" t="s">
        <v>17</v>
      </c>
      <c r="D960" s="35">
        <v>198.72</v>
      </c>
      <c r="E960" s="39" t="s">
        <v>1950</v>
      </c>
      <c r="F960" s="37">
        <v>0</v>
      </c>
      <c r="G960" s="35" t="s">
        <v>1950</v>
      </c>
      <c r="H960" s="37">
        <v>0</v>
      </c>
      <c r="I960" s="37" t="s">
        <v>1950</v>
      </c>
      <c r="J960" s="35">
        <v>1996</v>
      </c>
      <c r="K960" s="35" t="s">
        <v>19</v>
      </c>
      <c r="L960" s="35" t="s">
        <v>1601</v>
      </c>
      <c r="M960" s="36">
        <v>37285</v>
      </c>
      <c r="N960" s="53">
        <v>0</v>
      </c>
      <c r="O960" s="40">
        <v>0</v>
      </c>
      <c r="P960" s="35">
        <v>0</v>
      </c>
      <c r="Q960" s="35" t="s">
        <v>1950</v>
      </c>
      <c r="R960" s="53">
        <v>12</v>
      </c>
      <c r="S960" s="53">
        <v>0</v>
      </c>
    </row>
    <row r="961" spans="1:19" x14ac:dyDescent="0.3">
      <c r="A961" s="35" t="s">
        <v>1586</v>
      </c>
      <c r="B961" s="35" t="s">
        <v>14</v>
      </c>
      <c r="C961" s="35" t="s">
        <v>1775</v>
      </c>
      <c r="D961" s="35">
        <v>242.37</v>
      </c>
      <c r="E961" s="39" t="s">
        <v>1950</v>
      </c>
      <c r="F961" s="37">
        <v>0</v>
      </c>
      <c r="G961" s="35" t="s">
        <v>1950</v>
      </c>
      <c r="H961" s="37">
        <v>0</v>
      </c>
      <c r="I961" s="37" t="s">
        <v>1950</v>
      </c>
      <c r="J961" s="35">
        <v>1984</v>
      </c>
      <c r="K961" s="35" t="s">
        <v>1950</v>
      </c>
      <c r="L961" s="35" t="s">
        <v>1950</v>
      </c>
      <c r="M961" s="36">
        <v>5111</v>
      </c>
      <c r="N961" s="53">
        <v>0</v>
      </c>
      <c r="O961" s="40">
        <v>0</v>
      </c>
      <c r="P961" s="35">
        <v>0</v>
      </c>
      <c r="Q961" s="35" t="s">
        <v>1950</v>
      </c>
      <c r="R961" s="53">
        <v>30</v>
      </c>
      <c r="S961" s="53">
        <v>0</v>
      </c>
    </row>
    <row r="962" spans="1:19" x14ac:dyDescent="0.3">
      <c r="A962" s="35" t="s">
        <v>1586</v>
      </c>
      <c r="B962" s="35" t="s">
        <v>12</v>
      </c>
      <c r="C962" s="35" t="s">
        <v>1775</v>
      </c>
      <c r="D962" s="35">
        <v>228.96</v>
      </c>
      <c r="E962" s="39" t="s">
        <v>1950</v>
      </c>
      <c r="F962" s="37">
        <v>0</v>
      </c>
      <c r="G962" s="35" t="s">
        <v>1950</v>
      </c>
      <c r="H962" s="37">
        <v>0</v>
      </c>
      <c r="I962" s="37" t="s">
        <v>1950</v>
      </c>
      <c r="J962" s="35">
        <v>1983</v>
      </c>
      <c r="K962" s="35" t="s">
        <v>1950</v>
      </c>
      <c r="L962" s="35" t="s">
        <v>1950</v>
      </c>
      <c r="M962" s="36">
        <v>14571</v>
      </c>
      <c r="N962" s="53">
        <v>0</v>
      </c>
      <c r="O962" s="40">
        <v>0</v>
      </c>
      <c r="P962" s="35">
        <v>0</v>
      </c>
      <c r="Q962" s="35" t="s">
        <v>1950</v>
      </c>
      <c r="R962" s="53">
        <v>10</v>
      </c>
      <c r="S962" s="53">
        <v>0</v>
      </c>
    </row>
    <row r="963" spans="1:19" x14ac:dyDescent="0.3">
      <c r="A963" s="35" t="s">
        <v>1586</v>
      </c>
      <c r="B963" s="35" t="s">
        <v>14</v>
      </c>
      <c r="C963" s="35" t="s">
        <v>17</v>
      </c>
      <c r="D963" s="35">
        <v>128.76</v>
      </c>
      <c r="E963" s="39" t="s">
        <v>1950</v>
      </c>
      <c r="F963" s="37">
        <v>0</v>
      </c>
      <c r="G963" s="35" t="s">
        <v>1950</v>
      </c>
      <c r="H963" s="37">
        <v>0</v>
      </c>
      <c r="I963" s="37" t="s">
        <v>1950</v>
      </c>
      <c r="J963" s="35">
        <v>1997</v>
      </c>
      <c r="K963" s="35" t="s">
        <v>25</v>
      </c>
      <c r="L963" s="35" t="s">
        <v>1597</v>
      </c>
      <c r="M963" s="36">
        <v>30915</v>
      </c>
      <c r="N963" s="53">
        <v>0</v>
      </c>
      <c r="O963" s="40">
        <v>0</v>
      </c>
      <c r="P963" s="35">
        <v>0</v>
      </c>
      <c r="Q963" s="35" t="s">
        <v>1950</v>
      </c>
      <c r="R963" s="53">
        <v>20</v>
      </c>
      <c r="S963" s="53">
        <v>0</v>
      </c>
    </row>
    <row r="964" spans="1:19" x14ac:dyDescent="0.3">
      <c r="A964" s="35" t="s">
        <v>1586</v>
      </c>
      <c r="B964" s="35" t="s">
        <v>14</v>
      </c>
      <c r="C964" s="35" t="s">
        <v>17</v>
      </c>
      <c r="D964" s="35">
        <v>37.409999999999997</v>
      </c>
      <c r="E964" s="39" t="s">
        <v>1950</v>
      </c>
      <c r="F964" s="37">
        <v>0</v>
      </c>
      <c r="G964" s="35" t="s">
        <v>1950</v>
      </c>
      <c r="H964" s="37">
        <v>0</v>
      </c>
      <c r="I964" s="37" t="s">
        <v>1950</v>
      </c>
      <c r="J964" s="35">
        <v>2015</v>
      </c>
      <c r="K964" s="35" t="s">
        <v>25</v>
      </c>
      <c r="L964" s="35" t="s">
        <v>1598</v>
      </c>
      <c r="M964" s="36">
        <v>15990</v>
      </c>
      <c r="N964" s="53">
        <v>0</v>
      </c>
      <c r="O964" s="40">
        <v>0</v>
      </c>
      <c r="P964" s="35">
        <v>0</v>
      </c>
      <c r="Q964" s="35" t="s">
        <v>1950</v>
      </c>
      <c r="R964" s="53">
        <v>10</v>
      </c>
      <c r="S964" s="53">
        <v>0</v>
      </c>
    </row>
    <row r="965" spans="1:19" x14ac:dyDescent="0.3">
      <c r="A965" s="35" t="s">
        <v>1586</v>
      </c>
      <c r="B965" s="35" t="s">
        <v>14</v>
      </c>
      <c r="C965" s="35" t="s">
        <v>1775</v>
      </c>
      <c r="D965" s="35">
        <v>170.09</v>
      </c>
      <c r="E965" s="39" t="s">
        <v>1950</v>
      </c>
      <c r="F965" s="37">
        <v>0</v>
      </c>
      <c r="G965" s="35" t="s">
        <v>1950</v>
      </c>
      <c r="H965" s="37">
        <v>0</v>
      </c>
      <c r="I965" s="37" t="s">
        <v>1950</v>
      </c>
      <c r="J965" s="35">
        <v>1999</v>
      </c>
      <c r="K965" s="35" t="s">
        <v>1950</v>
      </c>
      <c r="L965" s="35" t="s">
        <v>1950</v>
      </c>
      <c r="M965" s="36">
        <v>10950</v>
      </c>
      <c r="N965" s="53">
        <v>0</v>
      </c>
      <c r="O965" s="40">
        <v>0</v>
      </c>
      <c r="P965" s="35">
        <v>0</v>
      </c>
      <c r="Q965" s="35" t="s">
        <v>1950</v>
      </c>
      <c r="R965" s="53">
        <v>19</v>
      </c>
      <c r="S965" s="53">
        <v>0</v>
      </c>
    </row>
    <row r="966" spans="1:19" x14ac:dyDescent="0.3">
      <c r="A966" s="35" t="s">
        <v>1586</v>
      </c>
      <c r="B966" s="35" t="s">
        <v>12</v>
      </c>
      <c r="C966" s="35" t="s">
        <v>17</v>
      </c>
      <c r="D966" s="35">
        <v>433.74</v>
      </c>
      <c r="E966" s="39" t="s">
        <v>1950</v>
      </c>
      <c r="F966" s="37">
        <v>0</v>
      </c>
      <c r="G966" s="35" t="s">
        <v>1950</v>
      </c>
      <c r="H966" s="37">
        <v>0</v>
      </c>
      <c r="I966" s="37" t="s">
        <v>1950</v>
      </c>
      <c r="J966" s="35">
        <v>2014</v>
      </c>
      <c r="K966" s="35" t="s">
        <v>19</v>
      </c>
      <c r="L966" s="35" t="s">
        <v>1601</v>
      </c>
      <c r="M966" s="36">
        <v>29002</v>
      </c>
      <c r="N966" s="53">
        <v>0</v>
      </c>
      <c r="O966" s="40">
        <v>0</v>
      </c>
      <c r="P966" s="35">
        <v>0</v>
      </c>
      <c r="Q966" s="35" t="s">
        <v>1950</v>
      </c>
      <c r="R966" s="53">
        <v>6</v>
      </c>
      <c r="S966" s="53">
        <v>0</v>
      </c>
    </row>
    <row r="967" spans="1:19" x14ac:dyDescent="0.3">
      <c r="A967" s="35" t="s">
        <v>1586</v>
      </c>
      <c r="B967" s="35" t="s">
        <v>8</v>
      </c>
      <c r="C967" s="35" t="s">
        <v>1775</v>
      </c>
      <c r="D967" s="35">
        <v>167.05</v>
      </c>
      <c r="E967" s="39" t="s">
        <v>1950</v>
      </c>
      <c r="F967" s="37">
        <v>0</v>
      </c>
      <c r="G967" s="35" t="s">
        <v>1950</v>
      </c>
      <c r="H967" s="37">
        <v>0</v>
      </c>
      <c r="I967" s="37" t="s">
        <v>1950</v>
      </c>
      <c r="J967" s="35">
        <v>2013</v>
      </c>
      <c r="K967" s="35" t="s">
        <v>25</v>
      </c>
      <c r="L967" s="35" t="s">
        <v>1600</v>
      </c>
      <c r="M967" s="36">
        <v>6256</v>
      </c>
      <c r="N967" s="53">
        <v>0</v>
      </c>
      <c r="O967" s="40">
        <v>0</v>
      </c>
      <c r="P967" s="35">
        <v>0</v>
      </c>
      <c r="Q967" s="35" t="s">
        <v>1950</v>
      </c>
      <c r="R967" s="53">
        <v>7</v>
      </c>
      <c r="S967" s="53">
        <v>0</v>
      </c>
    </row>
    <row r="968" spans="1:19" x14ac:dyDescent="0.3">
      <c r="A968" s="35" t="s">
        <v>1586</v>
      </c>
      <c r="B968" s="35" t="s">
        <v>14</v>
      </c>
      <c r="C968" s="35" t="s">
        <v>1775</v>
      </c>
      <c r="D968" s="35">
        <v>224.83</v>
      </c>
      <c r="E968" s="39" t="s">
        <v>1950</v>
      </c>
      <c r="F968" s="37">
        <v>0</v>
      </c>
      <c r="G968" s="35" t="s">
        <v>1950</v>
      </c>
      <c r="H968" s="37">
        <v>0</v>
      </c>
      <c r="I968" s="37" t="s">
        <v>1950</v>
      </c>
      <c r="J968" s="35">
        <v>1990</v>
      </c>
      <c r="K968" s="35" t="s">
        <v>1950</v>
      </c>
      <c r="L968" s="35" t="s">
        <v>1950</v>
      </c>
      <c r="M968" s="36">
        <v>8975</v>
      </c>
      <c r="N968" s="53">
        <v>0</v>
      </c>
      <c r="O968" s="40">
        <v>0</v>
      </c>
      <c r="P968" s="35">
        <v>0</v>
      </c>
      <c r="Q968" s="35" t="s">
        <v>1950</v>
      </c>
      <c r="R968" s="53">
        <v>11</v>
      </c>
      <c r="S968" s="53">
        <v>0</v>
      </c>
    </row>
    <row r="969" spans="1:19" x14ac:dyDescent="0.3">
      <c r="A969" s="35" t="s">
        <v>1586</v>
      </c>
      <c r="B969" s="35" t="s">
        <v>8</v>
      </c>
      <c r="C969" s="35" t="s">
        <v>2662</v>
      </c>
      <c r="D969" s="35">
        <v>230.81</v>
      </c>
      <c r="E969" s="39" t="s">
        <v>1950</v>
      </c>
      <c r="F969" s="37">
        <v>0</v>
      </c>
      <c r="G969" s="35" t="s">
        <v>1950</v>
      </c>
      <c r="H969" s="37">
        <v>0</v>
      </c>
      <c r="I969" s="37" t="s">
        <v>1950</v>
      </c>
      <c r="J969" s="35">
        <v>1997</v>
      </c>
      <c r="K969" s="35" t="s">
        <v>1950</v>
      </c>
      <c r="L969" s="35" t="s">
        <v>1950</v>
      </c>
      <c r="M969" s="36">
        <v>135183</v>
      </c>
      <c r="N969" s="53">
        <v>0</v>
      </c>
      <c r="O969" s="40">
        <v>0</v>
      </c>
      <c r="P969" s="35">
        <v>0</v>
      </c>
      <c r="Q969" s="35" t="s">
        <v>1950</v>
      </c>
      <c r="R969" s="53">
        <v>10</v>
      </c>
      <c r="S969" s="53">
        <v>0</v>
      </c>
    </row>
    <row r="970" spans="1:19" x14ac:dyDescent="0.3">
      <c r="A970" s="35" t="s">
        <v>1586</v>
      </c>
      <c r="B970" s="35" t="s">
        <v>8</v>
      </c>
      <c r="C970" s="35" t="s">
        <v>17</v>
      </c>
      <c r="D970" s="35">
        <v>248.52</v>
      </c>
      <c r="E970" s="39" t="s">
        <v>1950</v>
      </c>
      <c r="F970" s="37">
        <v>0</v>
      </c>
      <c r="G970" s="35" t="s">
        <v>1950</v>
      </c>
      <c r="H970" s="37">
        <v>0</v>
      </c>
      <c r="I970" s="37" t="s">
        <v>1950</v>
      </c>
      <c r="J970" s="35">
        <v>1969</v>
      </c>
      <c r="K970" s="35" t="s">
        <v>1950</v>
      </c>
      <c r="L970" s="35" t="s">
        <v>1950</v>
      </c>
      <c r="M970" s="36">
        <v>38986</v>
      </c>
      <c r="N970" s="53">
        <v>0</v>
      </c>
      <c r="O970" s="40">
        <v>0</v>
      </c>
      <c r="P970" s="35">
        <v>0</v>
      </c>
      <c r="Q970" s="35" t="s">
        <v>1950</v>
      </c>
      <c r="R970" s="53">
        <v>5</v>
      </c>
      <c r="S970" s="53">
        <v>0</v>
      </c>
    </row>
    <row r="971" spans="1:19" x14ac:dyDescent="0.3">
      <c r="A971" s="35" t="s">
        <v>1586</v>
      </c>
      <c r="B971" s="35" t="s">
        <v>12</v>
      </c>
      <c r="C971" s="35" t="s">
        <v>1775</v>
      </c>
      <c r="D971" s="35">
        <v>151.69</v>
      </c>
      <c r="E971" s="39" t="s">
        <v>1950</v>
      </c>
      <c r="F971" s="37">
        <v>0</v>
      </c>
      <c r="G971" s="35" t="s">
        <v>1950</v>
      </c>
      <c r="H971" s="37">
        <v>0</v>
      </c>
      <c r="I971" s="37" t="s">
        <v>1950</v>
      </c>
      <c r="J971" s="35">
        <v>1984</v>
      </c>
      <c r="K971" s="35" t="s">
        <v>1950</v>
      </c>
      <c r="L971" s="35" t="s">
        <v>1950</v>
      </c>
      <c r="M971" s="36">
        <v>11608</v>
      </c>
      <c r="N971" s="53">
        <v>0</v>
      </c>
      <c r="O971" s="40">
        <v>0</v>
      </c>
      <c r="P971" s="35">
        <v>0</v>
      </c>
      <c r="Q971" s="35" t="s">
        <v>1950</v>
      </c>
      <c r="R971" s="53">
        <v>14</v>
      </c>
      <c r="S971" s="53">
        <v>0</v>
      </c>
    </row>
    <row r="972" spans="1:19" x14ac:dyDescent="0.3">
      <c r="A972" s="35" t="s">
        <v>1586</v>
      </c>
      <c r="B972" s="35" t="s">
        <v>14</v>
      </c>
      <c r="C972" s="35" t="s">
        <v>17</v>
      </c>
      <c r="D972" s="35">
        <v>133.86000000000001</v>
      </c>
      <c r="E972" s="39" t="s">
        <v>1950</v>
      </c>
      <c r="F972" s="37">
        <v>0</v>
      </c>
      <c r="G972" s="35" t="s">
        <v>1950</v>
      </c>
      <c r="H972" s="37">
        <v>0</v>
      </c>
      <c r="I972" s="37" t="s">
        <v>1950</v>
      </c>
      <c r="J972" s="35">
        <v>1983</v>
      </c>
      <c r="K972" s="35" t="s">
        <v>1950</v>
      </c>
      <c r="L972" s="35" t="s">
        <v>1950</v>
      </c>
      <c r="M972" s="36">
        <v>28100</v>
      </c>
      <c r="N972" s="53">
        <v>0</v>
      </c>
      <c r="O972" s="40">
        <v>0</v>
      </c>
      <c r="P972" s="35">
        <v>0</v>
      </c>
      <c r="Q972" s="35" t="s">
        <v>1950</v>
      </c>
      <c r="R972" s="53">
        <v>15</v>
      </c>
      <c r="S972" s="53">
        <v>0</v>
      </c>
    </row>
    <row r="973" spans="1:19" x14ac:dyDescent="0.3">
      <c r="A973" s="35" t="s">
        <v>1586</v>
      </c>
      <c r="B973" s="35" t="s">
        <v>12</v>
      </c>
      <c r="C973" s="35" t="s">
        <v>17</v>
      </c>
      <c r="D973" s="35">
        <v>601.44000000000005</v>
      </c>
      <c r="E973" s="39" t="s">
        <v>1950</v>
      </c>
      <c r="F973" s="37">
        <v>0</v>
      </c>
      <c r="G973" s="35" t="s">
        <v>1950</v>
      </c>
      <c r="H973" s="37">
        <v>0</v>
      </c>
      <c r="I973" s="37" t="s">
        <v>1950</v>
      </c>
      <c r="J973" s="35">
        <v>2014</v>
      </c>
      <c r="K973" s="35" t="s">
        <v>25</v>
      </c>
      <c r="L973" s="35" t="s">
        <v>1598</v>
      </c>
      <c r="M973" s="36">
        <v>26371</v>
      </c>
      <c r="N973" s="53">
        <v>0</v>
      </c>
      <c r="O973" s="40">
        <v>0</v>
      </c>
      <c r="P973" s="35">
        <v>0</v>
      </c>
      <c r="Q973" s="35" t="s">
        <v>1950</v>
      </c>
      <c r="R973" s="53">
        <v>5</v>
      </c>
      <c r="S973" s="53">
        <v>0</v>
      </c>
    </row>
    <row r="974" spans="1:19" x14ac:dyDescent="0.3">
      <c r="A974" s="35" t="s">
        <v>1586</v>
      </c>
      <c r="B974" s="35" t="s">
        <v>14</v>
      </c>
      <c r="C974" s="35" t="s">
        <v>17</v>
      </c>
      <c r="D974" s="35">
        <v>67.430000000000007</v>
      </c>
      <c r="E974" s="39" t="s">
        <v>1950</v>
      </c>
      <c r="F974" s="37">
        <v>0</v>
      </c>
      <c r="G974" s="35" t="s">
        <v>1950</v>
      </c>
      <c r="H974" s="37">
        <v>0</v>
      </c>
      <c r="I974" s="37" t="s">
        <v>1950</v>
      </c>
      <c r="J974" s="35">
        <v>2015</v>
      </c>
      <c r="K974" s="35" t="s">
        <v>1950</v>
      </c>
      <c r="L974" s="35" t="s">
        <v>1950</v>
      </c>
      <c r="M974" s="36">
        <v>16720</v>
      </c>
      <c r="N974" s="53">
        <v>0</v>
      </c>
      <c r="O974" s="40">
        <v>0</v>
      </c>
      <c r="P974" s="35">
        <v>0</v>
      </c>
      <c r="Q974" s="35" t="s">
        <v>1950</v>
      </c>
      <c r="R974" s="53">
        <v>12</v>
      </c>
      <c r="S974" s="53">
        <v>0</v>
      </c>
    </row>
    <row r="975" spans="1:19" x14ac:dyDescent="0.3">
      <c r="A975" s="35" t="s">
        <v>1586</v>
      </c>
      <c r="B975" s="35" t="s">
        <v>29</v>
      </c>
      <c r="C975" s="35" t="s">
        <v>17</v>
      </c>
      <c r="D975" s="35">
        <v>269.52</v>
      </c>
      <c r="E975" s="39" t="s">
        <v>1950</v>
      </c>
      <c r="F975" s="37">
        <v>0</v>
      </c>
      <c r="G975" s="35" t="s">
        <v>1950</v>
      </c>
      <c r="H975" s="37">
        <v>0</v>
      </c>
      <c r="I975" s="37" t="s">
        <v>1950</v>
      </c>
      <c r="J975" s="35">
        <v>2010</v>
      </c>
      <c r="K975" s="35" t="s">
        <v>1950</v>
      </c>
      <c r="L975" s="35" t="s">
        <v>1950</v>
      </c>
      <c r="M975" s="36">
        <v>22606</v>
      </c>
      <c r="N975" s="53">
        <v>0</v>
      </c>
      <c r="O975" s="40">
        <v>0</v>
      </c>
      <c r="P975" s="35">
        <v>0</v>
      </c>
      <c r="Q975" s="35" t="s">
        <v>1950</v>
      </c>
      <c r="R975" s="53">
        <v>0</v>
      </c>
      <c r="S975" s="53">
        <v>0</v>
      </c>
    </row>
    <row r="976" spans="1:19" x14ac:dyDescent="0.3">
      <c r="A976" s="35" t="s">
        <v>1586</v>
      </c>
      <c r="B976" s="35" t="s">
        <v>14</v>
      </c>
      <c r="C976" s="35" t="s">
        <v>17</v>
      </c>
      <c r="D976" s="35">
        <v>172.11</v>
      </c>
      <c r="E976" s="39" t="s">
        <v>1950</v>
      </c>
      <c r="F976" s="37">
        <v>0</v>
      </c>
      <c r="G976" s="35" t="s">
        <v>1950</v>
      </c>
      <c r="H976" s="37">
        <v>0</v>
      </c>
      <c r="I976" s="37" t="s">
        <v>1950</v>
      </c>
      <c r="J976" s="35">
        <v>1988</v>
      </c>
      <c r="K976" s="35" t="s">
        <v>25</v>
      </c>
      <c r="L976" s="35" t="s">
        <v>1601</v>
      </c>
      <c r="M976" s="36">
        <v>117541</v>
      </c>
      <c r="N976" s="53">
        <v>0</v>
      </c>
      <c r="O976" s="40">
        <v>0</v>
      </c>
      <c r="P976" s="35">
        <v>0</v>
      </c>
      <c r="Q976" s="35" t="s">
        <v>1950</v>
      </c>
      <c r="R976" s="53">
        <v>3</v>
      </c>
      <c r="S976" s="53">
        <v>0</v>
      </c>
    </row>
    <row r="977" spans="1:19" x14ac:dyDescent="0.3">
      <c r="A977" s="35" t="s">
        <v>1586</v>
      </c>
      <c r="B977" s="35" t="s">
        <v>14</v>
      </c>
      <c r="C977" s="35" t="s">
        <v>1775</v>
      </c>
      <c r="D977" s="35">
        <v>137.19</v>
      </c>
      <c r="E977" s="39" t="s">
        <v>1950</v>
      </c>
      <c r="F977" s="37">
        <v>0</v>
      </c>
      <c r="G977" s="35" t="s">
        <v>1950</v>
      </c>
      <c r="H977" s="37">
        <v>0</v>
      </c>
      <c r="I977" s="37" t="s">
        <v>1950</v>
      </c>
      <c r="J977" s="35">
        <v>1975</v>
      </c>
      <c r="K977" s="35" t="s">
        <v>1950</v>
      </c>
      <c r="L977" s="35" t="s">
        <v>1950</v>
      </c>
      <c r="M977" s="36">
        <v>7200</v>
      </c>
      <c r="N977" s="53">
        <v>0</v>
      </c>
      <c r="O977" s="40">
        <v>0</v>
      </c>
      <c r="P977" s="35">
        <v>0</v>
      </c>
      <c r="Q977" s="35" t="s">
        <v>1950</v>
      </c>
      <c r="R977" s="53">
        <v>11</v>
      </c>
      <c r="S977" s="53">
        <v>0</v>
      </c>
    </row>
    <row r="978" spans="1:19" x14ac:dyDescent="0.3">
      <c r="A978" s="35" t="s">
        <v>1586</v>
      </c>
      <c r="B978" s="35" t="s">
        <v>29</v>
      </c>
      <c r="C978" s="35" t="s">
        <v>17</v>
      </c>
      <c r="D978" s="35">
        <v>211.11</v>
      </c>
      <c r="E978" s="39" t="s">
        <v>1950</v>
      </c>
      <c r="F978" s="37">
        <v>0</v>
      </c>
      <c r="G978" s="35" t="s">
        <v>1950</v>
      </c>
      <c r="H978" s="37">
        <v>0</v>
      </c>
      <c r="I978" s="37" t="s">
        <v>1950</v>
      </c>
      <c r="J978" s="35">
        <v>1995</v>
      </c>
      <c r="K978" s="35" t="s">
        <v>21</v>
      </c>
      <c r="L978" s="35" t="s">
        <v>1601</v>
      </c>
      <c r="M978" s="36">
        <v>26385</v>
      </c>
      <c r="N978" s="53">
        <v>0</v>
      </c>
      <c r="O978" s="40">
        <v>0</v>
      </c>
      <c r="P978" s="35">
        <v>0</v>
      </c>
      <c r="Q978" s="35" t="s">
        <v>1950</v>
      </c>
      <c r="R978" s="53">
        <v>6</v>
      </c>
      <c r="S978" s="53">
        <v>0</v>
      </c>
    </row>
    <row r="979" spans="1:19" x14ac:dyDescent="0.3">
      <c r="A979" s="35" t="s">
        <v>1586</v>
      </c>
      <c r="B979" s="35" t="s">
        <v>14</v>
      </c>
      <c r="C979" s="35" t="s">
        <v>1775</v>
      </c>
      <c r="D979" s="35">
        <v>138.59</v>
      </c>
      <c r="E979" s="39" t="s">
        <v>1950</v>
      </c>
      <c r="F979" s="37">
        <v>0</v>
      </c>
      <c r="G979" s="35" t="s">
        <v>1950</v>
      </c>
      <c r="H979" s="37">
        <v>0</v>
      </c>
      <c r="I979" s="37" t="s">
        <v>1950</v>
      </c>
      <c r="J979" s="35">
        <v>1986</v>
      </c>
      <c r="K979" s="35" t="s">
        <v>1950</v>
      </c>
      <c r="L979" s="35" t="s">
        <v>1950</v>
      </c>
      <c r="M979" s="36">
        <v>10926</v>
      </c>
      <c r="N979" s="53">
        <v>0</v>
      </c>
      <c r="O979" s="40">
        <v>0</v>
      </c>
      <c r="P979" s="35">
        <v>0</v>
      </c>
      <c r="Q979" s="35" t="s">
        <v>1950</v>
      </c>
      <c r="R979" s="53">
        <v>30</v>
      </c>
      <c r="S979" s="53">
        <v>0</v>
      </c>
    </row>
    <row r="980" spans="1:19" x14ac:dyDescent="0.3">
      <c r="A980" s="35" t="s">
        <v>1586</v>
      </c>
      <c r="B980" s="35" t="s">
        <v>14</v>
      </c>
      <c r="C980" s="35" t="s">
        <v>17</v>
      </c>
      <c r="D980" s="35">
        <v>51.81</v>
      </c>
      <c r="E980" s="39" t="s">
        <v>1950</v>
      </c>
      <c r="F980" s="37">
        <v>0</v>
      </c>
      <c r="G980" s="35" t="s">
        <v>1950</v>
      </c>
      <c r="H980" s="37">
        <v>0</v>
      </c>
      <c r="I980" s="37" t="s">
        <v>1950</v>
      </c>
      <c r="J980" s="35">
        <v>1978</v>
      </c>
      <c r="K980" s="35" t="s">
        <v>47</v>
      </c>
      <c r="L980" s="35" t="s">
        <v>1598</v>
      </c>
      <c r="M980" s="36">
        <v>20916</v>
      </c>
      <c r="N980" s="53">
        <v>0</v>
      </c>
      <c r="O980" s="40">
        <v>0</v>
      </c>
      <c r="P980" s="35">
        <v>0</v>
      </c>
      <c r="Q980" s="35" t="s">
        <v>1950</v>
      </c>
      <c r="R980" s="53">
        <v>1</v>
      </c>
      <c r="S980" s="53">
        <v>0</v>
      </c>
    </row>
    <row r="981" spans="1:19" x14ac:dyDescent="0.3">
      <c r="A981" s="35" t="s">
        <v>1586</v>
      </c>
      <c r="B981" s="35" t="s">
        <v>14</v>
      </c>
      <c r="C981" s="35" t="s">
        <v>1775</v>
      </c>
      <c r="D981" s="35">
        <v>17.190000000000001</v>
      </c>
      <c r="E981" s="39" t="s">
        <v>1950</v>
      </c>
      <c r="F981" s="37">
        <v>0</v>
      </c>
      <c r="G981" s="35" t="s">
        <v>1950</v>
      </c>
      <c r="H981" s="37">
        <v>0</v>
      </c>
      <c r="I981" s="37" t="s">
        <v>1950</v>
      </c>
      <c r="J981" s="35">
        <v>1960</v>
      </c>
      <c r="K981" s="35" t="s">
        <v>1950</v>
      </c>
      <c r="L981" s="35" t="s">
        <v>1950</v>
      </c>
      <c r="M981" s="36">
        <v>6120</v>
      </c>
      <c r="N981" s="53">
        <v>0</v>
      </c>
      <c r="O981" s="40">
        <v>0</v>
      </c>
      <c r="P981" s="35">
        <v>0</v>
      </c>
      <c r="Q981" s="35" t="s">
        <v>1950</v>
      </c>
      <c r="R981" s="53">
        <v>2</v>
      </c>
      <c r="S981" s="53">
        <v>0</v>
      </c>
    </row>
    <row r="982" spans="1:19" x14ac:dyDescent="0.3">
      <c r="A982" s="35" t="s">
        <v>1586</v>
      </c>
      <c r="B982" s="35" t="s">
        <v>14</v>
      </c>
      <c r="C982" s="35" t="s">
        <v>17</v>
      </c>
      <c r="D982" s="35">
        <v>182.5</v>
      </c>
      <c r="E982" s="39" t="s">
        <v>1950</v>
      </c>
      <c r="F982" s="37">
        <v>0</v>
      </c>
      <c r="G982" s="35" t="s">
        <v>1950</v>
      </c>
      <c r="H982" s="37">
        <v>0</v>
      </c>
      <c r="I982" s="37" t="s">
        <v>1950</v>
      </c>
      <c r="J982" s="35">
        <v>2000</v>
      </c>
      <c r="K982" s="35" t="s">
        <v>19</v>
      </c>
      <c r="L982" s="35" t="s">
        <v>1601</v>
      </c>
      <c r="M982" s="36">
        <v>51479</v>
      </c>
      <c r="N982" s="53">
        <v>0</v>
      </c>
      <c r="O982" s="40">
        <v>0</v>
      </c>
      <c r="P982" s="35">
        <v>0</v>
      </c>
      <c r="Q982" s="35" t="s">
        <v>1950</v>
      </c>
      <c r="R982" s="53">
        <v>1</v>
      </c>
      <c r="S982" s="53">
        <v>0</v>
      </c>
    </row>
    <row r="983" spans="1:19" x14ac:dyDescent="0.3">
      <c r="A983" s="35" t="s">
        <v>1586</v>
      </c>
      <c r="B983" s="35" t="s">
        <v>14</v>
      </c>
      <c r="C983" s="35" t="s">
        <v>17</v>
      </c>
      <c r="D983" s="35">
        <v>286.52</v>
      </c>
      <c r="E983" s="39" t="s">
        <v>1950</v>
      </c>
      <c r="F983" s="37">
        <v>0</v>
      </c>
      <c r="G983" s="35" t="s">
        <v>1950</v>
      </c>
      <c r="H983" s="37">
        <v>0</v>
      </c>
      <c r="I983" s="37" t="s">
        <v>1950</v>
      </c>
      <c r="J983" s="35">
        <v>1989</v>
      </c>
      <c r="K983" s="35" t="s">
        <v>1950</v>
      </c>
      <c r="L983" s="35" t="s">
        <v>1950</v>
      </c>
      <c r="M983" s="36">
        <v>32079</v>
      </c>
      <c r="N983" s="53">
        <v>0</v>
      </c>
      <c r="O983" s="40">
        <v>0</v>
      </c>
      <c r="P983" s="35">
        <v>0</v>
      </c>
      <c r="Q983" s="35" t="s">
        <v>1950</v>
      </c>
      <c r="R983" s="53">
        <v>17</v>
      </c>
      <c r="S983" s="53">
        <v>0</v>
      </c>
    </row>
    <row r="984" spans="1:19" x14ac:dyDescent="0.3">
      <c r="A984" s="35" t="s">
        <v>1586</v>
      </c>
      <c r="B984" s="35" t="s">
        <v>8</v>
      </c>
      <c r="C984" s="35" t="s">
        <v>2662</v>
      </c>
      <c r="D984" s="35">
        <v>229.67</v>
      </c>
      <c r="E984" s="39" t="s">
        <v>1950</v>
      </c>
      <c r="F984" s="37">
        <v>0</v>
      </c>
      <c r="G984" s="35" t="s">
        <v>1950</v>
      </c>
      <c r="H984" s="37">
        <v>0</v>
      </c>
      <c r="I984" s="37" t="s">
        <v>1950</v>
      </c>
      <c r="J984" s="35">
        <v>1995</v>
      </c>
      <c r="K984" s="35" t="s">
        <v>25</v>
      </c>
      <c r="L984" s="35" t="s">
        <v>1598</v>
      </c>
      <c r="M984" s="36">
        <v>97373</v>
      </c>
      <c r="N984" s="53">
        <v>0</v>
      </c>
      <c r="O984" s="40">
        <v>0</v>
      </c>
      <c r="P984" s="35">
        <v>0</v>
      </c>
      <c r="Q984" s="35" t="s">
        <v>1950</v>
      </c>
      <c r="R984" s="53">
        <v>0</v>
      </c>
      <c r="S984" s="53">
        <v>0</v>
      </c>
    </row>
    <row r="985" spans="1:19" x14ac:dyDescent="0.3">
      <c r="A985" s="35" t="s">
        <v>1586</v>
      </c>
      <c r="B985" s="35" t="s">
        <v>14</v>
      </c>
      <c r="C985" s="35" t="s">
        <v>17</v>
      </c>
      <c r="D985" s="35">
        <v>207.09</v>
      </c>
      <c r="E985" s="39" t="s">
        <v>1950</v>
      </c>
      <c r="F985" s="37">
        <v>0</v>
      </c>
      <c r="G985" s="35" t="s">
        <v>1950</v>
      </c>
      <c r="H985" s="37">
        <v>0</v>
      </c>
      <c r="I985" s="37" t="s">
        <v>1950</v>
      </c>
      <c r="J985" s="35">
        <v>2002</v>
      </c>
      <c r="K985" s="35" t="s">
        <v>47</v>
      </c>
      <c r="L985" s="35" t="s">
        <v>1601</v>
      </c>
      <c r="M985" s="36">
        <v>15345</v>
      </c>
      <c r="N985" s="53">
        <v>0</v>
      </c>
      <c r="O985" s="40">
        <v>0</v>
      </c>
      <c r="P985" s="35">
        <v>0</v>
      </c>
      <c r="Q985" s="35" t="s">
        <v>1950</v>
      </c>
      <c r="R985" s="53">
        <v>7</v>
      </c>
      <c r="S985" s="53">
        <v>0</v>
      </c>
    </row>
    <row r="986" spans="1:19" x14ac:dyDescent="0.3">
      <c r="A986" s="35" t="s">
        <v>1586</v>
      </c>
      <c r="B986" s="35" t="s">
        <v>14</v>
      </c>
      <c r="C986" s="35" t="s">
        <v>17</v>
      </c>
      <c r="D986" s="35">
        <v>198.67</v>
      </c>
      <c r="E986" s="39" t="s">
        <v>1950</v>
      </c>
      <c r="F986" s="37">
        <v>0</v>
      </c>
      <c r="G986" s="35" t="s">
        <v>1950</v>
      </c>
      <c r="H986" s="37">
        <v>0</v>
      </c>
      <c r="I986" s="37" t="s">
        <v>1950</v>
      </c>
      <c r="J986" s="35">
        <v>1986</v>
      </c>
      <c r="K986" s="35" t="s">
        <v>21</v>
      </c>
      <c r="L986" s="35" t="s">
        <v>1597</v>
      </c>
      <c r="M986" s="36">
        <v>79650</v>
      </c>
      <c r="N986" s="53">
        <v>0</v>
      </c>
      <c r="O986" s="40">
        <v>0</v>
      </c>
      <c r="P986" s="35">
        <v>0</v>
      </c>
      <c r="Q986" s="35" t="s">
        <v>1950</v>
      </c>
      <c r="R986" s="53">
        <v>10</v>
      </c>
      <c r="S986" s="53">
        <v>0</v>
      </c>
    </row>
    <row r="987" spans="1:19" x14ac:dyDescent="0.3">
      <c r="A987" s="35" t="s">
        <v>1586</v>
      </c>
      <c r="B987" s="35" t="s">
        <v>29</v>
      </c>
      <c r="C987" s="35" t="s">
        <v>1775</v>
      </c>
      <c r="D987" s="35">
        <v>172.75</v>
      </c>
      <c r="E987" s="39" t="s">
        <v>1950</v>
      </c>
      <c r="F987" s="37">
        <v>0</v>
      </c>
      <c r="G987" s="35" t="s">
        <v>1950</v>
      </c>
      <c r="H987" s="37">
        <v>0</v>
      </c>
      <c r="I987" s="37" t="s">
        <v>1950</v>
      </c>
      <c r="J987" s="35">
        <v>2013</v>
      </c>
      <c r="K987" s="35" t="s">
        <v>19</v>
      </c>
      <c r="L987" s="35" t="s">
        <v>1603</v>
      </c>
      <c r="M987" s="36">
        <v>7221</v>
      </c>
      <c r="N987" s="53">
        <v>0</v>
      </c>
      <c r="O987" s="40">
        <v>0</v>
      </c>
      <c r="P987" s="35">
        <v>0</v>
      </c>
      <c r="Q987" s="35" t="s">
        <v>1950</v>
      </c>
      <c r="R987" s="53">
        <v>7</v>
      </c>
      <c r="S987" s="53">
        <v>0</v>
      </c>
    </row>
    <row r="988" spans="1:19" x14ac:dyDescent="0.3">
      <c r="A988" s="35" t="s">
        <v>1586</v>
      </c>
      <c r="B988" s="35" t="s">
        <v>14</v>
      </c>
      <c r="C988" s="35" t="s">
        <v>1775</v>
      </c>
      <c r="D988" s="35">
        <v>932.57</v>
      </c>
      <c r="E988" s="39" t="s">
        <v>1950</v>
      </c>
      <c r="F988" s="37">
        <v>0</v>
      </c>
      <c r="G988" s="35" t="s">
        <v>1950</v>
      </c>
      <c r="H988" s="37">
        <v>0</v>
      </c>
      <c r="I988" s="37" t="s">
        <v>1950</v>
      </c>
      <c r="J988" s="35">
        <v>1997</v>
      </c>
      <c r="K988" s="35" t="s">
        <v>1950</v>
      </c>
      <c r="L988" s="35" t="s">
        <v>1950</v>
      </c>
      <c r="M988" s="36">
        <v>8157</v>
      </c>
      <c r="N988" s="53">
        <v>0</v>
      </c>
      <c r="O988" s="40">
        <v>0</v>
      </c>
      <c r="P988" s="35">
        <v>0</v>
      </c>
      <c r="Q988" s="35" t="s">
        <v>1950</v>
      </c>
      <c r="R988" s="53">
        <v>13</v>
      </c>
      <c r="S988" s="53">
        <v>0</v>
      </c>
    </row>
    <row r="989" spans="1:19" x14ac:dyDescent="0.3">
      <c r="A989" s="35" t="s">
        <v>1586</v>
      </c>
      <c r="B989" s="35" t="s">
        <v>8</v>
      </c>
      <c r="C989" s="35" t="s">
        <v>17</v>
      </c>
      <c r="D989" s="35">
        <v>135.19</v>
      </c>
      <c r="E989" s="39" t="s">
        <v>1950</v>
      </c>
      <c r="F989" s="37">
        <v>0</v>
      </c>
      <c r="G989" s="35" t="s">
        <v>1950</v>
      </c>
      <c r="H989" s="37">
        <v>0</v>
      </c>
      <c r="I989" s="37" t="s">
        <v>1950</v>
      </c>
      <c r="J989" s="35">
        <v>1980</v>
      </c>
      <c r="K989" s="35" t="s">
        <v>25</v>
      </c>
      <c r="L989" s="35" t="s">
        <v>1601</v>
      </c>
      <c r="M989" s="36">
        <v>50051</v>
      </c>
      <c r="N989" s="53">
        <v>0</v>
      </c>
      <c r="O989" s="40">
        <v>0</v>
      </c>
      <c r="P989" s="35">
        <v>0</v>
      </c>
      <c r="Q989" s="35" t="s">
        <v>1950</v>
      </c>
      <c r="R989" s="53">
        <v>1</v>
      </c>
      <c r="S989" s="53">
        <v>0</v>
      </c>
    </row>
    <row r="990" spans="1:19" x14ac:dyDescent="0.3">
      <c r="A990" s="35" t="s">
        <v>1586</v>
      </c>
      <c r="B990" s="35" t="s">
        <v>12</v>
      </c>
      <c r="C990" s="35" t="s">
        <v>17</v>
      </c>
      <c r="D990" s="35">
        <v>530.41999999999996</v>
      </c>
      <c r="E990" s="39" t="s">
        <v>1950</v>
      </c>
      <c r="F990" s="37">
        <v>0</v>
      </c>
      <c r="G990" s="35" t="s">
        <v>1950</v>
      </c>
      <c r="H990" s="37">
        <v>0</v>
      </c>
      <c r="I990" s="37" t="s">
        <v>1950</v>
      </c>
      <c r="J990" s="35">
        <v>1993</v>
      </c>
      <c r="K990" s="35" t="s">
        <v>47</v>
      </c>
      <c r="L990" s="35" t="s">
        <v>1599</v>
      </c>
      <c r="M990" s="36">
        <v>34009</v>
      </c>
      <c r="N990" s="53">
        <v>0</v>
      </c>
      <c r="O990" s="40">
        <v>0</v>
      </c>
      <c r="P990" s="35">
        <v>0</v>
      </c>
      <c r="Q990" s="35" t="s">
        <v>1950</v>
      </c>
      <c r="R990" s="53">
        <v>18</v>
      </c>
      <c r="S990" s="53">
        <v>0</v>
      </c>
    </row>
    <row r="991" spans="1:19" x14ac:dyDescent="0.3">
      <c r="A991" s="35" t="s">
        <v>1586</v>
      </c>
      <c r="B991" s="35" t="s">
        <v>29</v>
      </c>
      <c r="C991" s="35" t="s">
        <v>17</v>
      </c>
      <c r="D991" s="35">
        <v>117.68</v>
      </c>
      <c r="E991" s="39" t="s">
        <v>1950</v>
      </c>
      <c r="F991" s="37">
        <v>0</v>
      </c>
      <c r="G991" s="35" t="s">
        <v>1950</v>
      </c>
      <c r="H991" s="37">
        <v>0</v>
      </c>
      <c r="I991" s="37" t="s">
        <v>1950</v>
      </c>
      <c r="J991" s="35">
        <v>1971</v>
      </c>
      <c r="K991" s="35" t="s">
        <v>25</v>
      </c>
      <c r="L991" s="35" t="s">
        <v>1601</v>
      </c>
      <c r="M991" s="36">
        <v>31184</v>
      </c>
      <c r="N991" s="53">
        <v>0</v>
      </c>
      <c r="O991" s="40">
        <v>0</v>
      </c>
      <c r="P991" s="35">
        <v>0</v>
      </c>
      <c r="Q991" s="35" t="s">
        <v>1950</v>
      </c>
      <c r="R991" s="53">
        <v>5</v>
      </c>
      <c r="S991" s="53">
        <v>0</v>
      </c>
    </row>
    <row r="992" spans="1:19" x14ac:dyDescent="0.3">
      <c r="A992" s="35" t="s">
        <v>1586</v>
      </c>
      <c r="B992" s="35" t="s">
        <v>8</v>
      </c>
      <c r="C992" s="35" t="s">
        <v>17</v>
      </c>
      <c r="D992" s="35">
        <v>104.02</v>
      </c>
      <c r="E992" s="39" t="s">
        <v>1950</v>
      </c>
      <c r="F992" s="37">
        <v>0</v>
      </c>
      <c r="G992" s="35" t="s">
        <v>1950</v>
      </c>
      <c r="H992" s="37">
        <v>0</v>
      </c>
      <c r="I992" s="37" t="s">
        <v>1950</v>
      </c>
      <c r="J992" s="35">
        <v>1986</v>
      </c>
      <c r="K992" s="35" t="s">
        <v>25</v>
      </c>
      <c r="L992" s="35" t="s">
        <v>1597</v>
      </c>
      <c r="M992" s="36">
        <v>26881</v>
      </c>
      <c r="N992" s="53">
        <v>0</v>
      </c>
      <c r="O992" s="40">
        <v>0</v>
      </c>
      <c r="P992" s="35">
        <v>0</v>
      </c>
      <c r="Q992" s="35" t="s">
        <v>1950</v>
      </c>
      <c r="R992" s="53">
        <v>2</v>
      </c>
      <c r="S992" s="53">
        <v>0</v>
      </c>
    </row>
    <row r="993" spans="1:19" x14ac:dyDescent="0.3">
      <c r="A993" s="35" t="s">
        <v>1586</v>
      </c>
      <c r="B993" s="35" t="s">
        <v>14</v>
      </c>
      <c r="C993" s="35" t="s">
        <v>1775</v>
      </c>
      <c r="D993" s="35">
        <v>211.89</v>
      </c>
      <c r="E993" s="39" t="s">
        <v>1950</v>
      </c>
      <c r="F993" s="37">
        <v>0</v>
      </c>
      <c r="G993" s="35" t="s">
        <v>1950</v>
      </c>
      <c r="H993" s="37">
        <v>0</v>
      </c>
      <c r="I993" s="37" t="s">
        <v>1950</v>
      </c>
      <c r="J993" s="35">
        <v>1987</v>
      </c>
      <c r="K993" s="35" t="s">
        <v>1950</v>
      </c>
      <c r="L993" s="35" t="s">
        <v>1950</v>
      </c>
      <c r="M993" s="36">
        <v>10678</v>
      </c>
      <c r="N993" s="53">
        <v>0</v>
      </c>
      <c r="O993" s="40">
        <v>0</v>
      </c>
      <c r="P993" s="35">
        <v>0</v>
      </c>
      <c r="Q993" s="35" t="s">
        <v>1950</v>
      </c>
      <c r="R993" s="53">
        <v>5</v>
      </c>
      <c r="S993" s="53">
        <v>0</v>
      </c>
    </row>
    <row r="994" spans="1:19" x14ac:dyDescent="0.3">
      <c r="A994" s="35" t="s">
        <v>1586</v>
      </c>
      <c r="B994" s="35" t="s">
        <v>12</v>
      </c>
      <c r="C994" s="35" t="s">
        <v>1775</v>
      </c>
      <c r="D994" s="35">
        <v>405.7</v>
      </c>
      <c r="E994" s="39" t="s">
        <v>1950</v>
      </c>
      <c r="F994" s="37">
        <v>0</v>
      </c>
      <c r="G994" s="35" t="s">
        <v>1950</v>
      </c>
      <c r="H994" s="37">
        <v>0</v>
      </c>
      <c r="I994" s="37" t="s">
        <v>1950</v>
      </c>
      <c r="J994" s="35">
        <v>2005</v>
      </c>
      <c r="K994" s="35" t="s">
        <v>21</v>
      </c>
      <c r="L994" s="35" t="s">
        <v>1601</v>
      </c>
      <c r="M994" s="36">
        <v>5345</v>
      </c>
      <c r="N994" s="53">
        <v>0</v>
      </c>
      <c r="O994" s="40">
        <v>0</v>
      </c>
      <c r="P994" s="35">
        <v>0</v>
      </c>
      <c r="Q994" s="35" t="s">
        <v>1950</v>
      </c>
      <c r="R994" s="53">
        <v>8</v>
      </c>
      <c r="S994" s="53">
        <v>0</v>
      </c>
    </row>
    <row r="995" spans="1:19" x14ac:dyDescent="0.3">
      <c r="A995" s="35" t="s">
        <v>1586</v>
      </c>
      <c r="B995" s="35" t="s">
        <v>12</v>
      </c>
      <c r="C995" s="35" t="s">
        <v>17</v>
      </c>
      <c r="D995" s="35">
        <v>390.29</v>
      </c>
      <c r="E995" s="39" t="s">
        <v>1950</v>
      </c>
      <c r="F995" s="37">
        <v>0</v>
      </c>
      <c r="G995" s="35" t="s">
        <v>1950</v>
      </c>
      <c r="H995" s="37">
        <v>0</v>
      </c>
      <c r="I995" s="37" t="s">
        <v>1950</v>
      </c>
      <c r="J995" s="35">
        <v>2008</v>
      </c>
      <c r="K995" s="35" t="s">
        <v>1950</v>
      </c>
      <c r="L995" s="35" t="s">
        <v>1950</v>
      </c>
      <c r="M995" s="36">
        <v>20713</v>
      </c>
      <c r="N995" s="53">
        <v>0</v>
      </c>
      <c r="O995" s="40">
        <v>0</v>
      </c>
      <c r="P995" s="35">
        <v>0</v>
      </c>
      <c r="Q995" s="35" t="s">
        <v>1950</v>
      </c>
      <c r="R995" s="53">
        <v>12</v>
      </c>
      <c r="S995" s="53">
        <v>0</v>
      </c>
    </row>
    <row r="996" spans="1:19" x14ac:dyDescent="0.3">
      <c r="A996" s="35" t="s">
        <v>1586</v>
      </c>
      <c r="B996" s="35" t="s">
        <v>12</v>
      </c>
      <c r="C996" s="35" t="s">
        <v>1775</v>
      </c>
      <c r="D996" s="35">
        <v>220.36</v>
      </c>
      <c r="E996" s="39" t="s">
        <v>1950</v>
      </c>
      <c r="F996" s="37">
        <v>0</v>
      </c>
      <c r="G996" s="35" t="s">
        <v>1950</v>
      </c>
      <c r="H996" s="37">
        <v>0</v>
      </c>
      <c r="I996" s="37" t="s">
        <v>1950</v>
      </c>
      <c r="J996" s="35">
        <v>1984</v>
      </c>
      <c r="K996" s="35" t="s">
        <v>1950</v>
      </c>
      <c r="L996" s="35" t="s">
        <v>1950</v>
      </c>
      <c r="M996" s="36">
        <v>8199</v>
      </c>
      <c r="N996" s="53">
        <v>0</v>
      </c>
      <c r="O996" s="40">
        <v>0</v>
      </c>
      <c r="P996" s="35">
        <v>0</v>
      </c>
      <c r="Q996" s="35" t="s">
        <v>1950</v>
      </c>
      <c r="R996" s="53">
        <v>1</v>
      </c>
      <c r="S996" s="53">
        <v>0</v>
      </c>
    </row>
    <row r="997" spans="1:19" x14ac:dyDescent="0.3">
      <c r="A997" s="35" t="s">
        <v>1586</v>
      </c>
      <c r="B997" s="35" t="s">
        <v>12</v>
      </c>
      <c r="C997" s="35" t="s">
        <v>17</v>
      </c>
      <c r="D997" s="35">
        <v>133.15</v>
      </c>
      <c r="E997" s="39" t="s">
        <v>1950</v>
      </c>
      <c r="F997" s="37">
        <v>0</v>
      </c>
      <c r="G997" s="35" t="s">
        <v>1950</v>
      </c>
      <c r="H997" s="37">
        <v>0</v>
      </c>
      <c r="I997" s="37" t="s">
        <v>1950</v>
      </c>
      <c r="J997" s="35">
        <v>1994</v>
      </c>
      <c r="K997" s="35" t="s">
        <v>1950</v>
      </c>
      <c r="L997" s="35" t="s">
        <v>1950</v>
      </c>
      <c r="M997" s="36">
        <v>90517</v>
      </c>
      <c r="N997" s="53">
        <v>0</v>
      </c>
      <c r="O997" s="40">
        <v>0</v>
      </c>
      <c r="P997" s="35">
        <v>0</v>
      </c>
      <c r="Q997" s="35" t="s">
        <v>1950</v>
      </c>
      <c r="R997" s="53">
        <v>5</v>
      </c>
      <c r="S997" s="53">
        <v>0</v>
      </c>
    </row>
    <row r="998" spans="1:19" x14ac:dyDescent="0.3">
      <c r="A998" s="35" t="s">
        <v>1586</v>
      </c>
      <c r="B998" s="35" t="s">
        <v>12</v>
      </c>
      <c r="C998" s="35" t="s">
        <v>1775</v>
      </c>
      <c r="D998" s="35">
        <v>599.42999999999995</v>
      </c>
      <c r="E998" s="39" t="s">
        <v>1950</v>
      </c>
      <c r="F998" s="37">
        <v>0</v>
      </c>
      <c r="G998" s="35" t="s">
        <v>1950</v>
      </c>
      <c r="H998" s="37">
        <v>0</v>
      </c>
      <c r="I998" s="37" t="s">
        <v>1950</v>
      </c>
      <c r="J998" s="35">
        <v>2008</v>
      </c>
      <c r="K998" s="35" t="s">
        <v>47</v>
      </c>
      <c r="L998" s="35" t="s">
        <v>1601</v>
      </c>
      <c r="M998" s="36">
        <v>10880</v>
      </c>
      <c r="N998" s="53">
        <v>0</v>
      </c>
      <c r="O998" s="40">
        <v>0</v>
      </c>
      <c r="P998" s="35">
        <v>0</v>
      </c>
      <c r="Q998" s="35" t="s">
        <v>1950</v>
      </c>
      <c r="R998" s="53">
        <v>11</v>
      </c>
      <c r="S998" s="53">
        <v>0</v>
      </c>
    </row>
    <row r="999" spans="1:19" x14ac:dyDescent="0.3">
      <c r="A999" s="35" t="s">
        <v>1586</v>
      </c>
      <c r="B999" s="35" t="s">
        <v>14</v>
      </c>
      <c r="C999" s="35" t="s">
        <v>1775</v>
      </c>
      <c r="D999" s="35">
        <v>89.54</v>
      </c>
      <c r="E999" s="39" t="s">
        <v>1950</v>
      </c>
      <c r="F999" s="37">
        <v>0</v>
      </c>
      <c r="G999" s="35" t="s">
        <v>1950</v>
      </c>
      <c r="H999" s="37">
        <v>0</v>
      </c>
      <c r="I999" s="37" t="s">
        <v>1950</v>
      </c>
      <c r="J999" s="35">
        <v>1982</v>
      </c>
      <c r="K999" s="35" t="s">
        <v>1950</v>
      </c>
      <c r="L999" s="35" t="s">
        <v>1950</v>
      </c>
      <c r="M999" s="36">
        <v>6345</v>
      </c>
      <c r="N999" s="53">
        <v>0</v>
      </c>
      <c r="O999" s="40">
        <v>0</v>
      </c>
      <c r="P999" s="35">
        <v>0</v>
      </c>
      <c r="Q999" s="35" t="s">
        <v>1950</v>
      </c>
      <c r="R999" s="53">
        <v>6</v>
      </c>
      <c r="S999" s="53">
        <v>0</v>
      </c>
    </row>
    <row r="1000" spans="1:19" x14ac:dyDescent="0.3">
      <c r="A1000" s="35" t="s">
        <v>1586</v>
      </c>
      <c r="B1000" s="35" t="s">
        <v>8</v>
      </c>
      <c r="C1000" s="35" t="s">
        <v>17</v>
      </c>
      <c r="D1000" s="35">
        <v>521.54999999999995</v>
      </c>
      <c r="E1000" s="39" t="s">
        <v>1950</v>
      </c>
      <c r="F1000" s="37">
        <v>0</v>
      </c>
      <c r="G1000" s="35" t="s">
        <v>1950</v>
      </c>
      <c r="H1000" s="37">
        <v>0</v>
      </c>
      <c r="I1000" s="37" t="s">
        <v>1950</v>
      </c>
      <c r="J1000" s="35">
        <v>2006</v>
      </c>
      <c r="K1000" s="35" t="s">
        <v>1950</v>
      </c>
      <c r="L1000" s="35" t="s">
        <v>1950</v>
      </c>
      <c r="M1000" s="36">
        <v>31616</v>
      </c>
      <c r="N1000" s="53">
        <v>0</v>
      </c>
      <c r="O1000" s="40">
        <v>0</v>
      </c>
      <c r="P1000" s="35">
        <v>0</v>
      </c>
      <c r="Q1000" s="35" t="s">
        <v>1950</v>
      </c>
      <c r="R1000" s="53">
        <v>12</v>
      </c>
      <c r="S1000" s="53">
        <v>0</v>
      </c>
    </row>
    <row r="1001" spans="1:19" x14ac:dyDescent="0.3">
      <c r="A1001" s="35" t="s">
        <v>1586</v>
      </c>
      <c r="B1001" s="35" t="s">
        <v>29</v>
      </c>
      <c r="C1001" s="35" t="s">
        <v>17</v>
      </c>
      <c r="D1001" s="35">
        <v>185.5</v>
      </c>
      <c r="E1001" s="39" t="s">
        <v>1950</v>
      </c>
      <c r="F1001" s="37">
        <v>0</v>
      </c>
      <c r="G1001" s="35" t="s">
        <v>1950</v>
      </c>
      <c r="H1001" s="37">
        <v>0</v>
      </c>
      <c r="I1001" s="37" t="s">
        <v>1950</v>
      </c>
      <c r="J1001" s="35">
        <v>2015</v>
      </c>
      <c r="K1001" s="35" t="s">
        <v>19</v>
      </c>
      <c r="L1001" s="35" t="s">
        <v>1598</v>
      </c>
      <c r="M1001" s="36">
        <v>32600</v>
      </c>
      <c r="N1001" s="53">
        <v>0</v>
      </c>
      <c r="O1001" s="40">
        <v>0</v>
      </c>
      <c r="P1001" s="35">
        <v>0</v>
      </c>
      <c r="Q1001" s="35" t="s">
        <v>1950</v>
      </c>
      <c r="R1001" s="53">
        <v>5</v>
      </c>
      <c r="S1001" s="53">
        <v>0</v>
      </c>
    </row>
    <row r="1002" spans="1:19" x14ac:dyDescent="0.3">
      <c r="A1002" s="35" t="s">
        <v>1586</v>
      </c>
      <c r="B1002" s="35" t="s">
        <v>29</v>
      </c>
      <c r="C1002" s="35" t="s">
        <v>17</v>
      </c>
      <c r="D1002" s="35">
        <v>330.76</v>
      </c>
      <c r="E1002" s="39" t="s">
        <v>1950</v>
      </c>
      <c r="F1002" s="37">
        <v>0</v>
      </c>
      <c r="G1002" s="35" t="s">
        <v>1950</v>
      </c>
      <c r="H1002" s="37">
        <v>0</v>
      </c>
      <c r="I1002" s="37" t="s">
        <v>1950</v>
      </c>
      <c r="J1002" s="35">
        <v>2011</v>
      </c>
      <c r="K1002" s="35" t="s">
        <v>21</v>
      </c>
      <c r="L1002" s="35" t="s">
        <v>1603</v>
      </c>
      <c r="M1002" s="36">
        <v>18986</v>
      </c>
      <c r="N1002" s="53">
        <v>0</v>
      </c>
      <c r="O1002" s="40">
        <v>0</v>
      </c>
      <c r="P1002" s="35">
        <v>0</v>
      </c>
      <c r="Q1002" s="35" t="s">
        <v>1950</v>
      </c>
      <c r="R1002" s="53">
        <v>9</v>
      </c>
      <c r="S1002" s="53">
        <v>0</v>
      </c>
    </row>
    <row r="1003" spans="1:19" x14ac:dyDescent="0.3">
      <c r="A1003" s="35" t="s">
        <v>1586</v>
      </c>
      <c r="B1003" s="35" t="s">
        <v>29</v>
      </c>
      <c r="C1003" s="35" t="s">
        <v>1775</v>
      </c>
      <c r="D1003" s="35">
        <v>334.43</v>
      </c>
      <c r="E1003" s="39" t="s">
        <v>1950</v>
      </c>
      <c r="F1003" s="37">
        <v>0</v>
      </c>
      <c r="G1003" s="35" t="s">
        <v>1950</v>
      </c>
      <c r="H1003" s="37">
        <v>0</v>
      </c>
      <c r="I1003" s="37" t="s">
        <v>1950</v>
      </c>
      <c r="J1003" s="35">
        <v>2008</v>
      </c>
      <c r="K1003" s="35" t="s">
        <v>1950</v>
      </c>
      <c r="L1003" s="35" t="s">
        <v>1950</v>
      </c>
      <c r="M1003" s="36">
        <v>5021</v>
      </c>
      <c r="N1003" s="53">
        <v>0</v>
      </c>
      <c r="O1003" s="40">
        <v>0</v>
      </c>
      <c r="P1003" s="35">
        <v>0</v>
      </c>
      <c r="Q1003" s="35" t="s">
        <v>1950</v>
      </c>
      <c r="R1003" s="53">
        <v>12</v>
      </c>
      <c r="S1003" s="53">
        <v>0</v>
      </c>
    </row>
    <row r="1004" spans="1:19" x14ac:dyDescent="0.3">
      <c r="A1004" s="35" t="s">
        <v>1586</v>
      </c>
      <c r="B1004" s="35" t="s">
        <v>29</v>
      </c>
      <c r="C1004" s="35" t="s">
        <v>1775</v>
      </c>
      <c r="D1004" s="35">
        <v>215.36</v>
      </c>
      <c r="E1004" s="39" t="s">
        <v>1950</v>
      </c>
      <c r="F1004" s="37">
        <v>0</v>
      </c>
      <c r="G1004" s="35" t="s">
        <v>1950</v>
      </c>
      <c r="H1004" s="37">
        <v>0</v>
      </c>
      <c r="I1004" s="37" t="s">
        <v>1950</v>
      </c>
      <c r="J1004" s="35">
        <v>2017</v>
      </c>
      <c r="K1004" s="35" t="s">
        <v>21</v>
      </c>
      <c r="L1004" s="35" t="s">
        <v>1598</v>
      </c>
      <c r="M1004" s="36">
        <v>6666</v>
      </c>
      <c r="N1004" s="53">
        <v>0</v>
      </c>
      <c r="O1004" s="40">
        <v>0</v>
      </c>
      <c r="P1004" s="35">
        <v>0</v>
      </c>
      <c r="Q1004" s="35" t="s">
        <v>1950</v>
      </c>
      <c r="R1004" s="53">
        <v>3</v>
      </c>
      <c r="S1004" s="53">
        <v>0</v>
      </c>
    </row>
    <row r="1005" spans="1:19" x14ac:dyDescent="0.3">
      <c r="A1005" s="35" t="s">
        <v>1586</v>
      </c>
      <c r="B1005" s="35" t="s">
        <v>29</v>
      </c>
      <c r="C1005" s="35" t="s">
        <v>1775</v>
      </c>
      <c r="D1005" s="35">
        <v>289.17</v>
      </c>
      <c r="E1005" s="39" t="s">
        <v>1950</v>
      </c>
      <c r="F1005" s="37">
        <v>0</v>
      </c>
      <c r="G1005" s="35" t="s">
        <v>1950</v>
      </c>
      <c r="H1005" s="37">
        <v>0</v>
      </c>
      <c r="I1005" s="37" t="s">
        <v>1950</v>
      </c>
      <c r="J1005" s="35">
        <v>2013</v>
      </c>
      <c r="K1005" s="35" t="s">
        <v>21</v>
      </c>
      <c r="L1005" s="35" t="s">
        <v>1600</v>
      </c>
      <c r="M1005" s="36">
        <v>5262</v>
      </c>
      <c r="N1005" s="53">
        <v>0</v>
      </c>
      <c r="O1005" s="40">
        <v>0</v>
      </c>
      <c r="P1005" s="35">
        <v>0</v>
      </c>
      <c r="Q1005" s="35" t="s">
        <v>1950</v>
      </c>
      <c r="R1005" s="53">
        <v>7</v>
      </c>
      <c r="S1005" s="53">
        <v>0</v>
      </c>
    </row>
    <row r="1006" spans="1:19" x14ac:dyDescent="0.3">
      <c r="A1006" s="35" t="s">
        <v>1586</v>
      </c>
      <c r="B1006" s="35" t="s">
        <v>29</v>
      </c>
      <c r="C1006" s="35" t="s">
        <v>1775</v>
      </c>
      <c r="D1006" s="35">
        <v>219.39</v>
      </c>
      <c r="E1006" s="39" t="s">
        <v>1950</v>
      </c>
      <c r="F1006" s="37">
        <v>0</v>
      </c>
      <c r="G1006" s="35" t="s">
        <v>1950</v>
      </c>
      <c r="H1006" s="37">
        <v>0</v>
      </c>
      <c r="I1006" s="37" t="s">
        <v>1950</v>
      </c>
      <c r="J1006" s="35">
        <v>1999</v>
      </c>
      <c r="K1006" s="35" t="s">
        <v>1950</v>
      </c>
      <c r="L1006" s="35" t="s">
        <v>1950</v>
      </c>
      <c r="M1006" s="36">
        <v>5368</v>
      </c>
      <c r="N1006" s="53">
        <v>0</v>
      </c>
      <c r="O1006" s="40">
        <v>0</v>
      </c>
      <c r="P1006" s="35">
        <v>0</v>
      </c>
      <c r="Q1006" s="35" t="s">
        <v>1950</v>
      </c>
      <c r="R1006" s="53">
        <v>18</v>
      </c>
      <c r="S1006" s="53">
        <v>0</v>
      </c>
    </row>
    <row r="1007" spans="1:19" x14ac:dyDescent="0.3">
      <c r="A1007" s="35" t="s">
        <v>1586</v>
      </c>
      <c r="B1007" s="35" t="s">
        <v>29</v>
      </c>
      <c r="C1007" s="35" t="s">
        <v>1775</v>
      </c>
      <c r="D1007" s="35">
        <v>523.02</v>
      </c>
      <c r="E1007" s="39" t="s">
        <v>1950</v>
      </c>
      <c r="F1007" s="37">
        <v>0</v>
      </c>
      <c r="G1007" s="35" t="s">
        <v>1950</v>
      </c>
      <c r="H1007" s="37">
        <v>0</v>
      </c>
      <c r="I1007" s="37" t="s">
        <v>1950</v>
      </c>
      <c r="J1007" s="35">
        <v>2009</v>
      </c>
      <c r="K1007" s="35" t="s">
        <v>1950</v>
      </c>
      <c r="L1007" s="35" t="s">
        <v>1950</v>
      </c>
      <c r="M1007" s="36">
        <v>6400</v>
      </c>
      <c r="N1007" s="53">
        <v>0</v>
      </c>
      <c r="O1007" s="40">
        <v>0</v>
      </c>
      <c r="P1007" s="35">
        <v>0</v>
      </c>
      <c r="Q1007" s="35" t="s">
        <v>1950</v>
      </c>
      <c r="R1007" s="53">
        <v>11</v>
      </c>
      <c r="S1007" s="53">
        <v>0</v>
      </c>
    </row>
    <row r="1008" spans="1:19" x14ac:dyDescent="0.3">
      <c r="A1008" s="35" t="s">
        <v>1586</v>
      </c>
      <c r="B1008" s="35" t="s">
        <v>14</v>
      </c>
      <c r="C1008" s="35" t="s">
        <v>17</v>
      </c>
      <c r="D1008" s="35">
        <v>210.4</v>
      </c>
      <c r="E1008" s="39" t="s">
        <v>1950</v>
      </c>
      <c r="F1008" s="37">
        <v>0</v>
      </c>
      <c r="G1008" s="35" t="s">
        <v>1950</v>
      </c>
      <c r="H1008" s="37">
        <v>0</v>
      </c>
      <c r="I1008" s="37" t="s">
        <v>1950</v>
      </c>
      <c r="J1008" s="35">
        <v>1983</v>
      </c>
      <c r="K1008" s="35" t="s">
        <v>1950</v>
      </c>
      <c r="L1008" s="35" t="s">
        <v>1950</v>
      </c>
      <c r="M1008" s="36">
        <v>19928</v>
      </c>
      <c r="N1008" s="53">
        <v>0</v>
      </c>
      <c r="O1008" s="40">
        <v>0</v>
      </c>
      <c r="P1008" s="35">
        <v>0</v>
      </c>
      <c r="Q1008" s="35" t="s">
        <v>1950</v>
      </c>
      <c r="R1008" s="53">
        <v>16</v>
      </c>
      <c r="S1008" s="53">
        <v>0</v>
      </c>
    </row>
    <row r="1009" spans="1:19" x14ac:dyDescent="0.3">
      <c r="A1009" s="35" t="s">
        <v>1586</v>
      </c>
      <c r="B1009" s="35" t="s">
        <v>12</v>
      </c>
      <c r="C1009" s="35" t="s">
        <v>17</v>
      </c>
      <c r="D1009" s="35">
        <v>312.17</v>
      </c>
      <c r="E1009" s="39" t="s">
        <v>1950</v>
      </c>
      <c r="F1009" s="37">
        <v>0</v>
      </c>
      <c r="G1009" s="35" t="s">
        <v>1950</v>
      </c>
      <c r="H1009" s="37">
        <v>0</v>
      </c>
      <c r="I1009" s="37" t="s">
        <v>1950</v>
      </c>
      <c r="J1009" s="35">
        <v>2013</v>
      </c>
      <c r="K1009" s="35" t="s">
        <v>19</v>
      </c>
      <c r="L1009" s="35" t="s">
        <v>1600</v>
      </c>
      <c r="M1009" s="36">
        <v>108169</v>
      </c>
      <c r="N1009" s="53">
        <v>0</v>
      </c>
      <c r="O1009" s="40">
        <v>0</v>
      </c>
      <c r="P1009" s="35">
        <v>0</v>
      </c>
      <c r="Q1009" s="35" t="s">
        <v>1950</v>
      </c>
      <c r="R1009" s="53">
        <v>0</v>
      </c>
      <c r="S1009" s="53">
        <v>0</v>
      </c>
    </row>
    <row r="1010" spans="1:19" x14ac:dyDescent="0.3">
      <c r="A1010" s="35" t="s">
        <v>1586</v>
      </c>
      <c r="B1010" s="35" t="s">
        <v>14</v>
      </c>
      <c r="C1010" s="35" t="s">
        <v>1775</v>
      </c>
      <c r="D1010" s="35">
        <v>239.16</v>
      </c>
      <c r="E1010" s="39" t="s">
        <v>1950</v>
      </c>
      <c r="F1010" s="37">
        <v>0</v>
      </c>
      <c r="G1010" s="35" t="s">
        <v>1950</v>
      </c>
      <c r="H1010" s="37">
        <v>0</v>
      </c>
      <c r="I1010" s="37" t="s">
        <v>1950</v>
      </c>
      <c r="J1010" s="35">
        <v>1998</v>
      </c>
      <c r="K1010" s="35" t="s">
        <v>1950</v>
      </c>
      <c r="L1010" s="35" t="s">
        <v>1950</v>
      </c>
      <c r="M1010" s="36">
        <v>11080</v>
      </c>
      <c r="N1010" s="53">
        <v>0</v>
      </c>
      <c r="O1010" s="40">
        <v>0</v>
      </c>
      <c r="P1010" s="35">
        <v>0</v>
      </c>
      <c r="Q1010" s="35" t="s">
        <v>1950</v>
      </c>
      <c r="R1010" s="53">
        <v>17</v>
      </c>
      <c r="S1010" s="53">
        <v>0</v>
      </c>
    </row>
    <row r="1011" spans="1:19" x14ac:dyDescent="0.3">
      <c r="A1011" s="35" t="s">
        <v>1586</v>
      </c>
      <c r="B1011" s="35" t="s">
        <v>14</v>
      </c>
      <c r="C1011" s="35" t="s">
        <v>1775</v>
      </c>
      <c r="D1011" s="35">
        <v>202.68</v>
      </c>
      <c r="E1011" s="39" t="s">
        <v>1950</v>
      </c>
      <c r="F1011" s="37">
        <v>0</v>
      </c>
      <c r="G1011" s="35" t="s">
        <v>1950</v>
      </c>
      <c r="H1011" s="37">
        <v>0</v>
      </c>
      <c r="I1011" s="37" t="s">
        <v>1950</v>
      </c>
      <c r="J1011" s="35">
        <v>2009</v>
      </c>
      <c r="K1011" s="35" t="s">
        <v>25</v>
      </c>
      <c r="L1011" s="35" t="s">
        <v>1597</v>
      </c>
      <c r="M1011" s="36">
        <v>13553</v>
      </c>
      <c r="N1011" s="53">
        <v>0</v>
      </c>
      <c r="O1011" s="40">
        <v>0</v>
      </c>
      <c r="P1011" s="35">
        <v>0</v>
      </c>
      <c r="Q1011" s="35" t="s">
        <v>1950</v>
      </c>
      <c r="R1011" s="53">
        <v>9</v>
      </c>
      <c r="S1011" s="53">
        <v>0</v>
      </c>
    </row>
    <row r="1012" spans="1:19" x14ac:dyDescent="0.3">
      <c r="A1012" s="35" t="s">
        <v>1586</v>
      </c>
      <c r="B1012" s="35" t="s">
        <v>29</v>
      </c>
      <c r="C1012" s="35" t="s">
        <v>2662</v>
      </c>
      <c r="D1012" s="35">
        <v>512.41</v>
      </c>
      <c r="E1012" s="39" t="s">
        <v>1950</v>
      </c>
      <c r="F1012" s="37">
        <v>0</v>
      </c>
      <c r="G1012" s="35" t="s">
        <v>1950</v>
      </c>
      <c r="H1012" s="37">
        <v>0</v>
      </c>
      <c r="I1012" s="37" t="s">
        <v>1950</v>
      </c>
      <c r="J1012" s="35">
        <v>2012</v>
      </c>
      <c r="K1012" s="35" t="s">
        <v>25</v>
      </c>
      <c r="L1012" s="35" t="s">
        <v>1601</v>
      </c>
      <c r="M1012" s="36">
        <v>26387</v>
      </c>
      <c r="N1012" s="53">
        <v>0</v>
      </c>
      <c r="O1012" s="40">
        <v>0</v>
      </c>
      <c r="P1012" s="35">
        <v>0</v>
      </c>
      <c r="Q1012" s="35" t="s">
        <v>1950</v>
      </c>
      <c r="R1012" s="53">
        <v>5</v>
      </c>
      <c r="S1012" s="53">
        <v>0</v>
      </c>
    </row>
    <row r="1013" spans="1:19" x14ac:dyDescent="0.3">
      <c r="A1013" s="35" t="s">
        <v>1586</v>
      </c>
      <c r="B1013" s="35" t="s">
        <v>12</v>
      </c>
      <c r="C1013" s="35" t="s">
        <v>1775</v>
      </c>
      <c r="D1013" s="35">
        <v>889.99</v>
      </c>
      <c r="E1013" s="39" t="s">
        <v>1950</v>
      </c>
      <c r="F1013" s="37">
        <v>0</v>
      </c>
      <c r="G1013" s="35" t="s">
        <v>1950</v>
      </c>
      <c r="H1013" s="37">
        <v>0</v>
      </c>
      <c r="I1013" s="37" t="s">
        <v>1950</v>
      </c>
      <c r="J1013" s="35">
        <v>2012</v>
      </c>
      <c r="K1013" s="35" t="s">
        <v>1950</v>
      </c>
      <c r="L1013" s="35" t="s">
        <v>1950</v>
      </c>
      <c r="M1013" s="36">
        <v>9821</v>
      </c>
      <c r="N1013" s="53">
        <v>0</v>
      </c>
      <c r="O1013" s="40">
        <v>0</v>
      </c>
      <c r="P1013" s="35">
        <v>0</v>
      </c>
      <c r="Q1013" s="35" t="s">
        <v>1950</v>
      </c>
      <c r="R1013" s="53">
        <v>5</v>
      </c>
      <c r="S1013" s="53">
        <v>0</v>
      </c>
    </row>
    <row r="1014" spans="1:19" x14ac:dyDescent="0.3">
      <c r="A1014" s="35" t="s">
        <v>1586</v>
      </c>
      <c r="B1014" s="35" t="s">
        <v>12</v>
      </c>
      <c r="C1014" s="35" t="s">
        <v>17</v>
      </c>
      <c r="D1014" s="35">
        <v>257.14999999999998</v>
      </c>
      <c r="E1014" s="39" t="s">
        <v>1950</v>
      </c>
      <c r="F1014" s="37">
        <v>0</v>
      </c>
      <c r="G1014" s="35" t="s">
        <v>1950</v>
      </c>
      <c r="H1014" s="37">
        <v>0</v>
      </c>
      <c r="I1014" s="37" t="s">
        <v>1950</v>
      </c>
      <c r="J1014" s="35">
        <v>1997</v>
      </c>
      <c r="K1014" s="35" t="s">
        <v>1950</v>
      </c>
      <c r="L1014" s="35" t="s">
        <v>1950</v>
      </c>
      <c r="M1014" s="36">
        <v>24646</v>
      </c>
      <c r="N1014" s="53">
        <v>0</v>
      </c>
      <c r="O1014" s="40">
        <v>0</v>
      </c>
      <c r="P1014" s="35">
        <v>0</v>
      </c>
      <c r="Q1014" s="35" t="s">
        <v>1950</v>
      </c>
      <c r="R1014" s="53">
        <v>5</v>
      </c>
      <c r="S1014" s="53">
        <v>0</v>
      </c>
    </row>
    <row r="1015" spans="1:19" x14ac:dyDescent="0.3">
      <c r="A1015" s="35" t="s">
        <v>1586</v>
      </c>
      <c r="B1015" s="35" t="s">
        <v>12</v>
      </c>
      <c r="C1015" s="35" t="s">
        <v>17</v>
      </c>
      <c r="D1015" s="35">
        <v>236.08</v>
      </c>
      <c r="E1015" s="39" t="s">
        <v>1950</v>
      </c>
      <c r="F1015" s="37">
        <v>0</v>
      </c>
      <c r="G1015" s="35" t="s">
        <v>1950</v>
      </c>
      <c r="H1015" s="37">
        <v>0</v>
      </c>
      <c r="I1015" s="37" t="s">
        <v>1950</v>
      </c>
      <c r="J1015" s="35">
        <v>1997</v>
      </c>
      <c r="K1015" s="35" t="s">
        <v>1950</v>
      </c>
      <c r="L1015" s="35" t="s">
        <v>1950</v>
      </c>
      <c r="M1015" s="36">
        <v>24434</v>
      </c>
      <c r="N1015" s="53">
        <v>0</v>
      </c>
      <c r="O1015" s="40">
        <v>0</v>
      </c>
      <c r="P1015" s="35">
        <v>0</v>
      </c>
      <c r="Q1015" s="35" t="s">
        <v>1950</v>
      </c>
      <c r="R1015" s="53">
        <v>14</v>
      </c>
      <c r="S1015" s="53">
        <v>0</v>
      </c>
    </row>
    <row r="1016" spans="1:19" x14ac:dyDescent="0.3">
      <c r="A1016" s="35" t="s">
        <v>1586</v>
      </c>
      <c r="B1016" s="35" t="s">
        <v>12</v>
      </c>
      <c r="C1016" s="35" t="s">
        <v>1775</v>
      </c>
      <c r="D1016" s="35">
        <v>228.47</v>
      </c>
      <c r="E1016" s="39" t="s">
        <v>1950</v>
      </c>
      <c r="F1016" s="37">
        <v>0</v>
      </c>
      <c r="G1016" s="35" t="s">
        <v>1950</v>
      </c>
      <c r="H1016" s="37">
        <v>0</v>
      </c>
      <c r="I1016" s="37" t="s">
        <v>1950</v>
      </c>
      <c r="J1016" s="35">
        <v>2016</v>
      </c>
      <c r="K1016" s="35" t="s">
        <v>1950</v>
      </c>
      <c r="L1016" s="35" t="s">
        <v>1950</v>
      </c>
      <c r="M1016" s="36">
        <v>6359</v>
      </c>
      <c r="N1016" s="53">
        <v>0</v>
      </c>
      <c r="O1016" s="40">
        <v>0</v>
      </c>
      <c r="P1016" s="35">
        <v>0</v>
      </c>
      <c r="Q1016" s="35" t="s">
        <v>1950</v>
      </c>
      <c r="R1016" s="53">
        <v>2</v>
      </c>
      <c r="S1016" s="53">
        <v>0</v>
      </c>
    </row>
    <row r="1017" spans="1:19" x14ac:dyDescent="0.3">
      <c r="A1017" s="35" t="s">
        <v>1586</v>
      </c>
      <c r="B1017" s="35" t="s">
        <v>14</v>
      </c>
      <c r="C1017" s="35" t="s">
        <v>2662</v>
      </c>
      <c r="D1017" s="35">
        <v>127.65</v>
      </c>
      <c r="E1017" s="39" t="s">
        <v>1950</v>
      </c>
      <c r="F1017" s="37">
        <v>0</v>
      </c>
      <c r="G1017" s="35" t="s">
        <v>1950</v>
      </c>
      <c r="H1017" s="37">
        <v>0</v>
      </c>
      <c r="I1017" s="37" t="s">
        <v>1950</v>
      </c>
      <c r="J1017" s="35">
        <v>2000</v>
      </c>
      <c r="K1017" s="35" t="s">
        <v>19</v>
      </c>
      <c r="L1017" s="35" t="s">
        <v>1601</v>
      </c>
      <c r="M1017" s="36">
        <v>43006</v>
      </c>
      <c r="N1017" s="53">
        <v>0</v>
      </c>
      <c r="O1017" s="40">
        <v>0</v>
      </c>
      <c r="P1017" s="35">
        <v>0</v>
      </c>
      <c r="Q1017" s="35" t="s">
        <v>1950</v>
      </c>
      <c r="R1017" s="53">
        <v>1</v>
      </c>
      <c r="S1017" s="53">
        <v>0</v>
      </c>
    </row>
    <row r="1018" spans="1:19" x14ac:dyDescent="0.3">
      <c r="A1018" s="35" t="s">
        <v>1586</v>
      </c>
      <c r="B1018" s="35" t="s">
        <v>12</v>
      </c>
      <c r="C1018" s="35" t="s">
        <v>17</v>
      </c>
      <c r="D1018" s="35">
        <v>66.290000000000006</v>
      </c>
      <c r="E1018" s="39" t="s">
        <v>1950</v>
      </c>
      <c r="F1018" s="37">
        <v>0</v>
      </c>
      <c r="G1018" s="35" t="s">
        <v>1950</v>
      </c>
      <c r="H1018" s="37">
        <v>0</v>
      </c>
      <c r="I1018" s="37" t="s">
        <v>1950</v>
      </c>
      <c r="J1018" s="35">
        <v>2011</v>
      </c>
      <c r="K1018" s="35" t="s">
        <v>1950</v>
      </c>
      <c r="L1018" s="35" t="s">
        <v>1950</v>
      </c>
      <c r="M1018" s="36">
        <v>26208</v>
      </c>
      <c r="N1018" s="53">
        <v>0</v>
      </c>
      <c r="O1018" s="40">
        <v>0</v>
      </c>
      <c r="P1018" s="35">
        <v>0</v>
      </c>
      <c r="Q1018" s="35" t="s">
        <v>1950</v>
      </c>
      <c r="R1018" s="53">
        <v>7</v>
      </c>
      <c r="S1018" s="53">
        <v>0</v>
      </c>
    </row>
    <row r="1019" spans="1:19" x14ac:dyDescent="0.3">
      <c r="A1019" s="35" t="s">
        <v>1586</v>
      </c>
      <c r="B1019" s="35" t="s">
        <v>14</v>
      </c>
      <c r="C1019" s="35" t="s">
        <v>1775</v>
      </c>
      <c r="D1019" s="35">
        <v>1.61</v>
      </c>
      <c r="E1019" s="39" t="s">
        <v>1950</v>
      </c>
      <c r="F1019" s="37">
        <v>0</v>
      </c>
      <c r="G1019" s="35" t="s">
        <v>1950</v>
      </c>
      <c r="H1019" s="37">
        <v>0</v>
      </c>
      <c r="I1019" s="37" t="s">
        <v>1950</v>
      </c>
      <c r="J1019" s="35">
        <v>1988</v>
      </c>
      <c r="K1019" s="35" t="s">
        <v>1950</v>
      </c>
      <c r="L1019" s="35" t="s">
        <v>1950</v>
      </c>
      <c r="M1019" s="36">
        <v>9436</v>
      </c>
      <c r="N1019" s="53">
        <v>0</v>
      </c>
      <c r="O1019" s="40">
        <v>0</v>
      </c>
      <c r="P1019" s="35">
        <v>0</v>
      </c>
      <c r="Q1019" s="35" t="s">
        <v>1950</v>
      </c>
      <c r="R1019" s="53">
        <v>5</v>
      </c>
      <c r="S1019" s="53">
        <v>0</v>
      </c>
    </row>
    <row r="1020" spans="1:19" x14ac:dyDescent="0.3">
      <c r="A1020" s="35" t="s">
        <v>1586</v>
      </c>
      <c r="B1020" s="35" t="s">
        <v>14</v>
      </c>
      <c r="C1020" s="35" t="s">
        <v>17</v>
      </c>
      <c r="D1020" s="35">
        <v>98.55</v>
      </c>
      <c r="E1020" s="39" t="s">
        <v>1950</v>
      </c>
      <c r="F1020" s="37">
        <v>0</v>
      </c>
      <c r="G1020" s="35" t="s">
        <v>1950</v>
      </c>
      <c r="H1020" s="37">
        <v>0</v>
      </c>
      <c r="I1020" s="37" t="s">
        <v>1950</v>
      </c>
      <c r="J1020" s="35">
        <v>2009</v>
      </c>
      <c r="K1020" s="35" t="s">
        <v>1950</v>
      </c>
      <c r="L1020" s="35" t="s">
        <v>1950</v>
      </c>
      <c r="M1020" s="36">
        <v>19916</v>
      </c>
      <c r="N1020" s="53">
        <v>0</v>
      </c>
      <c r="O1020" s="40">
        <v>0</v>
      </c>
      <c r="P1020" s="35">
        <v>0</v>
      </c>
      <c r="Q1020" s="35" t="s">
        <v>1950</v>
      </c>
      <c r="R1020" s="53">
        <v>11</v>
      </c>
      <c r="S1020" s="53">
        <v>0</v>
      </c>
    </row>
    <row r="1021" spans="1:19" x14ac:dyDescent="0.3">
      <c r="A1021" s="35" t="s">
        <v>1586</v>
      </c>
      <c r="B1021" s="35" t="s">
        <v>14</v>
      </c>
      <c r="C1021" s="35" t="s">
        <v>1775</v>
      </c>
      <c r="D1021" s="35">
        <v>118.82</v>
      </c>
      <c r="E1021" s="39" t="s">
        <v>1950</v>
      </c>
      <c r="F1021" s="37">
        <v>0</v>
      </c>
      <c r="G1021" s="35" t="s">
        <v>1950</v>
      </c>
      <c r="H1021" s="37">
        <v>0</v>
      </c>
      <c r="I1021" s="37" t="s">
        <v>1950</v>
      </c>
      <c r="J1021" s="35">
        <v>2002</v>
      </c>
      <c r="K1021" s="35" t="s">
        <v>1950</v>
      </c>
      <c r="L1021" s="35" t="s">
        <v>1950</v>
      </c>
      <c r="M1021" s="36">
        <v>6359</v>
      </c>
      <c r="N1021" s="53">
        <v>0</v>
      </c>
      <c r="O1021" s="40">
        <v>0</v>
      </c>
      <c r="P1021" s="35">
        <v>0</v>
      </c>
      <c r="Q1021" s="35" t="s">
        <v>1950</v>
      </c>
      <c r="R1021" s="53">
        <v>2</v>
      </c>
      <c r="S1021" s="53">
        <v>0</v>
      </c>
    </row>
    <row r="1022" spans="1:19" x14ac:dyDescent="0.3">
      <c r="A1022" s="35" t="s">
        <v>1586</v>
      </c>
      <c r="B1022" s="35" t="s">
        <v>12</v>
      </c>
      <c r="C1022" s="35" t="s">
        <v>1775</v>
      </c>
      <c r="D1022" s="35">
        <v>167.04</v>
      </c>
      <c r="E1022" s="39" t="s">
        <v>1950</v>
      </c>
      <c r="F1022" s="37">
        <v>0</v>
      </c>
      <c r="G1022" s="35" t="s">
        <v>1950</v>
      </c>
      <c r="H1022" s="37">
        <v>0</v>
      </c>
      <c r="I1022" s="37" t="s">
        <v>1950</v>
      </c>
      <c r="J1022" s="35">
        <v>1983</v>
      </c>
      <c r="K1022" s="35" t="s">
        <v>1950</v>
      </c>
      <c r="L1022" s="35" t="s">
        <v>1950</v>
      </c>
      <c r="M1022" s="36">
        <v>5338</v>
      </c>
      <c r="N1022" s="53">
        <v>0</v>
      </c>
      <c r="O1022" s="40">
        <v>0</v>
      </c>
      <c r="P1022" s="35">
        <v>0</v>
      </c>
      <c r="Q1022" s="35" t="s">
        <v>1950</v>
      </c>
      <c r="R1022" s="53">
        <v>8</v>
      </c>
      <c r="S1022" s="53">
        <v>0</v>
      </c>
    </row>
    <row r="1023" spans="1:19" x14ac:dyDescent="0.3">
      <c r="A1023" s="35" t="s">
        <v>1586</v>
      </c>
      <c r="B1023" s="35" t="s">
        <v>14</v>
      </c>
      <c r="C1023" s="35" t="s">
        <v>17</v>
      </c>
      <c r="D1023" s="35">
        <v>152.16999999999999</v>
      </c>
      <c r="E1023" s="39" t="s">
        <v>1950</v>
      </c>
      <c r="F1023" s="37">
        <v>0</v>
      </c>
      <c r="G1023" s="35" t="s">
        <v>1950</v>
      </c>
      <c r="H1023" s="37">
        <v>0</v>
      </c>
      <c r="I1023" s="37" t="s">
        <v>1950</v>
      </c>
      <c r="J1023" s="35">
        <v>1976</v>
      </c>
      <c r="K1023" s="35" t="s">
        <v>1950</v>
      </c>
      <c r="L1023" s="35" t="s">
        <v>1950</v>
      </c>
      <c r="M1023" s="36">
        <v>17884</v>
      </c>
      <c r="N1023" s="53">
        <v>0</v>
      </c>
      <c r="O1023" s="40">
        <v>0</v>
      </c>
      <c r="P1023" s="35">
        <v>0</v>
      </c>
      <c r="Q1023" s="35" t="s">
        <v>1950</v>
      </c>
      <c r="R1023" s="53">
        <v>5</v>
      </c>
      <c r="S1023" s="53">
        <v>0</v>
      </c>
    </row>
    <row r="1024" spans="1:19" x14ac:dyDescent="0.3">
      <c r="A1024" s="35" t="s">
        <v>1586</v>
      </c>
      <c r="B1024" s="35" t="s">
        <v>14</v>
      </c>
      <c r="C1024" s="35" t="s">
        <v>1775</v>
      </c>
      <c r="D1024" s="35">
        <v>109.78</v>
      </c>
      <c r="E1024" s="39" t="s">
        <v>1950</v>
      </c>
      <c r="F1024" s="37">
        <v>0</v>
      </c>
      <c r="G1024" s="35" t="s">
        <v>1950</v>
      </c>
      <c r="H1024" s="37">
        <v>0</v>
      </c>
      <c r="I1024" s="37" t="s">
        <v>1950</v>
      </c>
      <c r="J1024" s="35">
        <v>2009</v>
      </c>
      <c r="K1024" s="35" t="s">
        <v>25</v>
      </c>
      <c r="L1024" s="35" t="s">
        <v>1601</v>
      </c>
      <c r="M1024" s="36">
        <v>6898</v>
      </c>
      <c r="N1024" s="53">
        <v>0</v>
      </c>
      <c r="O1024" s="40">
        <v>0</v>
      </c>
      <c r="P1024" s="35">
        <v>0</v>
      </c>
      <c r="Q1024" s="35" t="s">
        <v>1950</v>
      </c>
      <c r="R1024" s="53">
        <v>10</v>
      </c>
      <c r="S1024" s="53">
        <v>0</v>
      </c>
    </row>
    <row r="1025" spans="1:19" x14ac:dyDescent="0.3">
      <c r="A1025" s="35" t="s">
        <v>1586</v>
      </c>
      <c r="B1025" s="35" t="s">
        <v>14</v>
      </c>
      <c r="C1025" s="35" t="s">
        <v>1775</v>
      </c>
      <c r="D1025" s="35">
        <v>84.56</v>
      </c>
      <c r="E1025" s="39" t="s">
        <v>1950</v>
      </c>
      <c r="F1025" s="37">
        <v>0</v>
      </c>
      <c r="G1025" s="35" t="s">
        <v>1950</v>
      </c>
      <c r="H1025" s="37">
        <v>0</v>
      </c>
      <c r="I1025" s="37" t="s">
        <v>1950</v>
      </c>
      <c r="J1025" s="35">
        <v>1983</v>
      </c>
      <c r="K1025" s="35" t="s">
        <v>25</v>
      </c>
      <c r="L1025" s="35" t="s">
        <v>1603</v>
      </c>
      <c r="M1025" s="36">
        <v>5055</v>
      </c>
      <c r="N1025" s="53">
        <v>0</v>
      </c>
      <c r="O1025" s="40">
        <v>0</v>
      </c>
      <c r="P1025" s="35">
        <v>0</v>
      </c>
      <c r="Q1025" s="35" t="s">
        <v>1950</v>
      </c>
      <c r="R1025" s="53">
        <v>6</v>
      </c>
      <c r="S1025" s="53">
        <v>0</v>
      </c>
    </row>
    <row r="1026" spans="1:19" x14ac:dyDescent="0.3">
      <c r="A1026" s="35" t="s">
        <v>1586</v>
      </c>
      <c r="B1026" s="35" t="s">
        <v>14</v>
      </c>
      <c r="C1026" s="35" t="s">
        <v>17</v>
      </c>
      <c r="D1026" s="35">
        <v>83.45</v>
      </c>
      <c r="E1026" s="39" t="s">
        <v>1950</v>
      </c>
      <c r="F1026" s="37">
        <v>0</v>
      </c>
      <c r="G1026" s="35" t="s">
        <v>1950</v>
      </c>
      <c r="H1026" s="37">
        <v>0</v>
      </c>
      <c r="I1026" s="37" t="s">
        <v>1950</v>
      </c>
      <c r="J1026" s="35">
        <v>2004</v>
      </c>
      <c r="K1026" s="35" t="s">
        <v>1950</v>
      </c>
      <c r="L1026" s="35" t="s">
        <v>1950</v>
      </c>
      <c r="M1026" s="36">
        <v>19516</v>
      </c>
      <c r="N1026" s="53">
        <v>0</v>
      </c>
      <c r="O1026" s="40">
        <v>0</v>
      </c>
      <c r="P1026" s="35">
        <v>0</v>
      </c>
      <c r="Q1026" s="35" t="s">
        <v>1950</v>
      </c>
      <c r="R1026" s="53">
        <v>5</v>
      </c>
      <c r="S1026" s="53">
        <v>0</v>
      </c>
    </row>
    <row r="1027" spans="1:19" x14ac:dyDescent="0.3">
      <c r="A1027" s="35" t="s">
        <v>1586</v>
      </c>
      <c r="B1027" s="35" t="s">
        <v>14</v>
      </c>
      <c r="C1027" s="35" t="s">
        <v>1775</v>
      </c>
      <c r="D1027" s="35">
        <v>53.71</v>
      </c>
      <c r="E1027" s="39" t="s">
        <v>1950</v>
      </c>
      <c r="F1027" s="37">
        <v>0</v>
      </c>
      <c r="G1027" s="35" t="s">
        <v>1950</v>
      </c>
      <c r="H1027" s="37">
        <v>0</v>
      </c>
      <c r="I1027" s="37" t="s">
        <v>1950</v>
      </c>
      <c r="J1027" s="35">
        <v>2017</v>
      </c>
      <c r="K1027" s="35" t="s">
        <v>1950</v>
      </c>
      <c r="L1027" s="35" t="s">
        <v>1950</v>
      </c>
      <c r="M1027" s="36">
        <v>6493</v>
      </c>
      <c r="N1027" s="53">
        <v>0</v>
      </c>
      <c r="O1027" s="40">
        <v>0</v>
      </c>
      <c r="P1027" s="35">
        <v>0</v>
      </c>
      <c r="Q1027" s="35" t="s">
        <v>1950</v>
      </c>
      <c r="R1027" s="53">
        <v>2</v>
      </c>
      <c r="S1027" s="53">
        <v>0</v>
      </c>
    </row>
    <row r="1028" spans="1:19" x14ac:dyDescent="0.3">
      <c r="A1028" s="35" t="s">
        <v>1586</v>
      </c>
      <c r="B1028" s="35" t="s">
        <v>14</v>
      </c>
      <c r="C1028" s="35" t="s">
        <v>1775</v>
      </c>
      <c r="D1028" s="35">
        <v>132.79</v>
      </c>
      <c r="E1028" s="39" t="s">
        <v>1950</v>
      </c>
      <c r="F1028" s="37">
        <v>0</v>
      </c>
      <c r="G1028" s="35" t="s">
        <v>1950</v>
      </c>
      <c r="H1028" s="37">
        <v>0</v>
      </c>
      <c r="I1028" s="37" t="s">
        <v>1950</v>
      </c>
      <c r="J1028" s="35">
        <v>1985</v>
      </c>
      <c r="K1028" s="35" t="s">
        <v>1950</v>
      </c>
      <c r="L1028" s="35" t="s">
        <v>1950</v>
      </c>
      <c r="M1028" s="36">
        <v>6978</v>
      </c>
      <c r="N1028" s="53">
        <v>0</v>
      </c>
      <c r="O1028" s="40">
        <v>0</v>
      </c>
      <c r="P1028" s="35">
        <v>0</v>
      </c>
      <c r="Q1028" s="35" t="s">
        <v>1950</v>
      </c>
      <c r="R1028" s="53">
        <v>6</v>
      </c>
      <c r="S1028" s="53">
        <v>0</v>
      </c>
    </row>
    <row r="1029" spans="1:19" x14ac:dyDescent="0.3">
      <c r="A1029" s="35" t="s">
        <v>1586</v>
      </c>
      <c r="B1029" s="35" t="s">
        <v>14</v>
      </c>
      <c r="C1029" s="35" t="s">
        <v>1775</v>
      </c>
      <c r="D1029" s="35">
        <v>13.65</v>
      </c>
      <c r="E1029" s="39" t="s">
        <v>1950</v>
      </c>
      <c r="F1029" s="37">
        <v>0</v>
      </c>
      <c r="G1029" s="35" t="s">
        <v>1950</v>
      </c>
      <c r="H1029" s="37">
        <v>0</v>
      </c>
      <c r="I1029" s="37" t="s">
        <v>1950</v>
      </c>
      <c r="J1029" s="35">
        <v>1991</v>
      </c>
      <c r="K1029" s="35" t="s">
        <v>1950</v>
      </c>
      <c r="L1029" s="35" t="s">
        <v>1950</v>
      </c>
      <c r="M1029" s="36">
        <v>13101</v>
      </c>
      <c r="N1029" s="53">
        <v>0</v>
      </c>
      <c r="O1029" s="40">
        <v>0</v>
      </c>
      <c r="P1029" s="35">
        <v>0</v>
      </c>
      <c r="Q1029" s="35" t="s">
        <v>1950</v>
      </c>
      <c r="R1029" s="53">
        <v>6</v>
      </c>
      <c r="S1029" s="53">
        <v>0</v>
      </c>
    </row>
    <row r="1030" spans="1:19" x14ac:dyDescent="0.3">
      <c r="A1030" s="35" t="s">
        <v>1586</v>
      </c>
      <c r="B1030" s="35" t="s">
        <v>14</v>
      </c>
      <c r="C1030" s="35" t="s">
        <v>1775</v>
      </c>
      <c r="D1030" s="35">
        <v>173.4</v>
      </c>
      <c r="E1030" s="39" t="s">
        <v>1950</v>
      </c>
      <c r="F1030" s="37">
        <v>0</v>
      </c>
      <c r="G1030" s="35" t="s">
        <v>1950</v>
      </c>
      <c r="H1030" s="37">
        <v>0</v>
      </c>
      <c r="I1030" s="37" t="s">
        <v>1950</v>
      </c>
      <c r="J1030" s="35">
        <v>2015</v>
      </c>
      <c r="K1030" s="35" t="s">
        <v>1950</v>
      </c>
      <c r="L1030" s="35" t="s">
        <v>1950</v>
      </c>
      <c r="M1030" s="36">
        <v>14622</v>
      </c>
      <c r="N1030" s="53">
        <v>0</v>
      </c>
      <c r="O1030" s="40">
        <v>0</v>
      </c>
      <c r="P1030" s="35">
        <v>0</v>
      </c>
      <c r="Q1030" s="35" t="s">
        <v>1950</v>
      </c>
      <c r="R1030" s="53">
        <v>6</v>
      </c>
      <c r="S1030" s="53">
        <v>0</v>
      </c>
    </row>
    <row r="1031" spans="1:19" x14ac:dyDescent="0.3">
      <c r="A1031" s="35" t="s">
        <v>1586</v>
      </c>
      <c r="B1031" s="35" t="s">
        <v>14</v>
      </c>
      <c r="C1031" s="35" t="s">
        <v>1775</v>
      </c>
      <c r="D1031" s="35">
        <v>88.22</v>
      </c>
      <c r="E1031" s="39" t="s">
        <v>1950</v>
      </c>
      <c r="F1031" s="37">
        <v>0</v>
      </c>
      <c r="G1031" s="35" t="s">
        <v>1950</v>
      </c>
      <c r="H1031" s="37">
        <v>0</v>
      </c>
      <c r="I1031" s="37" t="s">
        <v>1950</v>
      </c>
      <c r="J1031" s="35">
        <v>2020</v>
      </c>
      <c r="K1031" s="35" t="s">
        <v>1950</v>
      </c>
      <c r="L1031" s="35" t="s">
        <v>1950</v>
      </c>
      <c r="M1031" s="36">
        <v>18008</v>
      </c>
      <c r="N1031" s="53">
        <v>0</v>
      </c>
      <c r="O1031" s="40">
        <v>0</v>
      </c>
      <c r="P1031" s="35">
        <v>0</v>
      </c>
      <c r="Q1031" s="35" t="s">
        <v>1950</v>
      </c>
      <c r="R1031" s="53">
        <v>1</v>
      </c>
      <c r="S1031" s="53">
        <v>0</v>
      </c>
    </row>
    <row r="1032" spans="1:19" x14ac:dyDescent="0.3">
      <c r="A1032" s="35" t="s">
        <v>1586</v>
      </c>
      <c r="B1032" s="35" t="s">
        <v>14</v>
      </c>
      <c r="C1032" s="35" t="s">
        <v>1775</v>
      </c>
      <c r="D1032" s="35">
        <v>262.95</v>
      </c>
      <c r="E1032" s="39" t="s">
        <v>1950</v>
      </c>
      <c r="F1032" s="37">
        <v>0</v>
      </c>
      <c r="G1032" s="35" t="s">
        <v>1950</v>
      </c>
      <c r="H1032" s="37">
        <v>0</v>
      </c>
      <c r="I1032" s="37" t="s">
        <v>1950</v>
      </c>
      <c r="J1032" s="35">
        <v>2009</v>
      </c>
      <c r="K1032" s="35" t="s">
        <v>1950</v>
      </c>
      <c r="L1032" s="35" t="s">
        <v>1950</v>
      </c>
      <c r="M1032" s="36">
        <v>7783</v>
      </c>
      <c r="N1032" s="53">
        <v>0</v>
      </c>
      <c r="O1032" s="40">
        <v>0</v>
      </c>
      <c r="P1032" s="35">
        <v>0</v>
      </c>
      <c r="Q1032" s="35" t="s">
        <v>1950</v>
      </c>
      <c r="R1032" s="53">
        <v>10</v>
      </c>
      <c r="S1032" s="53">
        <v>0</v>
      </c>
    </row>
    <row r="1033" spans="1:19" x14ac:dyDescent="0.3">
      <c r="A1033" s="35" t="s">
        <v>1586</v>
      </c>
      <c r="B1033" s="35" t="s">
        <v>29</v>
      </c>
      <c r="C1033" s="35" t="s">
        <v>2662</v>
      </c>
      <c r="D1033" s="35">
        <v>169.77</v>
      </c>
      <c r="E1033" s="39" t="s">
        <v>1950</v>
      </c>
      <c r="F1033" s="37">
        <v>0</v>
      </c>
      <c r="G1033" s="35" t="s">
        <v>1950</v>
      </c>
      <c r="H1033" s="37">
        <v>0</v>
      </c>
      <c r="I1033" s="37" t="s">
        <v>1950</v>
      </c>
      <c r="J1033" s="35">
        <v>1985</v>
      </c>
      <c r="K1033" s="35" t="s">
        <v>21</v>
      </c>
      <c r="L1033" s="35" t="s">
        <v>1601</v>
      </c>
      <c r="M1033" s="36">
        <v>51487</v>
      </c>
      <c r="N1033" s="53">
        <v>0</v>
      </c>
      <c r="O1033" s="40">
        <v>0</v>
      </c>
      <c r="P1033" s="35">
        <v>0</v>
      </c>
      <c r="Q1033" s="35" t="s">
        <v>1950</v>
      </c>
      <c r="R1033" s="53">
        <v>1</v>
      </c>
      <c r="S1033" s="53">
        <v>0</v>
      </c>
    </row>
    <row r="1034" spans="1:19" x14ac:dyDescent="0.3">
      <c r="A1034" s="35" t="s">
        <v>1586</v>
      </c>
      <c r="B1034" s="35" t="s">
        <v>14</v>
      </c>
      <c r="C1034" s="35" t="s">
        <v>17</v>
      </c>
      <c r="D1034" s="35">
        <v>105.73</v>
      </c>
      <c r="E1034" s="39" t="s">
        <v>1950</v>
      </c>
      <c r="F1034" s="37">
        <v>0</v>
      </c>
      <c r="G1034" s="35" t="s">
        <v>1950</v>
      </c>
      <c r="H1034" s="37">
        <v>0</v>
      </c>
      <c r="I1034" s="37" t="s">
        <v>1950</v>
      </c>
      <c r="J1034" s="35">
        <v>1985</v>
      </c>
      <c r="K1034" s="35" t="s">
        <v>1950</v>
      </c>
      <c r="L1034" s="35" t="s">
        <v>1950</v>
      </c>
      <c r="M1034" s="36">
        <v>16815</v>
      </c>
      <c r="N1034" s="53">
        <v>0</v>
      </c>
      <c r="O1034" s="40">
        <v>0</v>
      </c>
      <c r="P1034" s="35">
        <v>0</v>
      </c>
      <c r="Q1034" s="35" t="s">
        <v>1950</v>
      </c>
      <c r="R1034" s="53">
        <v>5</v>
      </c>
      <c r="S1034" s="53">
        <v>0</v>
      </c>
    </row>
    <row r="1035" spans="1:19" x14ac:dyDescent="0.3">
      <c r="A1035" s="35" t="s">
        <v>1586</v>
      </c>
      <c r="B1035" s="35" t="s">
        <v>12</v>
      </c>
      <c r="C1035" s="35" t="s">
        <v>17</v>
      </c>
      <c r="D1035" s="35">
        <v>374.96</v>
      </c>
      <c r="E1035" s="39" t="s">
        <v>1950</v>
      </c>
      <c r="F1035" s="37">
        <v>0</v>
      </c>
      <c r="G1035" s="35" t="s">
        <v>1950</v>
      </c>
      <c r="H1035" s="37">
        <v>0</v>
      </c>
      <c r="I1035" s="37" t="s">
        <v>1950</v>
      </c>
      <c r="J1035" s="35">
        <v>2014</v>
      </c>
      <c r="K1035" s="35" t="s">
        <v>19</v>
      </c>
      <c r="L1035" s="35" t="s">
        <v>1603</v>
      </c>
      <c r="M1035" s="36">
        <v>58369</v>
      </c>
      <c r="N1035" s="53">
        <v>0</v>
      </c>
      <c r="O1035" s="40">
        <v>0</v>
      </c>
      <c r="P1035" s="35">
        <v>0</v>
      </c>
      <c r="Q1035" s="35" t="s">
        <v>1950</v>
      </c>
      <c r="R1035" s="53">
        <v>5</v>
      </c>
      <c r="S1035" s="53">
        <v>0</v>
      </c>
    </row>
    <row r="1036" spans="1:19" x14ac:dyDescent="0.3">
      <c r="A1036" s="35" t="s">
        <v>1586</v>
      </c>
      <c r="B1036" s="35" t="s">
        <v>14</v>
      </c>
      <c r="C1036" s="35" t="s">
        <v>17</v>
      </c>
      <c r="D1036" s="35">
        <v>451.93</v>
      </c>
      <c r="E1036" s="39" t="s">
        <v>1950</v>
      </c>
      <c r="F1036" s="37">
        <v>0</v>
      </c>
      <c r="G1036" s="35" t="s">
        <v>1950</v>
      </c>
      <c r="H1036" s="37">
        <v>0</v>
      </c>
      <c r="I1036" s="37" t="s">
        <v>1950</v>
      </c>
      <c r="J1036" s="35">
        <v>1995</v>
      </c>
      <c r="K1036" s="35" t="s">
        <v>1950</v>
      </c>
      <c r="L1036" s="35" t="s">
        <v>1950</v>
      </c>
      <c r="M1036" s="36">
        <v>30809</v>
      </c>
      <c r="N1036" s="53">
        <v>0</v>
      </c>
      <c r="O1036" s="40">
        <v>0</v>
      </c>
      <c r="P1036" s="35">
        <v>0</v>
      </c>
      <c r="Q1036" s="35" t="s">
        <v>1950</v>
      </c>
      <c r="R1036" s="53">
        <v>0</v>
      </c>
      <c r="S1036" s="53">
        <v>0</v>
      </c>
    </row>
    <row r="1037" spans="1:19" x14ac:dyDescent="0.3">
      <c r="A1037" s="35" t="s">
        <v>1586</v>
      </c>
      <c r="B1037" s="35" t="s">
        <v>14</v>
      </c>
      <c r="C1037" s="35" t="s">
        <v>1775</v>
      </c>
      <c r="D1037" s="35">
        <v>9.9600000000000009</v>
      </c>
      <c r="E1037" s="39" t="s">
        <v>1950</v>
      </c>
      <c r="F1037" s="37">
        <v>0</v>
      </c>
      <c r="G1037" s="35" t="s">
        <v>1950</v>
      </c>
      <c r="H1037" s="37">
        <v>0</v>
      </c>
      <c r="I1037" s="37" t="s">
        <v>1950</v>
      </c>
      <c r="J1037" s="35">
        <v>1976</v>
      </c>
      <c r="K1037" s="35" t="s">
        <v>1950</v>
      </c>
      <c r="L1037" s="35" t="s">
        <v>1950</v>
      </c>
      <c r="M1037" s="36">
        <v>14486</v>
      </c>
      <c r="N1037" s="53">
        <v>0</v>
      </c>
      <c r="O1037" s="40">
        <v>0</v>
      </c>
      <c r="P1037" s="35">
        <v>0</v>
      </c>
      <c r="Q1037" s="35" t="s">
        <v>1950</v>
      </c>
      <c r="R1037" s="53">
        <v>18</v>
      </c>
      <c r="S1037" s="53">
        <v>0</v>
      </c>
    </row>
    <row r="1038" spans="1:19" x14ac:dyDescent="0.3">
      <c r="A1038" s="35" t="s">
        <v>1586</v>
      </c>
      <c r="B1038" s="35" t="s">
        <v>12</v>
      </c>
      <c r="C1038" s="35" t="s">
        <v>1775</v>
      </c>
      <c r="D1038" s="35">
        <v>103.95</v>
      </c>
      <c r="E1038" s="39" t="s">
        <v>1950</v>
      </c>
      <c r="F1038" s="37">
        <v>0</v>
      </c>
      <c r="G1038" s="35" t="s">
        <v>1950</v>
      </c>
      <c r="H1038" s="37">
        <v>0</v>
      </c>
      <c r="I1038" s="37" t="s">
        <v>1950</v>
      </c>
      <c r="J1038" s="35">
        <v>2011</v>
      </c>
      <c r="K1038" s="35" t="s">
        <v>25</v>
      </c>
      <c r="L1038" s="35" t="s">
        <v>1608</v>
      </c>
      <c r="M1038" s="36">
        <v>8599</v>
      </c>
      <c r="N1038" s="53">
        <v>0</v>
      </c>
      <c r="O1038" s="40">
        <v>0</v>
      </c>
      <c r="P1038" s="35">
        <v>0</v>
      </c>
      <c r="Q1038" s="35" t="s">
        <v>1950</v>
      </c>
      <c r="R1038" s="53">
        <v>0</v>
      </c>
      <c r="S1038" s="53">
        <v>0</v>
      </c>
    </row>
    <row r="1039" spans="1:19" x14ac:dyDescent="0.3">
      <c r="A1039" s="35" t="s">
        <v>1586</v>
      </c>
      <c r="B1039" s="35" t="s">
        <v>14</v>
      </c>
      <c r="C1039" s="35" t="s">
        <v>1775</v>
      </c>
      <c r="D1039" s="35">
        <v>161.27000000000001</v>
      </c>
      <c r="E1039" s="39" t="s">
        <v>1950</v>
      </c>
      <c r="F1039" s="37">
        <v>0</v>
      </c>
      <c r="G1039" s="35" t="s">
        <v>1950</v>
      </c>
      <c r="H1039" s="37">
        <v>0</v>
      </c>
      <c r="I1039" s="37" t="s">
        <v>1950</v>
      </c>
      <c r="J1039" s="35">
        <v>1995</v>
      </c>
      <c r="K1039" s="35" t="s">
        <v>1950</v>
      </c>
      <c r="L1039" s="35" t="s">
        <v>1950</v>
      </c>
      <c r="M1039" s="36">
        <v>10403</v>
      </c>
      <c r="N1039" s="53">
        <v>0</v>
      </c>
      <c r="O1039" s="40">
        <v>0</v>
      </c>
      <c r="P1039" s="35">
        <v>0</v>
      </c>
      <c r="Q1039" s="35" t="s">
        <v>1950</v>
      </c>
      <c r="R1039" s="53">
        <v>9</v>
      </c>
      <c r="S1039" s="53">
        <v>0</v>
      </c>
    </row>
    <row r="1040" spans="1:19" x14ac:dyDescent="0.3">
      <c r="A1040" s="35" t="s">
        <v>1586</v>
      </c>
      <c r="B1040" s="35" t="s">
        <v>14</v>
      </c>
      <c r="C1040" s="35" t="s">
        <v>1775</v>
      </c>
      <c r="D1040" s="35">
        <v>243.42</v>
      </c>
      <c r="E1040" s="39" t="s">
        <v>1950</v>
      </c>
      <c r="F1040" s="37">
        <v>0</v>
      </c>
      <c r="G1040" s="35" t="s">
        <v>1950</v>
      </c>
      <c r="H1040" s="37">
        <v>0</v>
      </c>
      <c r="I1040" s="37" t="s">
        <v>1950</v>
      </c>
      <c r="J1040" s="35">
        <v>1910</v>
      </c>
      <c r="K1040" s="35" t="s">
        <v>1950</v>
      </c>
      <c r="L1040" s="35" t="s">
        <v>1950</v>
      </c>
      <c r="M1040" s="36">
        <v>5276</v>
      </c>
      <c r="N1040" s="53">
        <v>0</v>
      </c>
      <c r="O1040" s="40">
        <v>0</v>
      </c>
      <c r="P1040" s="35">
        <v>0</v>
      </c>
      <c r="Q1040" s="35" t="s">
        <v>1950</v>
      </c>
      <c r="R1040" s="53">
        <v>0</v>
      </c>
      <c r="S1040" s="53">
        <v>0</v>
      </c>
    </row>
    <row r="1041" spans="1:19" x14ac:dyDescent="0.3">
      <c r="A1041" s="35" t="s">
        <v>1586</v>
      </c>
      <c r="B1041" s="35" t="s">
        <v>8</v>
      </c>
      <c r="C1041" s="35" t="s">
        <v>17</v>
      </c>
      <c r="D1041" s="35">
        <v>133.47999999999999</v>
      </c>
      <c r="E1041" s="39" t="s">
        <v>1950</v>
      </c>
      <c r="F1041" s="37">
        <v>0</v>
      </c>
      <c r="G1041" s="35" t="s">
        <v>1950</v>
      </c>
      <c r="H1041" s="37">
        <v>0</v>
      </c>
      <c r="I1041" s="37" t="s">
        <v>1950</v>
      </c>
      <c r="J1041" s="35">
        <v>1984</v>
      </c>
      <c r="K1041" s="35" t="s">
        <v>1950</v>
      </c>
      <c r="L1041" s="35" t="s">
        <v>1950</v>
      </c>
      <c r="M1041" s="36">
        <v>62543</v>
      </c>
      <c r="N1041" s="53">
        <v>0</v>
      </c>
      <c r="O1041" s="40">
        <v>0</v>
      </c>
      <c r="P1041" s="35">
        <v>0</v>
      </c>
      <c r="Q1041" s="35" t="s">
        <v>1950</v>
      </c>
      <c r="R1041" s="53">
        <v>5</v>
      </c>
      <c r="S1041" s="53">
        <v>0</v>
      </c>
    </row>
    <row r="1042" spans="1:19" x14ac:dyDescent="0.3">
      <c r="A1042" s="35" t="s">
        <v>1586</v>
      </c>
      <c r="B1042" s="35" t="s">
        <v>14</v>
      </c>
      <c r="C1042" s="35" t="s">
        <v>1775</v>
      </c>
      <c r="D1042" s="35">
        <v>231.45</v>
      </c>
      <c r="E1042" s="39" t="s">
        <v>1950</v>
      </c>
      <c r="F1042" s="37">
        <v>0</v>
      </c>
      <c r="G1042" s="35" t="s">
        <v>1950</v>
      </c>
      <c r="H1042" s="37">
        <v>0</v>
      </c>
      <c r="I1042" s="37" t="s">
        <v>1950</v>
      </c>
      <c r="J1042" s="35">
        <v>2004</v>
      </c>
      <c r="K1042" s="35" t="s">
        <v>1950</v>
      </c>
      <c r="L1042" s="35" t="s">
        <v>1950</v>
      </c>
      <c r="M1042" s="36">
        <v>5681</v>
      </c>
      <c r="N1042" s="53">
        <v>0</v>
      </c>
      <c r="O1042" s="40">
        <v>0</v>
      </c>
      <c r="P1042" s="35">
        <v>0</v>
      </c>
      <c r="Q1042" s="35" t="s">
        <v>1950</v>
      </c>
      <c r="R1042" s="53">
        <v>7</v>
      </c>
      <c r="S1042" s="53">
        <v>0</v>
      </c>
    </row>
    <row r="1043" spans="1:19" x14ac:dyDescent="0.3">
      <c r="A1043" s="35" t="s">
        <v>1586</v>
      </c>
      <c r="B1043" s="35" t="s">
        <v>12</v>
      </c>
      <c r="C1043" s="35" t="s">
        <v>17</v>
      </c>
      <c r="D1043" s="35">
        <v>114.91</v>
      </c>
      <c r="E1043" s="39" t="s">
        <v>1950</v>
      </c>
      <c r="F1043" s="37">
        <v>0</v>
      </c>
      <c r="G1043" s="35" t="s">
        <v>1950</v>
      </c>
      <c r="H1043" s="37">
        <v>0</v>
      </c>
      <c r="I1043" s="37" t="s">
        <v>1950</v>
      </c>
      <c r="J1043" s="35">
        <v>1999</v>
      </c>
      <c r="K1043" s="35" t="s">
        <v>1950</v>
      </c>
      <c r="L1043" s="35" t="s">
        <v>1950</v>
      </c>
      <c r="M1043" s="36">
        <v>29796</v>
      </c>
      <c r="N1043" s="53">
        <v>0</v>
      </c>
      <c r="O1043" s="40">
        <v>0</v>
      </c>
      <c r="P1043" s="35">
        <v>0</v>
      </c>
      <c r="Q1043" s="35" t="s">
        <v>1950</v>
      </c>
      <c r="R1043" s="53">
        <v>7</v>
      </c>
      <c r="S1043" s="53">
        <v>0</v>
      </c>
    </row>
    <row r="1044" spans="1:19" x14ac:dyDescent="0.3">
      <c r="A1044" s="35" t="s">
        <v>1586</v>
      </c>
      <c r="B1044" s="35" t="s">
        <v>29</v>
      </c>
      <c r="C1044" s="35" t="s">
        <v>1775</v>
      </c>
      <c r="D1044" s="35">
        <v>99.84</v>
      </c>
      <c r="E1044" s="39" t="s">
        <v>1950</v>
      </c>
      <c r="F1044" s="37">
        <v>0</v>
      </c>
      <c r="G1044" s="35" t="s">
        <v>1950</v>
      </c>
      <c r="H1044" s="37">
        <v>0</v>
      </c>
      <c r="I1044" s="37" t="s">
        <v>1950</v>
      </c>
      <c r="J1044" s="35">
        <v>2014</v>
      </c>
      <c r="K1044" s="35" t="s">
        <v>1950</v>
      </c>
      <c r="L1044" s="35" t="s">
        <v>1950</v>
      </c>
      <c r="M1044" s="36">
        <v>13572</v>
      </c>
      <c r="N1044" s="53">
        <v>0</v>
      </c>
      <c r="O1044" s="40">
        <v>0</v>
      </c>
      <c r="P1044" s="35">
        <v>0</v>
      </c>
      <c r="Q1044" s="35" t="s">
        <v>1950</v>
      </c>
      <c r="R1044" s="53">
        <v>5</v>
      </c>
      <c r="S1044" s="53">
        <v>0</v>
      </c>
    </row>
    <row r="1045" spans="1:19" x14ac:dyDescent="0.3">
      <c r="A1045" s="35" t="s">
        <v>1586</v>
      </c>
      <c r="B1045" s="35" t="s">
        <v>14</v>
      </c>
      <c r="C1045" s="35" t="s">
        <v>1775</v>
      </c>
      <c r="D1045" s="35">
        <v>161.85</v>
      </c>
      <c r="E1045" s="39" t="s">
        <v>1950</v>
      </c>
      <c r="F1045" s="37">
        <v>0</v>
      </c>
      <c r="G1045" s="35" t="s">
        <v>1950</v>
      </c>
      <c r="H1045" s="37">
        <v>0</v>
      </c>
      <c r="I1045" s="37" t="s">
        <v>1950</v>
      </c>
      <c r="J1045" s="35">
        <v>2000</v>
      </c>
      <c r="K1045" s="35" t="s">
        <v>25</v>
      </c>
      <c r="L1045" s="35" t="s">
        <v>1601</v>
      </c>
      <c r="M1045" s="36">
        <v>11427</v>
      </c>
      <c r="N1045" s="53">
        <v>0</v>
      </c>
      <c r="O1045" s="40">
        <v>0</v>
      </c>
      <c r="P1045" s="35">
        <v>0</v>
      </c>
      <c r="Q1045" s="35" t="s">
        <v>1950</v>
      </c>
      <c r="R1045" s="53">
        <v>0</v>
      </c>
      <c r="S1045" s="53">
        <v>0</v>
      </c>
    </row>
    <row r="1046" spans="1:19" x14ac:dyDescent="0.3">
      <c r="A1046" s="35" t="s">
        <v>1586</v>
      </c>
      <c r="B1046" s="35" t="s">
        <v>12</v>
      </c>
      <c r="C1046" s="35" t="s">
        <v>1775</v>
      </c>
      <c r="D1046" s="35">
        <v>489.06</v>
      </c>
      <c r="E1046" s="39" t="s">
        <v>1950</v>
      </c>
      <c r="F1046" s="37">
        <v>0</v>
      </c>
      <c r="G1046" s="35" t="s">
        <v>1950</v>
      </c>
      <c r="H1046" s="37">
        <v>0</v>
      </c>
      <c r="I1046" s="37" t="s">
        <v>1950</v>
      </c>
      <c r="J1046" s="35">
        <v>1997</v>
      </c>
      <c r="K1046" s="35" t="s">
        <v>1950</v>
      </c>
      <c r="L1046" s="35" t="s">
        <v>1950</v>
      </c>
      <c r="M1046" s="36">
        <v>9544</v>
      </c>
      <c r="N1046" s="53">
        <v>0</v>
      </c>
      <c r="O1046" s="40">
        <v>0</v>
      </c>
      <c r="P1046" s="35">
        <v>0</v>
      </c>
      <c r="Q1046" s="35" t="s">
        <v>1950</v>
      </c>
      <c r="R1046" s="53">
        <v>13</v>
      </c>
      <c r="S1046" s="53">
        <v>0</v>
      </c>
    </row>
    <row r="1047" spans="1:19" x14ac:dyDescent="0.3">
      <c r="A1047" s="35" t="s">
        <v>1586</v>
      </c>
      <c r="B1047" s="35" t="s">
        <v>14</v>
      </c>
      <c r="C1047" s="35" t="s">
        <v>1775</v>
      </c>
      <c r="D1047" s="35">
        <v>57.38</v>
      </c>
      <c r="E1047" s="39" t="s">
        <v>1950</v>
      </c>
      <c r="F1047" s="37">
        <v>0</v>
      </c>
      <c r="G1047" s="35" t="s">
        <v>1950</v>
      </c>
      <c r="H1047" s="37">
        <v>0</v>
      </c>
      <c r="I1047" s="37" t="s">
        <v>1950</v>
      </c>
      <c r="J1047" s="35">
        <v>2020</v>
      </c>
      <c r="K1047" s="35" t="s">
        <v>19</v>
      </c>
      <c r="L1047" s="35" t="s">
        <v>1602</v>
      </c>
      <c r="M1047" s="36">
        <v>22087</v>
      </c>
      <c r="N1047" s="53">
        <v>0</v>
      </c>
      <c r="O1047" s="40">
        <v>0</v>
      </c>
      <c r="P1047" s="35">
        <v>0</v>
      </c>
      <c r="Q1047" s="35" t="s">
        <v>1950</v>
      </c>
      <c r="R1047" s="53">
        <v>1</v>
      </c>
      <c r="S1047" s="53">
        <v>0</v>
      </c>
    </row>
    <row r="1048" spans="1:19" x14ac:dyDescent="0.3">
      <c r="A1048" s="35" t="s">
        <v>1586</v>
      </c>
      <c r="B1048" s="35" t="s">
        <v>14</v>
      </c>
      <c r="C1048" s="35" t="s">
        <v>17</v>
      </c>
      <c r="D1048" s="35">
        <v>168.17</v>
      </c>
      <c r="E1048" s="39" t="s">
        <v>1950</v>
      </c>
      <c r="F1048" s="37">
        <v>0</v>
      </c>
      <c r="G1048" s="35" t="s">
        <v>1950</v>
      </c>
      <c r="H1048" s="37">
        <v>0</v>
      </c>
      <c r="I1048" s="37" t="s">
        <v>1950</v>
      </c>
      <c r="J1048" s="35">
        <v>2003</v>
      </c>
      <c r="K1048" s="35" t="s">
        <v>1950</v>
      </c>
      <c r="L1048" s="35" t="s">
        <v>1950</v>
      </c>
      <c r="M1048" s="36">
        <v>33846</v>
      </c>
      <c r="N1048" s="53">
        <v>0</v>
      </c>
      <c r="O1048" s="40">
        <v>0</v>
      </c>
      <c r="P1048" s="35">
        <v>0</v>
      </c>
      <c r="Q1048" s="35" t="s">
        <v>1950</v>
      </c>
      <c r="R1048" s="53">
        <v>14</v>
      </c>
      <c r="S1048" s="53">
        <v>0</v>
      </c>
    </row>
    <row r="1049" spans="1:19" x14ac:dyDescent="0.3">
      <c r="A1049" s="35" t="s">
        <v>1586</v>
      </c>
      <c r="B1049" s="35" t="s">
        <v>8</v>
      </c>
      <c r="C1049" s="35" t="s">
        <v>17</v>
      </c>
      <c r="D1049" s="35">
        <v>172.04</v>
      </c>
      <c r="E1049" s="39" t="s">
        <v>1950</v>
      </c>
      <c r="F1049" s="37">
        <v>0</v>
      </c>
      <c r="G1049" s="35" t="s">
        <v>1950</v>
      </c>
      <c r="H1049" s="37">
        <v>0</v>
      </c>
      <c r="I1049" s="37" t="s">
        <v>1950</v>
      </c>
      <c r="J1049" s="35">
        <v>1974</v>
      </c>
      <c r="K1049" s="35" t="s">
        <v>25</v>
      </c>
      <c r="L1049" s="35" t="s">
        <v>1601</v>
      </c>
      <c r="M1049" s="36">
        <v>49701</v>
      </c>
      <c r="N1049" s="53">
        <v>0</v>
      </c>
      <c r="O1049" s="40">
        <v>0</v>
      </c>
      <c r="P1049" s="35">
        <v>0</v>
      </c>
      <c r="Q1049" s="35" t="s">
        <v>1950</v>
      </c>
      <c r="R1049" s="53">
        <v>3</v>
      </c>
      <c r="S1049" s="53">
        <v>0</v>
      </c>
    </row>
    <row r="1050" spans="1:19" x14ac:dyDescent="0.3">
      <c r="A1050" s="35" t="s">
        <v>1586</v>
      </c>
      <c r="B1050" s="35" t="s">
        <v>8</v>
      </c>
      <c r="C1050" s="35" t="s">
        <v>17</v>
      </c>
      <c r="D1050" s="35">
        <v>225.74</v>
      </c>
      <c r="E1050" s="39" t="s">
        <v>1950</v>
      </c>
      <c r="F1050" s="37">
        <v>0</v>
      </c>
      <c r="G1050" s="35" t="s">
        <v>1950</v>
      </c>
      <c r="H1050" s="37">
        <v>0</v>
      </c>
      <c r="I1050" s="37" t="s">
        <v>1950</v>
      </c>
      <c r="J1050" s="35">
        <v>1988</v>
      </c>
      <c r="K1050" s="35" t="s">
        <v>47</v>
      </c>
      <c r="L1050" s="35" t="s">
        <v>1601</v>
      </c>
      <c r="M1050" s="36">
        <v>19096</v>
      </c>
      <c r="N1050" s="53">
        <v>0</v>
      </c>
      <c r="O1050" s="40">
        <v>0</v>
      </c>
      <c r="P1050" s="35">
        <v>0</v>
      </c>
      <c r="Q1050" s="35" t="s">
        <v>1950</v>
      </c>
      <c r="R1050" s="53">
        <v>18</v>
      </c>
      <c r="S1050" s="53">
        <v>0</v>
      </c>
    </row>
    <row r="1051" spans="1:19" x14ac:dyDescent="0.3">
      <c r="A1051" s="35" t="s">
        <v>1586</v>
      </c>
      <c r="B1051" s="35" t="s">
        <v>14</v>
      </c>
      <c r="C1051" s="35" t="s">
        <v>2662</v>
      </c>
      <c r="D1051" s="35">
        <v>220.6</v>
      </c>
      <c r="E1051" s="39" t="s">
        <v>1950</v>
      </c>
      <c r="F1051" s="37">
        <v>0</v>
      </c>
      <c r="G1051" s="35" t="s">
        <v>1950</v>
      </c>
      <c r="H1051" s="37">
        <v>0</v>
      </c>
      <c r="I1051" s="37" t="s">
        <v>1950</v>
      </c>
      <c r="J1051" s="35">
        <v>1991</v>
      </c>
      <c r="K1051" s="35" t="s">
        <v>25</v>
      </c>
      <c r="L1051" s="35" t="s">
        <v>1601</v>
      </c>
      <c r="M1051" s="36">
        <v>490516</v>
      </c>
      <c r="N1051" s="53">
        <v>0</v>
      </c>
      <c r="O1051" s="40">
        <v>0</v>
      </c>
      <c r="P1051" s="35">
        <v>0</v>
      </c>
      <c r="Q1051" s="35" t="s">
        <v>1950</v>
      </c>
      <c r="R1051" s="53">
        <v>6</v>
      </c>
      <c r="S1051" s="53">
        <v>0</v>
      </c>
    </row>
    <row r="1052" spans="1:19" x14ac:dyDescent="0.3">
      <c r="A1052" s="35" t="s">
        <v>1586</v>
      </c>
      <c r="B1052" s="35" t="s">
        <v>14</v>
      </c>
      <c r="C1052" s="35" t="s">
        <v>17</v>
      </c>
      <c r="D1052" s="35">
        <v>142.28</v>
      </c>
      <c r="E1052" s="39" t="s">
        <v>1950</v>
      </c>
      <c r="F1052" s="37">
        <v>0</v>
      </c>
      <c r="G1052" s="35" t="s">
        <v>1950</v>
      </c>
      <c r="H1052" s="37">
        <v>0</v>
      </c>
      <c r="I1052" s="37" t="s">
        <v>1950</v>
      </c>
      <c r="J1052" s="35">
        <v>1982</v>
      </c>
      <c r="K1052" s="35" t="s">
        <v>1950</v>
      </c>
      <c r="L1052" s="35" t="s">
        <v>1950</v>
      </c>
      <c r="M1052" s="36">
        <v>15153</v>
      </c>
      <c r="N1052" s="53">
        <v>0</v>
      </c>
      <c r="O1052" s="40">
        <v>0</v>
      </c>
      <c r="P1052" s="35">
        <v>0</v>
      </c>
      <c r="Q1052" s="35" t="s">
        <v>1950</v>
      </c>
      <c r="R1052" s="53">
        <v>15</v>
      </c>
      <c r="S1052" s="53">
        <v>0</v>
      </c>
    </row>
    <row r="1053" spans="1:19" x14ac:dyDescent="0.3">
      <c r="A1053" s="35" t="s">
        <v>1586</v>
      </c>
      <c r="B1053" s="35" t="s">
        <v>14</v>
      </c>
      <c r="C1053" s="35" t="s">
        <v>1775</v>
      </c>
      <c r="D1053" s="35">
        <v>41.93</v>
      </c>
      <c r="E1053" s="39" t="s">
        <v>1950</v>
      </c>
      <c r="F1053" s="37">
        <v>0</v>
      </c>
      <c r="G1053" s="35" t="s">
        <v>1950</v>
      </c>
      <c r="H1053" s="37">
        <v>0</v>
      </c>
      <c r="I1053" s="37" t="s">
        <v>1950</v>
      </c>
      <c r="J1053" s="35">
        <v>2002</v>
      </c>
      <c r="K1053" s="35" t="s">
        <v>1950</v>
      </c>
      <c r="L1053" s="35" t="s">
        <v>1950</v>
      </c>
      <c r="M1053" s="36">
        <v>5834</v>
      </c>
      <c r="N1053" s="53">
        <v>0</v>
      </c>
      <c r="O1053" s="40">
        <v>0</v>
      </c>
      <c r="P1053" s="35">
        <v>0</v>
      </c>
      <c r="Q1053" s="35" t="s">
        <v>1950</v>
      </c>
      <c r="R1053" s="53">
        <v>1</v>
      </c>
      <c r="S1053" s="53">
        <v>0</v>
      </c>
    </row>
    <row r="1054" spans="1:19" x14ac:dyDescent="0.3">
      <c r="A1054" s="35" t="s">
        <v>1586</v>
      </c>
      <c r="B1054" s="35" t="s">
        <v>29</v>
      </c>
      <c r="C1054" s="35" t="s">
        <v>1775</v>
      </c>
      <c r="D1054" s="35">
        <v>213.44</v>
      </c>
      <c r="E1054" s="39" t="s">
        <v>1950</v>
      </c>
      <c r="F1054" s="37">
        <v>0</v>
      </c>
      <c r="G1054" s="35" t="s">
        <v>1950</v>
      </c>
      <c r="H1054" s="37">
        <v>0</v>
      </c>
      <c r="I1054" s="37" t="s">
        <v>1950</v>
      </c>
      <c r="J1054" s="35">
        <v>2014</v>
      </c>
      <c r="K1054" s="35" t="s">
        <v>1950</v>
      </c>
      <c r="L1054" s="35" t="s">
        <v>1950</v>
      </c>
      <c r="M1054" s="36">
        <v>6962</v>
      </c>
      <c r="N1054" s="53">
        <v>0</v>
      </c>
      <c r="O1054" s="40">
        <v>0</v>
      </c>
      <c r="P1054" s="35">
        <v>0</v>
      </c>
      <c r="Q1054" s="35" t="s">
        <v>1950</v>
      </c>
      <c r="R1054" s="53">
        <v>7</v>
      </c>
      <c r="S1054" s="53">
        <v>0</v>
      </c>
    </row>
    <row r="1055" spans="1:19" x14ac:dyDescent="0.3">
      <c r="A1055" s="35" t="s">
        <v>1586</v>
      </c>
      <c r="B1055" s="35" t="s">
        <v>14</v>
      </c>
      <c r="C1055" s="35" t="s">
        <v>17</v>
      </c>
      <c r="D1055" s="35">
        <v>147.99</v>
      </c>
      <c r="E1055" s="39" t="s">
        <v>1950</v>
      </c>
      <c r="F1055" s="37">
        <v>0</v>
      </c>
      <c r="G1055" s="35" t="s">
        <v>1950</v>
      </c>
      <c r="H1055" s="37">
        <v>0</v>
      </c>
      <c r="I1055" s="37" t="s">
        <v>1950</v>
      </c>
      <c r="J1055" s="35">
        <v>2014</v>
      </c>
      <c r="K1055" s="35" t="s">
        <v>19</v>
      </c>
      <c r="L1055" s="35" t="s">
        <v>1600</v>
      </c>
      <c r="M1055" s="36">
        <v>68839</v>
      </c>
      <c r="N1055" s="53">
        <v>0</v>
      </c>
      <c r="O1055" s="40">
        <v>0</v>
      </c>
      <c r="P1055" s="35">
        <v>0</v>
      </c>
      <c r="Q1055" s="35" t="s">
        <v>1950</v>
      </c>
      <c r="R1055" s="53">
        <v>5</v>
      </c>
      <c r="S1055" s="53">
        <v>0</v>
      </c>
    </row>
    <row r="1056" spans="1:19" x14ac:dyDescent="0.3">
      <c r="A1056" s="35" t="s">
        <v>1586</v>
      </c>
      <c r="B1056" s="35" t="s">
        <v>12</v>
      </c>
      <c r="C1056" s="35" t="s">
        <v>17</v>
      </c>
      <c r="D1056" s="35">
        <v>122.47</v>
      </c>
      <c r="E1056" s="39" t="s">
        <v>1950</v>
      </c>
      <c r="F1056" s="37">
        <v>0</v>
      </c>
      <c r="G1056" s="35" t="s">
        <v>1950</v>
      </c>
      <c r="H1056" s="37">
        <v>0</v>
      </c>
      <c r="I1056" s="37" t="s">
        <v>1950</v>
      </c>
      <c r="J1056" s="35">
        <v>1978</v>
      </c>
      <c r="K1056" s="35" t="s">
        <v>25</v>
      </c>
      <c r="L1056" s="35" t="s">
        <v>1601</v>
      </c>
      <c r="M1056" s="36">
        <v>29985</v>
      </c>
      <c r="N1056" s="53">
        <v>0</v>
      </c>
      <c r="O1056" s="40">
        <v>0</v>
      </c>
      <c r="P1056" s="35">
        <v>0</v>
      </c>
      <c r="Q1056" s="35" t="s">
        <v>1950</v>
      </c>
      <c r="R1056" s="53">
        <v>3</v>
      </c>
      <c r="S1056" s="53">
        <v>0</v>
      </c>
    </row>
    <row r="1057" spans="1:19" x14ac:dyDescent="0.3">
      <c r="A1057" s="35" t="s">
        <v>1586</v>
      </c>
      <c r="B1057" s="35" t="s">
        <v>14</v>
      </c>
      <c r="C1057" s="35" t="s">
        <v>17</v>
      </c>
      <c r="D1057" s="35">
        <v>237.65</v>
      </c>
      <c r="E1057" s="39" t="s">
        <v>1950</v>
      </c>
      <c r="F1057" s="37">
        <v>0</v>
      </c>
      <c r="G1057" s="35" t="s">
        <v>1950</v>
      </c>
      <c r="H1057" s="37">
        <v>0</v>
      </c>
      <c r="I1057" s="37" t="s">
        <v>1950</v>
      </c>
      <c r="J1057" s="35">
        <v>1992</v>
      </c>
      <c r="K1057" s="35" t="s">
        <v>21</v>
      </c>
      <c r="L1057" s="35" t="s">
        <v>1601</v>
      </c>
      <c r="M1057" s="36">
        <v>100125</v>
      </c>
      <c r="N1057" s="53">
        <v>0</v>
      </c>
      <c r="O1057" s="40">
        <v>0</v>
      </c>
      <c r="P1057" s="35">
        <v>0</v>
      </c>
      <c r="Q1057" s="35" t="s">
        <v>1950</v>
      </c>
      <c r="R1057" s="53">
        <v>5</v>
      </c>
      <c r="S1057" s="53">
        <v>0</v>
      </c>
    </row>
    <row r="1058" spans="1:19" x14ac:dyDescent="0.3">
      <c r="A1058" s="35" t="s">
        <v>1586</v>
      </c>
      <c r="B1058" s="35" t="s">
        <v>14</v>
      </c>
      <c r="C1058" s="35" t="s">
        <v>1775</v>
      </c>
      <c r="D1058" s="35">
        <v>134.21</v>
      </c>
      <c r="E1058" s="39" t="s">
        <v>1950</v>
      </c>
      <c r="F1058" s="37">
        <v>0</v>
      </c>
      <c r="G1058" s="35" t="s">
        <v>1950</v>
      </c>
      <c r="H1058" s="37">
        <v>0</v>
      </c>
      <c r="I1058" s="37" t="s">
        <v>1950</v>
      </c>
      <c r="J1058" s="35">
        <v>1991</v>
      </c>
      <c r="K1058" s="35" t="s">
        <v>1950</v>
      </c>
      <c r="L1058" s="35" t="s">
        <v>1950</v>
      </c>
      <c r="M1058" s="36">
        <v>11315</v>
      </c>
      <c r="N1058" s="53">
        <v>0</v>
      </c>
      <c r="O1058" s="40">
        <v>0</v>
      </c>
      <c r="P1058" s="35">
        <v>0</v>
      </c>
      <c r="Q1058" s="35" t="s">
        <v>1950</v>
      </c>
      <c r="R1058" s="53">
        <v>2</v>
      </c>
      <c r="S1058" s="53">
        <v>0</v>
      </c>
    </row>
    <row r="1059" spans="1:19" x14ac:dyDescent="0.3">
      <c r="A1059" s="35" t="s">
        <v>1586</v>
      </c>
      <c r="B1059" s="35" t="s">
        <v>14</v>
      </c>
      <c r="C1059" s="35" t="s">
        <v>17</v>
      </c>
      <c r="D1059" s="35">
        <v>712.95</v>
      </c>
      <c r="E1059" s="39" t="s">
        <v>1950</v>
      </c>
      <c r="F1059" s="37">
        <v>0</v>
      </c>
      <c r="G1059" s="35" t="s">
        <v>1950</v>
      </c>
      <c r="H1059" s="37">
        <v>0</v>
      </c>
      <c r="I1059" s="37" t="s">
        <v>1950</v>
      </c>
      <c r="J1059" s="35">
        <v>1995</v>
      </c>
      <c r="K1059" s="35" t="s">
        <v>21</v>
      </c>
      <c r="L1059" s="35" t="s">
        <v>1601</v>
      </c>
      <c r="M1059" s="36">
        <v>30469</v>
      </c>
      <c r="N1059" s="53">
        <v>0</v>
      </c>
      <c r="O1059" s="40">
        <v>0</v>
      </c>
      <c r="P1059" s="35">
        <v>0</v>
      </c>
      <c r="Q1059" s="35" t="s">
        <v>1950</v>
      </c>
      <c r="R1059" s="53">
        <v>5</v>
      </c>
      <c r="S1059" s="53">
        <v>0</v>
      </c>
    </row>
    <row r="1060" spans="1:19" x14ac:dyDescent="0.3">
      <c r="A1060" s="35" t="s">
        <v>1586</v>
      </c>
      <c r="B1060" s="35" t="s">
        <v>14</v>
      </c>
      <c r="C1060" s="35" t="s">
        <v>1775</v>
      </c>
      <c r="D1060" s="35">
        <v>1508.82</v>
      </c>
      <c r="E1060" s="39" t="s">
        <v>1950</v>
      </c>
      <c r="F1060" s="37">
        <v>0</v>
      </c>
      <c r="G1060" s="35" t="s">
        <v>1950</v>
      </c>
      <c r="H1060" s="37">
        <v>0</v>
      </c>
      <c r="I1060" s="37" t="s">
        <v>1950</v>
      </c>
      <c r="J1060" s="35">
        <v>1997</v>
      </c>
      <c r="K1060" s="35" t="s">
        <v>1950</v>
      </c>
      <c r="L1060" s="35" t="s">
        <v>1950</v>
      </c>
      <c r="M1060" s="36">
        <v>8905</v>
      </c>
      <c r="N1060" s="53">
        <v>0</v>
      </c>
      <c r="O1060" s="40">
        <v>0</v>
      </c>
      <c r="P1060" s="35">
        <v>0</v>
      </c>
      <c r="Q1060" s="35" t="s">
        <v>1950</v>
      </c>
      <c r="R1060" s="53">
        <v>23</v>
      </c>
      <c r="S1060" s="53">
        <v>0</v>
      </c>
    </row>
    <row r="1061" spans="1:19" x14ac:dyDescent="0.3">
      <c r="A1061" s="35" t="s">
        <v>1586</v>
      </c>
      <c r="B1061" s="35" t="s">
        <v>29</v>
      </c>
      <c r="C1061" s="35" t="s">
        <v>1775</v>
      </c>
      <c r="D1061" s="35">
        <v>254.89</v>
      </c>
      <c r="E1061" s="39" t="s">
        <v>1950</v>
      </c>
      <c r="F1061" s="37">
        <v>0</v>
      </c>
      <c r="G1061" s="35" t="s">
        <v>1950</v>
      </c>
      <c r="H1061" s="37">
        <v>0</v>
      </c>
      <c r="I1061" s="37" t="s">
        <v>1950</v>
      </c>
      <c r="J1061" s="35">
        <v>2016</v>
      </c>
      <c r="K1061" s="35" t="s">
        <v>1950</v>
      </c>
      <c r="L1061" s="35" t="s">
        <v>1950</v>
      </c>
      <c r="M1061" s="36">
        <v>7093</v>
      </c>
      <c r="N1061" s="53">
        <v>0</v>
      </c>
      <c r="O1061" s="40">
        <v>0</v>
      </c>
      <c r="P1061" s="35">
        <v>0</v>
      </c>
      <c r="Q1061" s="35" t="s">
        <v>1950</v>
      </c>
      <c r="R1061" s="53">
        <v>3</v>
      </c>
      <c r="S1061" s="53">
        <v>0</v>
      </c>
    </row>
    <row r="1062" spans="1:19" x14ac:dyDescent="0.3">
      <c r="A1062" s="35" t="s">
        <v>1586</v>
      </c>
      <c r="B1062" s="35" t="s">
        <v>14</v>
      </c>
      <c r="C1062" s="35" t="s">
        <v>17</v>
      </c>
      <c r="D1062" s="35">
        <v>167.68</v>
      </c>
      <c r="E1062" s="39" t="s">
        <v>1950</v>
      </c>
      <c r="F1062" s="37">
        <v>0</v>
      </c>
      <c r="G1062" s="35" t="s">
        <v>1950</v>
      </c>
      <c r="H1062" s="37">
        <v>0</v>
      </c>
      <c r="I1062" s="37" t="s">
        <v>1950</v>
      </c>
      <c r="J1062" s="35">
        <v>1986</v>
      </c>
      <c r="K1062" s="35" t="s">
        <v>19</v>
      </c>
      <c r="L1062" s="35" t="s">
        <v>1601</v>
      </c>
      <c r="M1062" s="36">
        <v>95696</v>
      </c>
      <c r="N1062" s="53">
        <v>0</v>
      </c>
      <c r="O1062" s="40">
        <v>0</v>
      </c>
      <c r="P1062" s="35">
        <v>0</v>
      </c>
      <c r="Q1062" s="35" t="s">
        <v>1950</v>
      </c>
      <c r="R1062" s="53">
        <v>6</v>
      </c>
      <c r="S1062" s="53">
        <v>0</v>
      </c>
    </row>
    <row r="1063" spans="1:19" x14ac:dyDescent="0.3">
      <c r="A1063" s="35" t="s">
        <v>1586</v>
      </c>
      <c r="B1063" s="35" t="s">
        <v>14</v>
      </c>
      <c r="C1063" s="35" t="s">
        <v>17</v>
      </c>
      <c r="D1063" s="35">
        <v>217.27</v>
      </c>
      <c r="E1063" s="39" t="s">
        <v>1950</v>
      </c>
      <c r="F1063" s="37">
        <v>0</v>
      </c>
      <c r="G1063" s="35" t="s">
        <v>1950</v>
      </c>
      <c r="H1063" s="37">
        <v>0</v>
      </c>
      <c r="I1063" s="37" t="s">
        <v>1950</v>
      </c>
      <c r="J1063" s="35">
        <v>2000</v>
      </c>
      <c r="K1063" s="35" t="s">
        <v>19</v>
      </c>
      <c r="L1063" s="35" t="s">
        <v>1601</v>
      </c>
      <c r="M1063" s="36">
        <v>187345</v>
      </c>
      <c r="N1063" s="53">
        <v>0</v>
      </c>
      <c r="O1063" s="40">
        <v>0</v>
      </c>
      <c r="P1063" s="35">
        <v>0</v>
      </c>
      <c r="Q1063" s="35" t="s">
        <v>1950</v>
      </c>
      <c r="R1063" s="53">
        <v>7</v>
      </c>
      <c r="S1063" s="53">
        <v>0</v>
      </c>
    </row>
    <row r="1064" spans="1:19" x14ac:dyDescent="0.3">
      <c r="A1064" s="35" t="s">
        <v>1586</v>
      </c>
      <c r="B1064" s="35" t="s">
        <v>14</v>
      </c>
      <c r="C1064" s="35" t="s">
        <v>1775</v>
      </c>
      <c r="D1064" s="35">
        <v>92.37</v>
      </c>
      <c r="E1064" s="39" t="s">
        <v>1950</v>
      </c>
      <c r="F1064" s="37">
        <v>0</v>
      </c>
      <c r="G1064" s="35" t="s">
        <v>1950</v>
      </c>
      <c r="H1064" s="37">
        <v>0</v>
      </c>
      <c r="I1064" s="37" t="s">
        <v>1950</v>
      </c>
      <c r="J1064" s="35">
        <v>1994</v>
      </c>
      <c r="K1064" s="35" t="s">
        <v>1950</v>
      </c>
      <c r="L1064" s="35" t="s">
        <v>1950</v>
      </c>
      <c r="M1064" s="36">
        <v>7816</v>
      </c>
      <c r="N1064" s="53">
        <v>0</v>
      </c>
      <c r="O1064" s="40">
        <v>0</v>
      </c>
      <c r="P1064" s="35">
        <v>0</v>
      </c>
      <c r="Q1064" s="35" t="s">
        <v>1950</v>
      </c>
      <c r="R1064" s="53">
        <v>0</v>
      </c>
      <c r="S1064" s="53">
        <v>0</v>
      </c>
    </row>
    <row r="1065" spans="1:19" x14ac:dyDescent="0.3">
      <c r="A1065" s="35" t="s">
        <v>1586</v>
      </c>
      <c r="B1065" s="35" t="s">
        <v>14</v>
      </c>
      <c r="C1065" s="35" t="s">
        <v>1775</v>
      </c>
      <c r="D1065" s="35">
        <v>165.29</v>
      </c>
      <c r="E1065" s="39" t="s">
        <v>1950</v>
      </c>
      <c r="F1065" s="37">
        <v>0</v>
      </c>
      <c r="G1065" s="35" t="s">
        <v>1950</v>
      </c>
      <c r="H1065" s="37">
        <v>0</v>
      </c>
      <c r="I1065" s="37" t="s">
        <v>1950</v>
      </c>
      <c r="J1065" s="35">
        <v>1994</v>
      </c>
      <c r="K1065" s="35" t="s">
        <v>1950</v>
      </c>
      <c r="L1065" s="35" t="s">
        <v>1950</v>
      </c>
      <c r="M1065" s="36">
        <v>7816</v>
      </c>
      <c r="N1065" s="53">
        <v>0</v>
      </c>
      <c r="O1065" s="40">
        <v>0</v>
      </c>
      <c r="P1065" s="35">
        <v>0</v>
      </c>
      <c r="Q1065" s="35" t="s">
        <v>1950</v>
      </c>
      <c r="R1065" s="53">
        <v>0</v>
      </c>
      <c r="S1065" s="53">
        <v>0</v>
      </c>
    </row>
    <row r="1066" spans="1:19" x14ac:dyDescent="0.3">
      <c r="A1066" s="35" t="s">
        <v>1586</v>
      </c>
      <c r="B1066" s="35" t="s">
        <v>14</v>
      </c>
      <c r="C1066" s="35" t="s">
        <v>1775</v>
      </c>
      <c r="D1066" s="35">
        <v>430.4</v>
      </c>
      <c r="E1066" s="39" t="s">
        <v>1950</v>
      </c>
      <c r="F1066" s="37">
        <v>0</v>
      </c>
      <c r="G1066" s="35" t="s">
        <v>1950</v>
      </c>
      <c r="H1066" s="37">
        <v>0</v>
      </c>
      <c r="I1066" s="37" t="s">
        <v>1950</v>
      </c>
      <c r="J1066" s="35">
        <v>1994</v>
      </c>
      <c r="K1066" s="35" t="s">
        <v>1950</v>
      </c>
      <c r="L1066" s="35" t="s">
        <v>1950</v>
      </c>
      <c r="M1066" s="36">
        <v>8760</v>
      </c>
      <c r="N1066" s="53">
        <v>0</v>
      </c>
      <c r="O1066" s="40">
        <v>0</v>
      </c>
      <c r="P1066" s="35">
        <v>0</v>
      </c>
      <c r="Q1066" s="35" t="s">
        <v>1950</v>
      </c>
      <c r="R1066" s="53">
        <v>0</v>
      </c>
      <c r="S1066" s="53">
        <v>0</v>
      </c>
    </row>
    <row r="1067" spans="1:19" x14ac:dyDescent="0.3">
      <c r="A1067" s="35" t="s">
        <v>1586</v>
      </c>
      <c r="B1067" s="35" t="s">
        <v>14</v>
      </c>
      <c r="C1067" s="35" t="s">
        <v>1775</v>
      </c>
      <c r="D1067" s="35">
        <v>114.68</v>
      </c>
      <c r="E1067" s="39" t="s">
        <v>1950</v>
      </c>
      <c r="F1067" s="37">
        <v>0</v>
      </c>
      <c r="G1067" s="35" t="s">
        <v>1950</v>
      </c>
      <c r="H1067" s="37">
        <v>0</v>
      </c>
      <c r="I1067" s="37" t="s">
        <v>1950</v>
      </c>
      <c r="J1067" s="35">
        <v>2009</v>
      </c>
      <c r="K1067" s="35" t="s">
        <v>21</v>
      </c>
      <c r="L1067" s="35" t="s">
        <v>1606</v>
      </c>
      <c r="M1067" s="36">
        <v>14647</v>
      </c>
      <c r="N1067" s="53">
        <v>0</v>
      </c>
      <c r="O1067" s="40">
        <v>0</v>
      </c>
      <c r="P1067" s="35">
        <v>0</v>
      </c>
      <c r="Q1067" s="35" t="s">
        <v>1950</v>
      </c>
      <c r="R1067" s="53">
        <v>8</v>
      </c>
      <c r="S1067" s="53">
        <v>0</v>
      </c>
    </row>
    <row r="1068" spans="1:19" x14ac:dyDescent="0.3">
      <c r="A1068" s="35" t="s">
        <v>1586</v>
      </c>
      <c r="B1068" s="35" t="s">
        <v>14</v>
      </c>
      <c r="C1068" s="35" t="s">
        <v>17</v>
      </c>
      <c r="D1068" s="35">
        <v>149.88999999999999</v>
      </c>
      <c r="E1068" s="39" t="s">
        <v>1950</v>
      </c>
      <c r="F1068" s="37">
        <v>0</v>
      </c>
      <c r="G1068" s="35" t="s">
        <v>1950</v>
      </c>
      <c r="H1068" s="37">
        <v>0</v>
      </c>
      <c r="I1068" s="37" t="s">
        <v>1950</v>
      </c>
      <c r="J1068" s="35">
        <v>2017</v>
      </c>
      <c r="K1068" s="35" t="s">
        <v>19</v>
      </c>
      <c r="L1068" s="35" t="s">
        <v>1600</v>
      </c>
      <c r="M1068" s="36">
        <v>28189</v>
      </c>
      <c r="N1068" s="53">
        <v>0</v>
      </c>
      <c r="O1068" s="40">
        <v>0</v>
      </c>
      <c r="P1068" s="35">
        <v>0</v>
      </c>
      <c r="Q1068" s="35" t="s">
        <v>1950</v>
      </c>
      <c r="R1068" s="53">
        <v>5</v>
      </c>
      <c r="S1068" s="53">
        <v>0</v>
      </c>
    </row>
    <row r="1069" spans="1:19" x14ac:dyDescent="0.3">
      <c r="A1069" s="35" t="s">
        <v>1586</v>
      </c>
      <c r="B1069" s="35" t="s">
        <v>12</v>
      </c>
      <c r="C1069" s="35" t="s">
        <v>1775</v>
      </c>
      <c r="D1069" s="35">
        <v>121.72</v>
      </c>
      <c r="E1069" s="39" t="s">
        <v>1950</v>
      </c>
      <c r="F1069" s="37">
        <v>0</v>
      </c>
      <c r="G1069" s="35" t="s">
        <v>1950</v>
      </c>
      <c r="H1069" s="37">
        <v>0</v>
      </c>
      <c r="I1069" s="37" t="s">
        <v>1950</v>
      </c>
      <c r="J1069" s="35">
        <v>2017</v>
      </c>
      <c r="K1069" s="35" t="s">
        <v>2663</v>
      </c>
      <c r="L1069" s="35" t="s">
        <v>1950</v>
      </c>
      <c r="M1069" s="36">
        <v>5800</v>
      </c>
      <c r="N1069" s="53">
        <v>0</v>
      </c>
      <c r="O1069" s="40">
        <v>0</v>
      </c>
      <c r="P1069" s="35">
        <v>0</v>
      </c>
      <c r="Q1069" s="35" t="s">
        <v>1950</v>
      </c>
      <c r="R1069" s="53">
        <v>2</v>
      </c>
      <c r="S1069" s="53">
        <v>0</v>
      </c>
    </row>
    <row r="1070" spans="1:19" x14ac:dyDescent="0.3">
      <c r="A1070" s="35" t="s">
        <v>1586</v>
      </c>
      <c r="B1070" s="35" t="s">
        <v>14</v>
      </c>
      <c r="C1070" s="35" t="s">
        <v>17</v>
      </c>
      <c r="D1070" s="35">
        <v>213.32</v>
      </c>
      <c r="E1070" s="39" t="s">
        <v>1950</v>
      </c>
      <c r="F1070" s="37">
        <v>0</v>
      </c>
      <c r="G1070" s="35" t="s">
        <v>1950</v>
      </c>
      <c r="H1070" s="37">
        <v>0</v>
      </c>
      <c r="I1070" s="37" t="s">
        <v>1950</v>
      </c>
      <c r="J1070" s="35">
        <v>2014</v>
      </c>
      <c r="K1070" s="35" t="s">
        <v>21</v>
      </c>
      <c r="L1070" s="35" t="s">
        <v>1600</v>
      </c>
      <c r="M1070" s="36">
        <v>62328</v>
      </c>
      <c r="N1070" s="53">
        <v>0</v>
      </c>
      <c r="O1070" s="40">
        <v>0</v>
      </c>
      <c r="P1070" s="35">
        <v>0</v>
      </c>
      <c r="Q1070" s="35" t="s">
        <v>1950</v>
      </c>
      <c r="R1070" s="53">
        <v>0</v>
      </c>
      <c r="S1070" s="53">
        <v>0</v>
      </c>
    </row>
    <row r="1071" spans="1:19" x14ac:dyDescent="0.3">
      <c r="A1071" s="35" t="s">
        <v>1586</v>
      </c>
      <c r="B1071" s="35" t="s">
        <v>14</v>
      </c>
      <c r="C1071" s="35" t="s">
        <v>2662</v>
      </c>
      <c r="D1071" s="35">
        <v>138.66999999999999</v>
      </c>
      <c r="E1071" s="39" t="s">
        <v>1950</v>
      </c>
      <c r="F1071" s="37">
        <v>0</v>
      </c>
      <c r="G1071" s="35" t="s">
        <v>1950</v>
      </c>
      <c r="H1071" s="37">
        <v>0</v>
      </c>
      <c r="I1071" s="37" t="s">
        <v>1950</v>
      </c>
      <c r="J1071" s="35">
        <v>1970</v>
      </c>
      <c r="K1071" s="35" t="s">
        <v>1950</v>
      </c>
      <c r="L1071" s="35" t="s">
        <v>1950</v>
      </c>
      <c r="M1071" s="36">
        <v>84229</v>
      </c>
      <c r="N1071" s="53">
        <v>0</v>
      </c>
      <c r="O1071" s="40">
        <v>0</v>
      </c>
      <c r="P1071" s="35">
        <v>0</v>
      </c>
      <c r="Q1071" s="35" t="s">
        <v>1950</v>
      </c>
      <c r="R1071" s="53">
        <v>20</v>
      </c>
      <c r="S1071" s="53">
        <v>0</v>
      </c>
    </row>
    <row r="1072" spans="1:19" x14ac:dyDescent="0.3">
      <c r="A1072" s="35" t="s">
        <v>1586</v>
      </c>
      <c r="B1072" s="35" t="s">
        <v>14</v>
      </c>
      <c r="C1072" s="35" t="s">
        <v>1775</v>
      </c>
      <c r="D1072" s="35">
        <v>154.83000000000001</v>
      </c>
      <c r="E1072" s="39" t="s">
        <v>1950</v>
      </c>
      <c r="F1072" s="37">
        <v>0</v>
      </c>
      <c r="G1072" s="35" t="s">
        <v>1950</v>
      </c>
      <c r="H1072" s="37">
        <v>0</v>
      </c>
      <c r="I1072" s="37" t="s">
        <v>1950</v>
      </c>
      <c r="J1072" s="35">
        <v>1900</v>
      </c>
      <c r="K1072" s="35" t="s">
        <v>19</v>
      </c>
      <c r="L1072" s="35" t="s">
        <v>1601</v>
      </c>
      <c r="M1072" s="36">
        <v>7948</v>
      </c>
      <c r="N1072" s="53">
        <v>0</v>
      </c>
      <c r="O1072" s="40">
        <v>0</v>
      </c>
      <c r="P1072" s="35">
        <v>0</v>
      </c>
      <c r="Q1072" s="35" t="s">
        <v>1950</v>
      </c>
      <c r="R1072" s="53">
        <v>7</v>
      </c>
      <c r="S1072" s="53">
        <v>0</v>
      </c>
    </row>
    <row r="1073" spans="1:19" x14ac:dyDescent="0.3">
      <c r="A1073" s="35" t="s">
        <v>1586</v>
      </c>
      <c r="B1073" s="35" t="s">
        <v>12</v>
      </c>
      <c r="C1073" s="35" t="s">
        <v>1775</v>
      </c>
      <c r="D1073" s="35">
        <v>343.45</v>
      </c>
      <c r="E1073" s="39" t="s">
        <v>1950</v>
      </c>
      <c r="F1073" s="37">
        <v>0</v>
      </c>
      <c r="G1073" s="35" t="s">
        <v>1950</v>
      </c>
      <c r="H1073" s="37">
        <v>0</v>
      </c>
      <c r="I1073" s="37" t="s">
        <v>1950</v>
      </c>
      <c r="J1073" s="35">
        <v>2013</v>
      </c>
      <c r="K1073" s="35" t="s">
        <v>2663</v>
      </c>
      <c r="L1073" s="35" t="s">
        <v>1950</v>
      </c>
      <c r="M1073" s="36">
        <v>5103</v>
      </c>
      <c r="N1073" s="53">
        <v>0</v>
      </c>
      <c r="O1073" s="40">
        <v>0</v>
      </c>
      <c r="P1073" s="35">
        <v>0</v>
      </c>
      <c r="Q1073" s="35" t="s">
        <v>1950</v>
      </c>
      <c r="R1073" s="53">
        <v>6</v>
      </c>
      <c r="S1073" s="53">
        <v>0</v>
      </c>
    </row>
    <row r="1074" spans="1:19" x14ac:dyDescent="0.3">
      <c r="A1074" s="35" t="s">
        <v>1586</v>
      </c>
      <c r="B1074" s="35" t="s">
        <v>12</v>
      </c>
      <c r="C1074" s="35" t="s">
        <v>1775</v>
      </c>
      <c r="D1074" s="35">
        <v>304.14999999999998</v>
      </c>
      <c r="E1074" s="39" t="s">
        <v>1950</v>
      </c>
      <c r="F1074" s="37">
        <v>0</v>
      </c>
      <c r="G1074" s="35" t="s">
        <v>1950</v>
      </c>
      <c r="H1074" s="37">
        <v>0</v>
      </c>
      <c r="I1074" s="37" t="s">
        <v>1950</v>
      </c>
      <c r="J1074" s="35">
        <v>2018</v>
      </c>
      <c r="K1074" s="35" t="s">
        <v>2663</v>
      </c>
      <c r="L1074" s="35" t="s">
        <v>1950</v>
      </c>
      <c r="M1074" s="36">
        <v>4662</v>
      </c>
      <c r="N1074" s="53">
        <v>0</v>
      </c>
      <c r="O1074" s="40">
        <v>0</v>
      </c>
      <c r="P1074" s="35">
        <v>0</v>
      </c>
      <c r="Q1074" s="35" t="s">
        <v>1950</v>
      </c>
      <c r="R1074" s="53">
        <v>2</v>
      </c>
      <c r="S1074" s="53">
        <v>0</v>
      </c>
    </row>
    <row r="1075" spans="1:19" x14ac:dyDescent="0.3">
      <c r="A1075" s="35" t="s">
        <v>1586</v>
      </c>
      <c r="B1075" s="35" t="s">
        <v>14</v>
      </c>
      <c r="C1075" s="35" t="s">
        <v>17</v>
      </c>
      <c r="D1075" s="35">
        <v>145.51</v>
      </c>
      <c r="E1075" s="39" t="s">
        <v>1950</v>
      </c>
      <c r="F1075" s="37">
        <v>0</v>
      </c>
      <c r="G1075" s="35" t="s">
        <v>1950</v>
      </c>
      <c r="H1075" s="37">
        <v>0</v>
      </c>
      <c r="I1075" s="37" t="s">
        <v>1950</v>
      </c>
      <c r="J1075" s="35">
        <v>1999</v>
      </c>
      <c r="K1075" s="35" t="s">
        <v>25</v>
      </c>
      <c r="L1075" s="35" t="s">
        <v>1601</v>
      </c>
      <c r="M1075" s="36">
        <v>17815</v>
      </c>
      <c r="N1075" s="53">
        <v>0</v>
      </c>
      <c r="O1075" s="40">
        <v>0</v>
      </c>
      <c r="P1075" s="35">
        <v>0</v>
      </c>
      <c r="Q1075" s="35" t="s">
        <v>1950</v>
      </c>
      <c r="R1075" s="53">
        <v>5</v>
      </c>
      <c r="S1075" s="53">
        <v>0</v>
      </c>
    </row>
    <row r="1076" spans="1:19" x14ac:dyDescent="0.3">
      <c r="A1076" s="35" t="s">
        <v>1586</v>
      </c>
      <c r="B1076" s="35" t="s">
        <v>12</v>
      </c>
      <c r="C1076" s="35" t="s">
        <v>1775</v>
      </c>
      <c r="D1076" s="35">
        <v>338.49</v>
      </c>
      <c r="E1076" s="39" t="s">
        <v>1950</v>
      </c>
      <c r="F1076" s="37">
        <v>0</v>
      </c>
      <c r="G1076" s="35" t="s">
        <v>1950</v>
      </c>
      <c r="H1076" s="37">
        <v>0</v>
      </c>
      <c r="I1076" s="37" t="s">
        <v>1950</v>
      </c>
      <c r="J1076" s="35">
        <v>2000</v>
      </c>
      <c r="K1076" s="35" t="s">
        <v>1950</v>
      </c>
      <c r="L1076" s="35" t="s">
        <v>1950</v>
      </c>
      <c r="M1076" s="36">
        <v>10110</v>
      </c>
      <c r="N1076" s="53">
        <v>0</v>
      </c>
      <c r="O1076" s="40">
        <v>0</v>
      </c>
      <c r="P1076" s="35">
        <v>0</v>
      </c>
      <c r="Q1076" s="35" t="s">
        <v>1950</v>
      </c>
      <c r="R1076" s="53">
        <v>15</v>
      </c>
      <c r="S1076" s="53">
        <v>0</v>
      </c>
    </row>
    <row r="1077" spans="1:19" x14ac:dyDescent="0.3">
      <c r="A1077" s="35" t="s">
        <v>1586</v>
      </c>
      <c r="B1077" s="35" t="s">
        <v>14</v>
      </c>
      <c r="C1077" s="35" t="s">
        <v>17</v>
      </c>
      <c r="D1077" s="35">
        <v>144.1</v>
      </c>
      <c r="E1077" s="39" t="s">
        <v>1950</v>
      </c>
      <c r="F1077" s="37">
        <v>0</v>
      </c>
      <c r="G1077" s="35" t="s">
        <v>1950</v>
      </c>
      <c r="H1077" s="37">
        <v>0</v>
      </c>
      <c r="I1077" s="37" t="s">
        <v>1950</v>
      </c>
      <c r="J1077" s="35">
        <v>1991</v>
      </c>
      <c r="K1077" s="35" t="s">
        <v>1950</v>
      </c>
      <c r="L1077" s="35" t="s">
        <v>1950</v>
      </c>
      <c r="M1077" s="36">
        <v>28835</v>
      </c>
      <c r="N1077" s="53">
        <v>0</v>
      </c>
      <c r="O1077" s="40">
        <v>0</v>
      </c>
      <c r="P1077" s="35">
        <v>0</v>
      </c>
      <c r="Q1077" s="35" t="s">
        <v>1950</v>
      </c>
      <c r="R1077" s="53">
        <v>10</v>
      </c>
      <c r="S1077" s="53">
        <v>0</v>
      </c>
    </row>
    <row r="1078" spans="1:19" x14ac:dyDescent="0.3">
      <c r="A1078" s="35" t="s">
        <v>1586</v>
      </c>
      <c r="B1078" s="35" t="s">
        <v>14</v>
      </c>
      <c r="C1078" s="35" t="s">
        <v>1775</v>
      </c>
      <c r="D1078" s="35">
        <v>287.08</v>
      </c>
      <c r="E1078" s="39" t="s">
        <v>1950</v>
      </c>
      <c r="F1078" s="37">
        <v>0</v>
      </c>
      <c r="G1078" s="35" t="s">
        <v>1950</v>
      </c>
      <c r="H1078" s="37">
        <v>0</v>
      </c>
      <c r="I1078" s="37" t="s">
        <v>1950</v>
      </c>
      <c r="J1078" s="35">
        <v>2000</v>
      </c>
      <c r="K1078" s="35" t="s">
        <v>1950</v>
      </c>
      <c r="L1078" s="35" t="s">
        <v>1950</v>
      </c>
      <c r="M1078" s="36">
        <v>8625</v>
      </c>
      <c r="N1078" s="53">
        <v>0</v>
      </c>
      <c r="O1078" s="40">
        <v>0</v>
      </c>
      <c r="P1078" s="35">
        <v>0</v>
      </c>
      <c r="Q1078" s="35" t="s">
        <v>1950</v>
      </c>
      <c r="R1078" s="53">
        <v>0</v>
      </c>
      <c r="S1078" s="53">
        <v>0</v>
      </c>
    </row>
    <row r="1079" spans="1:19" x14ac:dyDescent="0.3">
      <c r="A1079" s="35" t="s">
        <v>1586</v>
      </c>
      <c r="B1079" s="35" t="s">
        <v>14</v>
      </c>
      <c r="C1079" s="35" t="s">
        <v>17</v>
      </c>
      <c r="D1079" s="35">
        <v>47.47</v>
      </c>
      <c r="E1079" s="39" t="s">
        <v>1950</v>
      </c>
      <c r="F1079" s="37">
        <v>0</v>
      </c>
      <c r="G1079" s="35" t="s">
        <v>1950</v>
      </c>
      <c r="H1079" s="37">
        <v>0</v>
      </c>
      <c r="I1079" s="37" t="s">
        <v>1950</v>
      </c>
      <c r="J1079" s="35">
        <v>2009</v>
      </c>
      <c r="K1079" s="35" t="s">
        <v>1950</v>
      </c>
      <c r="L1079" s="35" t="s">
        <v>1950</v>
      </c>
      <c r="M1079" s="36">
        <v>20211</v>
      </c>
      <c r="N1079" s="53">
        <v>0</v>
      </c>
      <c r="O1079" s="40">
        <v>0</v>
      </c>
      <c r="P1079" s="35">
        <v>0</v>
      </c>
      <c r="Q1079" s="35" t="s">
        <v>1950</v>
      </c>
      <c r="R1079" s="53">
        <v>8</v>
      </c>
      <c r="S1079" s="53">
        <v>0</v>
      </c>
    </row>
    <row r="1080" spans="1:19" x14ac:dyDescent="0.3">
      <c r="A1080" s="35" t="s">
        <v>1586</v>
      </c>
      <c r="B1080" s="35" t="s">
        <v>12</v>
      </c>
      <c r="C1080" s="35" t="s">
        <v>2662</v>
      </c>
      <c r="D1080" s="35">
        <v>228.83</v>
      </c>
      <c r="E1080" s="39" t="s">
        <v>1950</v>
      </c>
      <c r="F1080" s="37">
        <v>0</v>
      </c>
      <c r="G1080" s="35" t="s">
        <v>1950</v>
      </c>
      <c r="H1080" s="37">
        <v>0</v>
      </c>
      <c r="I1080" s="37" t="s">
        <v>1950</v>
      </c>
      <c r="J1080" s="35">
        <v>2002</v>
      </c>
      <c r="K1080" s="35" t="s">
        <v>19</v>
      </c>
      <c r="L1080" s="35" t="s">
        <v>1601</v>
      </c>
      <c r="M1080" s="36">
        <v>106584</v>
      </c>
      <c r="N1080" s="53">
        <v>0</v>
      </c>
      <c r="O1080" s="40">
        <v>0</v>
      </c>
      <c r="P1080" s="35">
        <v>0</v>
      </c>
      <c r="Q1080" s="35" t="s">
        <v>1950</v>
      </c>
      <c r="R1080" s="53">
        <v>3</v>
      </c>
      <c r="S1080" s="53">
        <v>0</v>
      </c>
    </row>
    <row r="1081" spans="1:19" x14ac:dyDescent="0.3">
      <c r="A1081" s="35" t="s">
        <v>1586</v>
      </c>
      <c r="B1081" s="35" t="s">
        <v>14</v>
      </c>
      <c r="C1081" s="35" t="s">
        <v>1775</v>
      </c>
      <c r="D1081" s="35">
        <v>227.26</v>
      </c>
      <c r="E1081" s="39" t="s">
        <v>1950</v>
      </c>
      <c r="F1081" s="37">
        <v>0</v>
      </c>
      <c r="G1081" s="35" t="s">
        <v>1950</v>
      </c>
      <c r="H1081" s="37">
        <v>0</v>
      </c>
      <c r="I1081" s="37" t="s">
        <v>1950</v>
      </c>
      <c r="J1081" s="35">
        <v>2013</v>
      </c>
      <c r="K1081" s="35" t="s">
        <v>21</v>
      </c>
      <c r="L1081" s="35" t="s">
        <v>1601</v>
      </c>
      <c r="M1081" s="36">
        <v>13121</v>
      </c>
      <c r="N1081" s="53">
        <v>0</v>
      </c>
      <c r="O1081" s="40">
        <v>0</v>
      </c>
      <c r="P1081" s="35">
        <v>0</v>
      </c>
      <c r="Q1081" s="35" t="s">
        <v>1950</v>
      </c>
      <c r="R1081" s="53">
        <v>4</v>
      </c>
      <c r="S1081" s="53">
        <v>0</v>
      </c>
    </row>
    <row r="1082" spans="1:19" x14ac:dyDescent="0.3">
      <c r="A1082" s="35" t="s">
        <v>1586</v>
      </c>
      <c r="B1082" s="35" t="s">
        <v>14</v>
      </c>
      <c r="C1082" s="35" t="s">
        <v>17</v>
      </c>
      <c r="D1082" s="35">
        <v>471.23</v>
      </c>
      <c r="E1082" s="39" t="s">
        <v>1950</v>
      </c>
      <c r="F1082" s="37">
        <v>0</v>
      </c>
      <c r="G1082" s="35" t="s">
        <v>1950</v>
      </c>
      <c r="H1082" s="37">
        <v>0</v>
      </c>
      <c r="I1082" s="37" t="s">
        <v>1950</v>
      </c>
      <c r="J1082" s="35">
        <v>1990</v>
      </c>
      <c r="K1082" s="35" t="s">
        <v>21</v>
      </c>
      <c r="L1082" s="35" t="s">
        <v>1601</v>
      </c>
      <c r="M1082" s="36">
        <v>15267</v>
      </c>
      <c r="N1082" s="53">
        <v>0</v>
      </c>
      <c r="O1082" s="40">
        <v>0</v>
      </c>
      <c r="P1082" s="35">
        <v>0</v>
      </c>
      <c r="Q1082" s="35" t="s">
        <v>1950</v>
      </c>
      <c r="R1082" s="53">
        <v>4</v>
      </c>
      <c r="S1082" s="53">
        <v>0</v>
      </c>
    </row>
    <row r="1083" spans="1:19" x14ac:dyDescent="0.3">
      <c r="A1083" s="35" t="s">
        <v>1586</v>
      </c>
      <c r="B1083" s="35" t="s">
        <v>29</v>
      </c>
      <c r="C1083" s="35" t="s">
        <v>1775</v>
      </c>
      <c r="D1083" s="35">
        <v>230.83</v>
      </c>
      <c r="E1083" s="39" t="s">
        <v>1950</v>
      </c>
      <c r="F1083" s="37">
        <v>0</v>
      </c>
      <c r="G1083" s="35" t="s">
        <v>1950</v>
      </c>
      <c r="H1083" s="37">
        <v>0</v>
      </c>
      <c r="I1083" s="37" t="s">
        <v>1950</v>
      </c>
      <c r="J1083" s="35">
        <v>2013</v>
      </c>
      <c r="K1083" s="35" t="s">
        <v>1950</v>
      </c>
      <c r="L1083" s="35" t="s">
        <v>1950</v>
      </c>
      <c r="M1083" s="36">
        <v>11584</v>
      </c>
      <c r="N1083" s="53">
        <v>0</v>
      </c>
      <c r="O1083" s="40">
        <v>0</v>
      </c>
      <c r="P1083" s="35">
        <v>0</v>
      </c>
      <c r="Q1083" s="35" t="s">
        <v>1950</v>
      </c>
      <c r="R1083" s="53">
        <v>7</v>
      </c>
      <c r="S1083" s="53">
        <v>0</v>
      </c>
    </row>
    <row r="1084" spans="1:19" x14ac:dyDescent="0.3">
      <c r="A1084" s="35" t="s">
        <v>1586</v>
      </c>
      <c r="B1084" s="35" t="s">
        <v>14</v>
      </c>
      <c r="C1084" s="35" t="s">
        <v>1775</v>
      </c>
      <c r="D1084" s="35">
        <v>100.56</v>
      </c>
      <c r="E1084" s="39" t="s">
        <v>1950</v>
      </c>
      <c r="F1084" s="37">
        <v>0</v>
      </c>
      <c r="G1084" s="35" t="s">
        <v>1950</v>
      </c>
      <c r="H1084" s="37">
        <v>0</v>
      </c>
      <c r="I1084" s="37" t="s">
        <v>1950</v>
      </c>
      <c r="J1084" s="35">
        <v>1998</v>
      </c>
      <c r="K1084" s="35" t="s">
        <v>19</v>
      </c>
      <c r="L1084" s="35" t="s">
        <v>1601</v>
      </c>
      <c r="M1084" s="36">
        <v>9882</v>
      </c>
      <c r="N1084" s="53">
        <v>0</v>
      </c>
      <c r="O1084" s="40">
        <v>0</v>
      </c>
      <c r="P1084" s="35">
        <v>0</v>
      </c>
      <c r="Q1084" s="35" t="s">
        <v>1950</v>
      </c>
      <c r="R1084" s="53">
        <v>2</v>
      </c>
      <c r="S1084" s="53">
        <v>0</v>
      </c>
    </row>
    <row r="1085" spans="1:19" x14ac:dyDescent="0.3">
      <c r="A1085" s="35" t="s">
        <v>1586</v>
      </c>
      <c r="B1085" s="35" t="s">
        <v>12</v>
      </c>
      <c r="C1085" s="35" t="s">
        <v>17</v>
      </c>
      <c r="D1085" s="35">
        <v>549.75</v>
      </c>
      <c r="E1085" s="39" t="s">
        <v>1950</v>
      </c>
      <c r="F1085" s="37">
        <v>0</v>
      </c>
      <c r="G1085" s="35" t="s">
        <v>1950</v>
      </c>
      <c r="H1085" s="37">
        <v>0</v>
      </c>
      <c r="I1085" s="37" t="s">
        <v>1950</v>
      </c>
      <c r="J1085" s="35">
        <v>2012</v>
      </c>
      <c r="K1085" s="35" t="s">
        <v>25</v>
      </c>
      <c r="L1085" s="35" t="s">
        <v>1601</v>
      </c>
      <c r="M1085" s="36">
        <v>26974</v>
      </c>
      <c r="N1085" s="53">
        <v>0</v>
      </c>
      <c r="O1085" s="40">
        <v>0</v>
      </c>
      <c r="P1085" s="35">
        <v>0</v>
      </c>
      <c r="Q1085" s="35" t="s">
        <v>1950</v>
      </c>
      <c r="R1085" s="53">
        <v>2</v>
      </c>
      <c r="S1085" s="53">
        <v>0</v>
      </c>
    </row>
    <row r="1086" spans="1:19" x14ac:dyDescent="0.3">
      <c r="A1086" s="35" t="s">
        <v>1586</v>
      </c>
      <c r="B1086" s="35" t="s">
        <v>12</v>
      </c>
      <c r="C1086" s="35" t="s">
        <v>17</v>
      </c>
      <c r="D1086" s="35">
        <v>321</v>
      </c>
      <c r="E1086" s="39" t="s">
        <v>1950</v>
      </c>
      <c r="F1086" s="37">
        <v>0</v>
      </c>
      <c r="G1086" s="35" t="s">
        <v>1950</v>
      </c>
      <c r="H1086" s="37">
        <v>0</v>
      </c>
      <c r="I1086" s="37" t="s">
        <v>1950</v>
      </c>
      <c r="J1086" s="35">
        <v>2005</v>
      </c>
      <c r="K1086" s="35" t="s">
        <v>47</v>
      </c>
      <c r="L1086" s="35" t="s">
        <v>1601</v>
      </c>
      <c r="M1086" s="36">
        <v>94393</v>
      </c>
      <c r="N1086" s="53">
        <v>0</v>
      </c>
      <c r="O1086" s="40">
        <v>0</v>
      </c>
      <c r="P1086" s="35">
        <v>0</v>
      </c>
      <c r="Q1086" s="35" t="s">
        <v>1950</v>
      </c>
      <c r="R1086" s="53">
        <v>4</v>
      </c>
      <c r="S1086" s="53">
        <v>0</v>
      </c>
    </row>
    <row r="1087" spans="1:19" x14ac:dyDescent="0.3">
      <c r="A1087" s="35" t="s">
        <v>1586</v>
      </c>
      <c r="B1087" s="35" t="s">
        <v>14</v>
      </c>
      <c r="C1087" s="35" t="s">
        <v>17</v>
      </c>
      <c r="D1087" s="35">
        <v>329.97</v>
      </c>
      <c r="E1087" s="39" t="s">
        <v>1950</v>
      </c>
      <c r="F1087" s="37">
        <v>0</v>
      </c>
      <c r="G1087" s="35" t="s">
        <v>1950</v>
      </c>
      <c r="H1087" s="37">
        <v>0</v>
      </c>
      <c r="I1087" s="37" t="s">
        <v>1950</v>
      </c>
      <c r="J1087" s="35">
        <v>1986</v>
      </c>
      <c r="K1087" s="35" t="s">
        <v>1950</v>
      </c>
      <c r="L1087" s="35" t="s">
        <v>1950</v>
      </c>
      <c r="M1087" s="36">
        <v>27810</v>
      </c>
      <c r="N1087" s="53">
        <v>0</v>
      </c>
      <c r="O1087" s="40">
        <v>0</v>
      </c>
      <c r="P1087" s="35">
        <v>0</v>
      </c>
      <c r="Q1087" s="35" t="s">
        <v>1950</v>
      </c>
      <c r="R1087" s="53">
        <v>11</v>
      </c>
      <c r="S1087" s="53">
        <v>0</v>
      </c>
    </row>
    <row r="1088" spans="1:19" x14ac:dyDescent="0.3">
      <c r="A1088" s="35" t="s">
        <v>1586</v>
      </c>
      <c r="B1088" s="35" t="s">
        <v>14</v>
      </c>
      <c r="C1088" s="35" t="s">
        <v>1775</v>
      </c>
      <c r="D1088" s="35">
        <v>90.78</v>
      </c>
      <c r="E1088" s="39" t="s">
        <v>1950</v>
      </c>
      <c r="F1088" s="37">
        <v>0</v>
      </c>
      <c r="G1088" s="35" t="s">
        <v>1950</v>
      </c>
      <c r="H1088" s="37">
        <v>0</v>
      </c>
      <c r="I1088" s="37" t="s">
        <v>1950</v>
      </c>
      <c r="J1088" s="35">
        <v>2017</v>
      </c>
      <c r="K1088" s="35" t="s">
        <v>25</v>
      </c>
      <c r="L1088" s="35" t="s">
        <v>1598</v>
      </c>
      <c r="M1088" s="36">
        <v>5000</v>
      </c>
      <c r="N1088" s="53">
        <v>0</v>
      </c>
      <c r="O1088" s="40">
        <v>0</v>
      </c>
      <c r="P1088" s="35">
        <v>0</v>
      </c>
      <c r="Q1088" s="35" t="s">
        <v>1950</v>
      </c>
      <c r="R1088" s="53">
        <v>2</v>
      </c>
      <c r="S1088" s="53">
        <v>0</v>
      </c>
    </row>
    <row r="1089" spans="1:19" x14ac:dyDescent="0.3">
      <c r="A1089" s="35" t="s">
        <v>1586</v>
      </c>
      <c r="B1089" s="35" t="s">
        <v>14</v>
      </c>
      <c r="C1089" s="35" t="s">
        <v>17</v>
      </c>
      <c r="D1089" s="35">
        <v>145.29</v>
      </c>
      <c r="E1089" s="39" t="s">
        <v>1950</v>
      </c>
      <c r="F1089" s="37">
        <v>0</v>
      </c>
      <c r="G1089" s="35" t="s">
        <v>1950</v>
      </c>
      <c r="H1089" s="37">
        <v>0</v>
      </c>
      <c r="I1089" s="37" t="s">
        <v>1950</v>
      </c>
      <c r="J1089" s="35">
        <v>2011</v>
      </c>
      <c r="K1089" s="35" t="s">
        <v>19</v>
      </c>
      <c r="L1089" s="35" t="s">
        <v>1601</v>
      </c>
      <c r="M1089" s="36">
        <v>145650</v>
      </c>
      <c r="N1089" s="53">
        <v>0</v>
      </c>
      <c r="O1089" s="40">
        <v>0</v>
      </c>
      <c r="P1089" s="35">
        <v>0</v>
      </c>
      <c r="Q1089" s="35" t="s">
        <v>1950</v>
      </c>
      <c r="R1089" s="53">
        <v>12</v>
      </c>
      <c r="S1089" s="53">
        <v>0</v>
      </c>
    </row>
    <row r="1090" spans="1:19" x14ac:dyDescent="0.3">
      <c r="A1090" s="35" t="s">
        <v>1586</v>
      </c>
      <c r="B1090" s="35" t="s">
        <v>14</v>
      </c>
      <c r="C1090" s="35" t="s">
        <v>17</v>
      </c>
      <c r="D1090" s="35">
        <v>347.65</v>
      </c>
      <c r="E1090" s="39" t="s">
        <v>1950</v>
      </c>
      <c r="F1090" s="37">
        <v>0</v>
      </c>
      <c r="G1090" s="35" t="s">
        <v>1950</v>
      </c>
      <c r="H1090" s="37">
        <v>0</v>
      </c>
      <c r="I1090" s="37" t="s">
        <v>1950</v>
      </c>
      <c r="J1090" s="35">
        <v>2008</v>
      </c>
      <c r="K1090" s="35" t="s">
        <v>21</v>
      </c>
      <c r="L1090" s="35" t="s">
        <v>1601</v>
      </c>
      <c r="M1090" s="36">
        <v>22722</v>
      </c>
      <c r="N1090" s="53">
        <v>0</v>
      </c>
      <c r="O1090" s="40">
        <v>0</v>
      </c>
      <c r="P1090" s="35">
        <v>0</v>
      </c>
      <c r="Q1090" s="35" t="s">
        <v>1950</v>
      </c>
      <c r="R1090" s="53">
        <v>12</v>
      </c>
      <c r="S1090" s="53">
        <v>0</v>
      </c>
    </row>
    <row r="1091" spans="1:19" x14ac:dyDescent="0.3">
      <c r="A1091" s="35" t="s">
        <v>1586</v>
      </c>
      <c r="B1091" s="35" t="s">
        <v>14</v>
      </c>
      <c r="C1091" s="35" t="s">
        <v>1775</v>
      </c>
      <c r="D1091" s="35">
        <v>80.88</v>
      </c>
      <c r="E1091" s="39" t="s">
        <v>1950</v>
      </c>
      <c r="F1091" s="37">
        <v>0</v>
      </c>
      <c r="G1091" s="35" t="s">
        <v>1950</v>
      </c>
      <c r="H1091" s="37">
        <v>0</v>
      </c>
      <c r="I1091" s="37" t="s">
        <v>1950</v>
      </c>
      <c r="J1091" s="35">
        <v>1964</v>
      </c>
      <c r="K1091" s="35" t="s">
        <v>1950</v>
      </c>
      <c r="L1091" s="35" t="s">
        <v>1950</v>
      </c>
      <c r="M1091" s="36">
        <v>6827</v>
      </c>
      <c r="N1091" s="53">
        <v>0</v>
      </c>
      <c r="O1091" s="40">
        <v>0</v>
      </c>
      <c r="P1091" s="35">
        <v>0</v>
      </c>
      <c r="Q1091" s="35" t="s">
        <v>1950</v>
      </c>
      <c r="R1091" s="53">
        <v>1</v>
      </c>
      <c r="S1091" s="53">
        <v>0</v>
      </c>
    </row>
    <row r="1092" spans="1:19" x14ac:dyDescent="0.3">
      <c r="A1092" s="35" t="s">
        <v>1586</v>
      </c>
      <c r="B1092" s="35" t="s">
        <v>29</v>
      </c>
      <c r="C1092" s="35" t="s">
        <v>17</v>
      </c>
      <c r="D1092" s="35">
        <v>206.19</v>
      </c>
      <c r="E1092" s="39" t="s">
        <v>1950</v>
      </c>
      <c r="F1092" s="37">
        <v>0</v>
      </c>
      <c r="G1092" s="35" t="s">
        <v>1950</v>
      </c>
      <c r="H1092" s="37">
        <v>0</v>
      </c>
      <c r="I1092" s="37" t="s">
        <v>1950</v>
      </c>
      <c r="J1092" s="35">
        <v>1985</v>
      </c>
      <c r="K1092" s="35" t="s">
        <v>19</v>
      </c>
      <c r="L1092" s="35" t="s">
        <v>1601</v>
      </c>
      <c r="M1092" s="36">
        <v>31224</v>
      </c>
      <c r="N1092" s="53">
        <v>0</v>
      </c>
      <c r="O1092" s="40">
        <v>0</v>
      </c>
      <c r="P1092" s="35">
        <v>0</v>
      </c>
      <c r="Q1092" s="35" t="s">
        <v>1950</v>
      </c>
      <c r="R1092" s="53">
        <v>3</v>
      </c>
      <c r="S1092" s="53">
        <v>0</v>
      </c>
    </row>
    <row r="1093" spans="1:19" x14ac:dyDescent="0.3">
      <c r="A1093" s="35" t="s">
        <v>1586</v>
      </c>
      <c r="B1093" s="35" t="s">
        <v>14</v>
      </c>
      <c r="C1093" s="35" t="s">
        <v>1775</v>
      </c>
      <c r="D1093" s="35">
        <v>140.58000000000001</v>
      </c>
      <c r="E1093" s="39" t="s">
        <v>1950</v>
      </c>
      <c r="F1093" s="37">
        <v>0</v>
      </c>
      <c r="G1093" s="35" t="s">
        <v>1950</v>
      </c>
      <c r="H1093" s="37">
        <v>0</v>
      </c>
      <c r="I1093" s="37" t="s">
        <v>1950</v>
      </c>
      <c r="J1093" s="35">
        <v>1985</v>
      </c>
      <c r="K1093" s="35" t="s">
        <v>1950</v>
      </c>
      <c r="L1093" s="35" t="s">
        <v>1950</v>
      </c>
      <c r="M1093" s="36">
        <v>12948</v>
      </c>
      <c r="N1093" s="53">
        <v>0</v>
      </c>
      <c r="O1093" s="40">
        <v>0</v>
      </c>
      <c r="P1093" s="35">
        <v>0</v>
      </c>
      <c r="Q1093" s="35" t="s">
        <v>1950</v>
      </c>
      <c r="R1093" s="53">
        <v>2</v>
      </c>
      <c r="S1093" s="53">
        <v>0</v>
      </c>
    </row>
    <row r="1094" spans="1:19" x14ac:dyDescent="0.3">
      <c r="A1094" s="35" t="s">
        <v>1586</v>
      </c>
      <c r="B1094" s="35" t="s">
        <v>29</v>
      </c>
      <c r="C1094" s="35" t="s">
        <v>17</v>
      </c>
      <c r="D1094" s="35">
        <v>202.58</v>
      </c>
      <c r="E1094" s="39" t="s">
        <v>1950</v>
      </c>
      <c r="F1094" s="37">
        <v>0</v>
      </c>
      <c r="G1094" s="35" t="s">
        <v>1950</v>
      </c>
      <c r="H1094" s="37">
        <v>0</v>
      </c>
      <c r="I1094" s="37" t="s">
        <v>1950</v>
      </c>
      <c r="J1094" s="35">
        <v>2015</v>
      </c>
      <c r="K1094" s="35" t="s">
        <v>19</v>
      </c>
      <c r="L1094" s="35" t="s">
        <v>1598</v>
      </c>
      <c r="M1094" s="36">
        <v>19147</v>
      </c>
      <c r="N1094" s="53">
        <v>0</v>
      </c>
      <c r="O1094" s="40">
        <v>0</v>
      </c>
      <c r="P1094" s="35">
        <v>0</v>
      </c>
      <c r="Q1094" s="35" t="s">
        <v>1950</v>
      </c>
      <c r="R1094" s="53">
        <v>4</v>
      </c>
      <c r="S1094" s="53">
        <v>0</v>
      </c>
    </row>
    <row r="1095" spans="1:19" x14ac:dyDescent="0.3">
      <c r="A1095" s="35" t="s">
        <v>1586</v>
      </c>
      <c r="B1095" s="35" t="s">
        <v>12</v>
      </c>
      <c r="C1095" s="35" t="s">
        <v>17</v>
      </c>
      <c r="D1095" s="35">
        <v>333.65</v>
      </c>
      <c r="E1095" s="39" t="s">
        <v>1950</v>
      </c>
      <c r="F1095" s="37">
        <v>0</v>
      </c>
      <c r="G1095" s="35" t="s">
        <v>1950</v>
      </c>
      <c r="H1095" s="37">
        <v>0</v>
      </c>
      <c r="I1095" s="37" t="s">
        <v>1950</v>
      </c>
      <c r="J1095" s="35">
        <v>2010</v>
      </c>
      <c r="K1095" s="35" t="s">
        <v>19</v>
      </c>
      <c r="L1095" s="35" t="s">
        <v>1601</v>
      </c>
      <c r="M1095" s="36">
        <v>343000</v>
      </c>
      <c r="N1095" s="53">
        <v>0</v>
      </c>
      <c r="O1095" s="40">
        <v>0</v>
      </c>
      <c r="P1095" s="35">
        <v>0</v>
      </c>
      <c r="Q1095" s="35" t="s">
        <v>1950</v>
      </c>
      <c r="R1095" s="53">
        <v>10</v>
      </c>
      <c r="S1095" s="53">
        <v>0</v>
      </c>
    </row>
    <row r="1096" spans="1:19" x14ac:dyDescent="0.3">
      <c r="A1096" s="35" t="s">
        <v>1586</v>
      </c>
      <c r="B1096" s="35" t="s">
        <v>12</v>
      </c>
      <c r="C1096" s="35" t="s">
        <v>17</v>
      </c>
      <c r="D1096" s="35">
        <v>248.44</v>
      </c>
      <c r="E1096" s="39" t="s">
        <v>1950</v>
      </c>
      <c r="F1096" s="37">
        <v>0</v>
      </c>
      <c r="G1096" s="35" t="s">
        <v>1950</v>
      </c>
      <c r="H1096" s="37">
        <v>0</v>
      </c>
      <c r="I1096" s="37" t="s">
        <v>1950</v>
      </c>
      <c r="J1096" s="35">
        <v>1983</v>
      </c>
      <c r="K1096" s="35" t="s">
        <v>1950</v>
      </c>
      <c r="L1096" s="35" t="s">
        <v>1950</v>
      </c>
      <c r="M1096" s="36">
        <v>53196</v>
      </c>
      <c r="N1096" s="53">
        <v>0</v>
      </c>
      <c r="O1096" s="40">
        <v>0</v>
      </c>
      <c r="P1096" s="35">
        <v>0</v>
      </c>
      <c r="Q1096" s="35" t="s">
        <v>1950</v>
      </c>
      <c r="R1096" s="53">
        <v>12</v>
      </c>
      <c r="S1096" s="53">
        <v>0</v>
      </c>
    </row>
    <row r="1097" spans="1:19" x14ac:dyDescent="0.3">
      <c r="A1097" s="35" t="s">
        <v>1586</v>
      </c>
      <c r="B1097" s="35" t="s">
        <v>12</v>
      </c>
      <c r="C1097" s="35" t="s">
        <v>17</v>
      </c>
      <c r="D1097" s="35">
        <v>589.29999999999995</v>
      </c>
      <c r="E1097" s="39" t="s">
        <v>1950</v>
      </c>
      <c r="F1097" s="37">
        <v>0</v>
      </c>
      <c r="G1097" s="35" t="s">
        <v>1950</v>
      </c>
      <c r="H1097" s="37">
        <v>0</v>
      </c>
      <c r="I1097" s="37" t="s">
        <v>1950</v>
      </c>
      <c r="J1097" s="35">
        <v>2013</v>
      </c>
      <c r="K1097" s="35" t="s">
        <v>19</v>
      </c>
      <c r="L1097" s="35" t="s">
        <v>1603</v>
      </c>
      <c r="M1097" s="36">
        <v>31204</v>
      </c>
      <c r="N1097" s="53">
        <v>0</v>
      </c>
      <c r="O1097" s="40">
        <v>0</v>
      </c>
      <c r="P1097" s="35">
        <v>0</v>
      </c>
      <c r="Q1097" s="35" t="s">
        <v>1950</v>
      </c>
      <c r="R1097" s="53">
        <v>7</v>
      </c>
      <c r="S1097" s="53">
        <v>0</v>
      </c>
    </row>
    <row r="1098" spans="1:19" x14ac:dyDescent="0.3">
      <c r="A1098" s="35" t="s">
        <v>1586</v>
      </c>
      <c r="B1098" s="35" t="s">
        <v>8</v>
      </c>
      <c r="C1098" s="35" t="s">
        <v>1950</v>
      </c>
      <c r="D1098" s="35">
        <v>271.52</v>
      </c>
      <c r="E1098" s="39" t="s">
        <v>1950</v>
      </c>
      <c r="F1098" s="37">
        <v>0</v>
      </c>
      <c r="G1098" s="35" t="s">
        <v>1950</v>
      </c>
      <c r="H1098" s="37">
        <v>0</v>
      </c>
      <c r="I1098" s="37" t="s">
        <v>1950</v>
      </c>
      <c r="J1098" s="35">
        <v>2011</v>
      </c>
      <c r="K1098" s="35" t="s">
        <v>25</v>
      </c>
      <c r="L1098" s="35" t="s">
        <v>1597</v>
      </c>
      <c r="M1098" s="36">
        <v>40450</v>
      </c>
      <c r="N1098" s="53">
        <v>0</v>
      </c>
      <c r="O1098" s="40">
        <v>0</v>
      </c>
      <c r="P1098" s="35">
        <v>0</v>
      </c>
      <c r="Q1098" s="35" t="s">
        <v>1950</v>
      </c>
      <c r="R1098" s="53">
        <v>9</v>
      </c>
      <c r="S1098" s="53">
        <v>0</v>
      </c>
    </row>
    <row r="1099" spans="1:19" x14ac:dyDescent="0.3">
      <c r="A1099" s="35" t="s">
        <v>1586</v>
      </c>
      <c r="B1099" s="35" t="s">
        <v>14</v>
      </c>
      <c r="C1099" s="35" t="s">
        <v>1775</v>
      </c>
      <c r="D1099" s="35">
        <v>157.22999999999999</v>
      </c>
      <c r="E1099" s="39" t="s">
        <v>1950</v>
      </c>
      <c r="F1099" s="37">
        <v>0</v>
      </c>
      <c r="G1099" s="35" t="s">
        <v>1950</v>
      </c>
      <c r="H1099" s="37">
        <v>0</v>
      </c>
      <c r="I1099" s="37" t="s">
        <v>1950</v>
      </c>
      <c r="J1099" s="35">
        <v>2020</v>
      </c>
      <c r="K1099" s="35" t="s">
        <v>21</v>
      </c>
      <c r="L1099" s="35" t="s">
        <v>1605</v>
      </c>
      <c r="M1099" s="36">
        <v>68233</v>
      </c>
      <c r="N1099" s="53">
        <v>0</v>
      </c>
      <c r="O1099" s="40">
        <v>0</v>
      </c>
      <c r="P1099" s="35">
        <v>0</v>
      </c>
      <c r="Q1099" s="35" t="s">
        <v>1950</v>
      </c>
      <c r="R1099" s="53">
        <v>2</v>
      </c>
      <c r="S1099" s="53">
        <v>0</v>
      </c>
    </row>
    <row r="1100" spans="1:19" x14ac:dyDescent="0.3">
      <c r="A1100" s="35" t="s">
        <v>1586</v>
      </c>
      <c r="B1100" s="35" t="s">
        <v>14</v>
      </c>
      <c r="C1100" s="35" t="s">
        <v>2662</v>
      </c>
      <c r="D1100" s="35">
        <v>212.43</v>
      </c>
      <c r="E1100" s="39" t="s">
        <v>1950</v>
      </c>
      <c r="F1100" s="37">
        <v>0</v>
      </c>
      <c r="G1100" s="35" t="s">
        <v>1950</v>
      </c>
      <c r="H1100" s="37">
        <v>0</v>
      </c>
      <c r="I1100" s="37" t="s">
        <v>1950</v>
      </c>
      <c r="J1100" s="35">
        <v>1994</v>
      </c>
      <c r="K1100" s="35" t="s">
        <v>2663</v>
      </c>
      <c r="L1100" s="35" t="s">
        <v>1950</v>
      </c>
      <c r="M1100" s="36">
        <v>383038</v>
      </c>
      <c r="N1100" s="53">
        <v>0</v>
      </c>
      <c r="O1100" s="40">
        <v>0</v>
      </c>
      <c r="P1100" s="35">
        <v>0</v>
      </c>
      <c r="Q1100" s="35" t="s">
        <v>1950</v>
      </c>
      <c r="R1100" s="53">
        <v>9</v>
      </c>
      <c r="S1100" s="53">
        <v>0</v>
      </c>
    </row>
    <row r="1101" spans="1:19" x14ac:dyDescent="0.3">
      <c r="A1101" s="35" t="s">
        <v>1586</v>
      </c>
      <c r="B1101" s="35" t="s">
        <v>14</v>
      </c>
      <c r="C1101" s="35" t="s">
        <v>17</v>
      </c>
      <c r="D1101" s="35">
        <v>124.42</v>
      </c>
      <c r="E1101" s="39" t="s">
        <v>1950</v>
      </c>
      <c r="F1101" s="37">
        <v>0</v>
      </c>
      <c r="G1101" s="35" t="s">
        <v>1950</v>
      </c>
      <c r="H1101" s="37">
        <v>0</v>
      </c>
      <c r="I1101" s="37" t="s">
        <v>1950</v>
      </c>
      <c r="J1101" s="35">
        <v>1987</v>
      </c>
      <c r="K1101" s="35" t="s">
        <v>19</v>
      </c>
      <c r="L1101" s="35" t="s">
        <v>1601</v>
      </c>
      <c r="M1101" s="36">
        <v>95625</v>
      </c>
      <c r="N1101" s="53">
        <v>0</v>
      </c>
      <c r="O1101" s="40">
        <v>0</v>
      </c>
      <c r="P1101" s="35">
        <v>0</v>
      </c>
      <c r="Q1101" s="35" t="s">
        <v>1950</v>
      </c>
      <c r="R1101" s="53">
        <v>14</v>
      </c>
      <c r="S1101" s="53">
        <v>0</v>
      </c>
    </row>
    <row r="1102" spans="1:19" x14ac:dyDescent="0.3">
      <c r="A1102" s="35" t="s">
        <v>1586</v>
      </c>
      <c r="B1102" s="35" t="s">
        <v>8</v>
      </c>
      <c r="C1102" s="35" t="s">
        <v>2662</v>
      </c>
      <c r="D1102" s="35">
        <v>219.98</v>
      </c>
      <c r="E1102" s="39" t="s">
        <v>1950</v>
      </c>
      <c r="F1102" s="37">
        <v>0</v>
      </c>
      <c r="G1102" s="35" t="s">
        <v>1950</v>
      </c>
      <c r="H1102" s="37">
        <v>0</v>
      </c>
      <c r="I1102" s="37" t="s">
        <v>1950</v>
      </c>
      <c r="J1102" s="35">
        <v>1968</v>
      </c>
      <c r="K1102" s="35" t="s">
        <v>25</v>
      </c>
      <c r="L1102" s="35" t="s">
        <v>1601</v>
      </c>
      <c r="M1102" s="36">
        <v>72925</v>
      </c>
      <c r="N1102" s="53">
        <v>0</v>
      </c>
      <c r="O1102" s="40">
        <v>0</v>
      </c>
      <c r="P1102" s="35">
        <v>0</v>
      </c>
      <c r="Q1102" s="35" t="s">
        <v>1950</v>
      </c>
      <c r="R1102" s="53">
        <v>0</v>
      </c>
      <c r="S1102" s="53">
        <v>0</v>
      </c>
    </row>
    <row r="1103" spans="1:19" x14ac:dyDescent="0.3">
      <c r="A1103" s="35" t="s">
        <v>1586</v>
      </c>
      <c r="B1103" s="35" t="s">
        <v>14</v>
      </c>
      <c r="C1103" s="35" t="s">
        <v>17</v>
      </c>
      <c r="D1103" s="35">
        <v>174.82</v>
      </c>
      <c r="E1103" s="39" t="s">
        <v>1950</v>
      </c>
      <c r="F1103" s="37">
        <v>0</v>
      </c>
      <c r="G1103" s="35" t="s">
        <v>1950</v>
      </c>
      <c r="H1103" s="37">
        <v>0</v>
      </c>
      <c r="I1103" s="37" t="s">
        <v>1950</v>
      </c>
      <c r="J1103" s="35">
        <v>2009</v>
      </c>
      <c r="K1103" s="35" t="s">
        <v>19</v>
      </c>
      <c r="L1103" s="35" t="s">
        <v>1601</v>
      </c>
      <c r="M1103" s="36">
        <v>35657</v>
      </c>
      <c r="N1103" s="53">
        <v>0</v>
      </c>
      <c r="O1103" s="40">
        <v>0</v>
      </c>
      <c r="P1103" s="35">
        <v>0</v>
      </c>
      <c r="Q1103" s="35" t="s">
        <v>1950</v>
      </c>
      <c r="R1103" s="53">
        <v>10</v>
      </c>
      <c r="S1103" s="53">
        <v>0</v>
      </c>
    </row>
    <row r="1104" spans="1:19" x14ac:dyDescent="0.3">
      <c r="A1104" s="35" t="s">
        <v>1586</v>
      </c>
      <c r="B1104" s="35" t="s">
        <v>12</v>
      </c>
      <c r="C1104" s="35" t="s">
        <v>17</v>
      </c>
      <c r="D1104" s="35">
        <v>684.22</v>
      </c>
      <c r="E1104" s="39" t="s">
        <v>1950</v>
      </c>
      <c r="F1104" s="37">
        <v>0</v>
      </c>
      <c r="G1104" s="35" t="s">
        <v>1950</v>
      </c>
      <c r="H1104" s="37">
        <v>0</v>
      </c>
      <c r="I1104" s="37" t="s">
        <v>1950</v>
      </c>
      <c r="J1104" s="35">
        <v>2017</v>
      </c>
      <c r="K1104" s="35" t="s">
        <v>2663</v>
      </c>
      <c r="L1104" s="35" t="s">
        <v>1950</v>
      </c>
      <c r="M1104" s="36">
        <v>20546</v>
      </c>
      <c r="N1104" s="53">
        <v>0</v>
      </c>
      <c r="O1104" s="40">
        <v>0</v>
      </c>
      <c r="P1104" s="35">
        <v>0</v>
      </c>
      <c r="Q1104" s="35" t="s">
        <v>1950</v>
      </c>
      <c r="R1104" s="53">
        <v>2</v>
      </c>
      <c r="S1104" s="53">
        <v>0</v>
      </c>
    </row>
    <row r="1105" spans="1:19" x14ac:dyDescent="0.3">
      <c r="A1105" s="35" t="s">
        <v>1586</v>
      </c>
      <c r="B1105" s="35" t="s">
        <v>12</v>
      </c>
      <c r="C1105" s="35" t="s">
        <v>17</v>
      </c>
      <c r="D1105" s="35">
        <v>339.12</v>
      </c>
      <c r="E1105" s="39" t="s">
        <v>1950</v>
      </c>
      <c r="F1105" s="37">
        <v>0</v>
      </c>
      <c r="G1105" s="35" t="s">
        <v>1950</v>
      </c>
      <c r="H1105" s="37">
        <v>0</v>
      </c>
      <c r="I1105" s="37" t="s">
        <v>1950</v>
      </c>
      <c r="J1105" s="35">
        <v>1982</v>
      </c>
      <c r="K1105" s="35" t="s">
        <v>25</v>
      </c>
      <c r="L1105" s="35" t="s">
        <v>1601</v>
      </c>
      <c r="M1105" s="36">
        <v>25772</v>
      </c>
      <c r="N1105" s="53">
        <v>0</v>
      </c>
      <c r="O1105" s="40">
        <v>0</v>
      </c>
      <c r="P1105" s="35">
        <v>0</v>
      </c>
      <c r="Q1105" s="35" t="s">
        <v>1950</v>
      </c>
      <c r="R1105" s="53">
        <v>4</v>
      </c>
      <c r="S1105" s="53">
        <v>0</v>
      </c>
    </row>
    <row r="1106" spans="1:19" x14ac:dyDescent="0.3">
      <c r="A1106" s="35" t="s">
        <v>1586</v>
      </c>
      <c r="B1106" s="35" t="s">
        <v>29</v>
      </c>
      <c r="C1106" s="35" t="s">
        <v>1775</v>
      </c>
      <c r="D1106" s="35">
        <v>335.69</v>
      </c>
      <c r="E1106" s="39" t="s">
        <v>1950</v>
      </c>
      <c r="F1106" s="37">
        <v>0</v>
      </c>
      <c r="G1106" s="35" t="s">
        <v>1950</v>
      </c>
      <c r="H1106" s="37">
        <v>0</v>
      </c>
      <c r="I1106" s="37" t="s">
        <v>1950</v>
      </c>
      <c r="J1106" s="35">
        <v>2018</v>
      </c>
      <c r="K1106" s="35" t="s">
        <v>2663</v>
      </c>
      <c r="L1106" s="35" t="s">
        <v>1950</v>
      </c>
      <c r="M1106" s="36">
        <v>11899</v>
      </c>
      <c r="N1106" s="53">
        <v>0</v>
      </c>
      <c r="O1106" s="40">
        <v>0</v>
      </c>
      <c r="P1106" s="35">
        <v>0</v>
      </c>
      <c r="Q1106" s="35" t="s">
        <v>1950</v>
      </c>
      <c r="R1106" s="53">
        <v>5</v>
      </c>
      <c r="S1106" s="53">
        <v>0</v>
      </c>
    </row>
    <row r="1107" spans="1:19" x14ac:dyDescent="0.3">
      <c r="A1107" s="35" t="s">
        <v>1586</v>
      </c>
      <c r="B1107" s="35" t="s">
        <v>14</v>
      </c>
      <c r="C1107" s="35" t="s">
        <v>17</v>
      </c>
      <c r="D1107" s="35">
        <v>183.93</v>
      </c>
      <c r="E1107" s="39" t="s">
        <v>1950</v>
      </c>
      <c r="F1107" s="37">
        <v>0</v>
      </c>
      <c r="G1107" s="35" t="s">
        <v>1950</v>
      </c>
      <c r="H1107" s="37">
        <v>0</v>
      </c>
      <c r="I1107" s="37" t="s">
        <v>1950</v>
      </c>
      <c r="J1107" s="35">
        <v>2005</v>
      </c>
      <c r="K1107" s="35" t="s">
        <v>1950</v>
      </c>
      <c r="L1107" s="35" t="s">
        <v>1950</v>
      </c>
      <c r="M1107" s="36">
        <v>19040</v>
      </c>
      <c r="N1107" s="53">
        <v>0</v>
      </c>
      <c r="O1107" s="40">
        <v>0</v>
      </c>
      <c r="P1107" s="35">
        <v>0</v>
      </c>
      <c r="Q1107" s="35" t="s">
        <v>1950</v>
      </c>
      <c r="R1107" s="53">
        <v>12</v>
      </c>
      <c r="S1107" s="53">
        <v>0</v>
      </c>
    </row>
    <row r="1108" spans="1:19" x14ac:dyDescent="0.3">
      <c r="A1108" s="35" t="s">
        <v>1586</v>
      </c>
      <c r="B1108" s="35" t="s">
        <v>14</v>
      </c>
      <c r="C1108" s="35" t="s">
        <v>1775</v>
      </c>
      <c r="D1108" s="35">
        <v>49.2</v>
      </c>
      <c r="E1108" s="39" t="s">
        <v>1950</v>
      </c>
      <c r="F1108" s="37">
        <v>0</v>
      </c>
      <c r="G1108" s="35" t="s">
        <v>1950</v>
      </c>
      <c r="H1108" s="37">
        <v>0</v>
      </c>
      <c r="I1108" s="37" t="s">
        <v>1950</v>
      </c>
      <c r="J1108" s="35">
        <v>2001</v>
      </c>
      <c r="K1108" s="35" t="s">
        <v>1950</v>
      </c>
      <c r="L1108" s="35" t="s">
        <v>1950</v>
      </c>
      <c r="M1108" s="36">
        <v>6342</v>
      </c>
      <c r="N1108" s="53">
        <v>0</v>
      </c>
      <c r="O1108" s="40">
        <v>0</v>
      </c>
      <c r="P1108" s="35">
        <v>0</v>
      </c>
      <c r="Q1108" s="35" t="s">
        <v>1950</v>
      </c>
      <c r="R1108" s="53">
        <v>9</v>
      </c>
      <c r="S1108" s="53">
        <v>0</v>
      </c>
    </row>
    <row r="1109" spans="1:19" x14ac:dyDescent="0.3">
      <c r="A1109" s="35" t="s">
        <v>1586</v>
      </c>
      <c r="B1109" s="35" t="s">
        <v>14</v>
      </c>
      <c r="C1109" s="35" t="s">
        <v>1775</v>
      </c>
      <c r="D1109" s="35">
        <v>53.23</v>
      </c>
      <c r="E1109" s="39" t="s">
        <v>1950</v>
      </c>
      <c r="F1109" s="37">
        <v>0</v>
      </c>
      <c r="G1109" s="35" t="s">
        <v>1950</v>
      </c>
      <c r="H1109" s="37">
        <v>0</v>
      </c>
      <c r="I1109" s="37" t="s">
        <v>1950</v>
      </c>
      <c r="J1109" s="35">
        <v>2001</v>
      </c>
      <c r="K1109" s="35" t="s">
        <v>1950</v>
      </c>
      <c r="L1109" s="35" t="s">
        <v>1950</v>
      </c>
      <c r="M1109" s="36">
        <v>7574</v>
      </c>
      <c r="N1109" s="53">
        <v>0</v>
      </c>
      <c r="O1109" s="40">
        <v>0</v>
      </c>
      <c r="P1109" s="35">
        <v>0</v>
      </c>
      <c r="Q1109" s="35" t="s">
        <v>1950</v>
      </c>
      <c r="R1109" s="53">
        <v>16</v>
      </c>
      <c r="S1109" s="53">
        <v>0</v>
      </c>
    </row>
    <row r="1110" spans="1:19" x14ac:dyDescent="0.3">
      <c r="A1110" s="35" t="s">
        <v>1586</v>
      </c>
      <c r="B1110" s="35" t="s">
        <v>14</v>
      </c>
      <c r="C1110" s="35" t="s">
        <v>17</v>
      </c>
      <c r="D1110" s="35">
        <v>162.63</v>
      </c>
      <c r="E1110" s="39" t="s">
        <v>1950</v>
      </c>
      <c r="F1110" s="37">
        <v>0</v>
      </c>
      <c r="G1110" s="35" t="s">
        <v>1950</v>
      </c>
      <c r="H1110" s="37">
        <v>0</v>
      </c>
      <c r="I1110" s="37" t="s">
        <v>1950</v>
      </c>
      <c r="J1110" s="35">
        <v>2006</v>
      </c>
      <c r="K1110" s="35" t="s">
        <v>1950</v>
      </c>
      <c r="L1110" s="35" t="s">
        <v>1950</v>
      </c>
      <c r="M1110" s="36">
        <v>15342</v>
      </c>
      <c r="N1110" s="53">
        <v>0</v>
      </c>
      <c r="O1110" s="40">
        <v>0</v>
      </c>
      <c r="P1110" s="35">
        <v>0</v>
      </c>
      <c r="Q1110" s="35" t="s">
        <v>1950</v>
      </c>
      <c r="R1110" s="53">
        <v>12</v>
      </c>
      <c r="S1110" s="53">
        <v>0</v>
      </c>
    </row>
    <row r="1111" spans="1:19" x14ac:dyDescent="0.3">
      <c r="A1111" s="35" t="s">
        <v>1586</v>
      </c>
      <c r="B1111" s="35" t="s">
        <v>14</v>
      </c>
      <c r="C1111" s="35" t="s">
        <v>17</v>
      </c>
      <c r="D1111" s="35">
        <v>151.38</v>
      </c>
      <c r="E1111" s="39" t="s">
        <v>1950</v>
      </c>
      <c r="F1111" s="37">
        <v>0</v>
      </c>
      <c r="G1111" s="35" t="s">
        <v>1950</v>
      </c>
      <c r="H1111" s="37">
        <v>0</v>
      </c>
      <c r="I1111" s="37" t="s">
        <v>1950</v>
      </c>
      <c r="J1111" s="35">
        <v>2002</v>
      </c>
      <c r="K1111" s="35" t="s">
        <v>1950</v>
      </c>
      <c r="L1111" s="35" t="s">
        <v>1950</v>
      </c>
      <c r="M1111" s="36">
        <v>49327</v>
      </c>
      <c r="N1111" s="53">
        <v>0</v>
      </c>
      <c r="O1111" s="40">
        <v>0</v>
      </c>
      <c r="P1111" s="35">
        <v>0</v>
      </c>
      <c r="Q1111" s="35" t="s">
        <v>1950</v>
      </c>
      <c r="R1111" s="53">
        <v>15</v>
      </c>
      <c r="S1111" s="53">
        <v>0</v>
      </c>
    </row>
    <row r="1112" spans="1:19" x14ac:dyDescent="0.3">
      <c r="A1112" s="35" t="s">
        <v>1586</v>
      </c>
      <c r="B1112" s="35" t="s">
        <v>14</v>
      </c>
      <c r="C1112" s="35" t="s">
        <v>1775</v>
      </c>
      <c r="D1112" s="35">
        <v>161.46</v>
      </c>
      <c r="E1112" s="39" t="s">
        <v>1950</v>
      </c>
      <c r="F1112" s="37">
        <v>0</v>
      </c>
      <c r="G1112" s="35" t="s">
        <v>1950</v>
      </c>
      <c r="H1112" s="37">
        <v>0</v>
      </c>
      <c r="I1112" s="37" t="s">
        <v>1950</v>
      </c>
      <c r="J1112" s="35">
        <v>2005</v>
      </c>
      <c r="K1112" s="35" t="s">
        <v>1950</v>
      </c>
      <c r="L1112" s="35" t="s">
        <v>1950</v>
      </c>
      <c r="M1112" s="36">
        <v>14060</v>
      </c>
      <c r="N1112" s="53">
        <v>0</v>
      </c>
      <c r="O1112" s="40">
        <v>0</v>
      </c>
      <c r="P1112" s="35">
        <v>0</v>
      </c>
      <c r="Q1112" s="35" t="s">
        <v>1950</v>
      </c>
      <c r="R1112" s="53">
        <v>12</v>
      </c>
      <c r="S1112" s="53">
        <v>0</v>
      </c>
    </row>
    <row r="1113" spans="1:19" x14ac:dyDescent="0.3">
      <c r="A1113" s="35" t="s">
        <v>1586</v>
      </c>
      <c r="B1113" s="35" t="s">
        <v>14</v>
      </c>
      <c r="C1113" s="35" t="s">
        <v>17</v>
      </c>
      <c r="D1113" s="35">
        <v>100.98</v>
      </c>
      <c r="E1113" s="39" t="s">
        <v>1950</v>
      </c>
      <c r="F1113" s="37">
        <v>0</v>
      </c>
      <c r="G1113" s="35" t="s">
        <v>1950</v>
      </c>
      <c r="H1113" s="37">
        <v>0</v>
      </c>
      <c r="I1113" s="37" t="s">
        <v>1950</v>
      </c>
      <c r="J1113" s="35">
        <v>1999</v>
      </c>
      <c r="K1113" s="35" t="s">
        <v>1950</v>
      </c>
      <c r="L1113" s="35" t="s">
        <v>1950</v>
      </c>
      <c r="M1113" s="36">
        <v>40312</v>
      </c>
      <c r="N1113" s="53">
        <v>0</v>
      </c>
      <c r="O1113" s="40">
        <v>0</v>
      </c>
      <c r="P1113" s="35">
        <v>0</v>
      </c>
      <c r="Q1113" s="35" t="s">
        <v>1950</v>
      </c>
      <c r="R1113" s="53">
        <v>19</v>
      </c>
      <c r="S1113" s="53">
        <v>0</v>
      </c>
    </row>
    <row r="1114" spans="1:19" x14ac:dyDescent="0.3">
      <c r="A1114" s="35" t="s">
        <v>1586</v>
      </c>
      <c r="B1114" s="35" t="s">
        <v>14</v>
      </c>
      <c r="C1114" s="35" t="s">
        <v>17</v>
      </c>
      <c r="D1114" s="35">
        <v>87.14</v>
      </c>
      <c r="E1114" s="39" t="s">
        <v>1950</v>
      </c>
      <c r="F1114" s="37">
        <v>0</v>
      </c>
      <c r="G1114" s="35" t="s">
        <v>1950</v>
      </c>
      <c r="H1114" s="37">
        <v>0</v>
      </c>
      <c r="I1114" s="37" t="s">
        <v>1950</v>
      </c>
      <c r="J1114" s="35">
        <v>2005</v>
      </c>
      <c r="K1114" s="35" t="s">
        <v>1950</v>
      </c>
      <c r="L1114" s="35" t="s">
        <v>1950</v>
      </c>
      <c r="M1114" s="36">
        <v>34622</v>
      </c>
      <c r="N1114" s="53">
        <v>0</v>
      </c>
      <c r="O1114" s="40">
        <v>0</v>
      </c>
      <c r="P1114" s="35">
        <v>0</v>
      </c>
      <c r="Q1114" s="35" t="s">
        <v>1950</v>
      </c>
      <c r="R1114" s="53">
        <v>12</v>
      </c>
      <c r="S1114" s="53">
        <v>0</v>
      </c>
    </row>
    <row r="1115" spans="1:19" x14ac:dyDescent="0.3">
      <c r="A1115" s="35" t="s">
        <v>1586</v>
      </c>
      <c r="B1115" s="35" t="s">
        <v>14</v>
      </c>
      <c r="C1115" s="35" t="s">
        <v>1775</v>
      </c>
      <c r="D1115" s="35">
        <v>195.91</v>
      </c>
      <c r="E1115" s="39" t="s">
        <v>1950</v>
      </c>
      <c r="F1115" s="37">
        <v>0</v>
      </c>
      <c r="G1115" s="35" t="s">
        <v>1950</v>
      </c>
      <c r="H1115" s="37">
        <v>0</v>
      </c>
      <c r="I1115" s="37" t="s">
        <v>1950</v>
      </c>
      <c r="J1115" s="35">
        <v>2006</v>
      </c>
      <c r="K1115" s="35" t="s">
        <v>1950</v>
      </c>
      <c r="L1115" s="35" t="s">
        <v>1950</v>
      </c>
      <c r="M1115" s="36">
        <v>14337</v>
      </c>
      <c r="N1115" s="53">
        <v>0</v>
      </c>
      <c r="O1115" s="40">
        <v>0</v>
      </c>
      <c r="P1115" s="35">
        <v>0</v>
      </c>
      <c r="Q1115" s="35" t="s">
        <v>1950</v>
      </c>
      <c r="R1115" s="53">
        <v>12</v>
      </c>
      <c r="S1115" s="53">
        <v>0</v>
      </c>
    </row>
    <row r="1116" spans="1:19" x14ac:dyDescent="0.3">
      <c r="A1116" s="35" t="s">
        <v>1586</v>
      </c>
      <c r="B1116" s="35" t="s">
        <v>12</v>
      </c>
      <c r="C1116" s="35" t="s">
        <v>17</v>
      </c>
      <c r="D1116" s="35">
        <v>439.49</v>
      </c>
      <c r="E1116" s="39" t="s">
        <v>1950</v>
      </c>
      <c r="F1116" s="37">
        <v>0</v>
      </c>
      <c r="G1116" s="35" t="s">
        <v>1950</v>
      </c>
      <c r="H1116" s="37">
        <v>0</v>
      </c>
      <c r="I1116" s="37" t="s">
        <v>1950</v>
      </c>
      <c r="J1116" s="35">
        <v>2019</v>
      </c>
      <c r="K1116" s="35" t="s">
        <v>21</v>
      </c>
      <c r="L1116" s="35" t="s">
        <v>1601</v>
      </c>
      <c r="M1116" s="36">
        <v>47873</v>
      </c>
      <c r="N1116" s="53">
        <v>0</v>
      </c>
      <c r="O1116" s="40">
        <v>0</v>
      </c>
      <c r="P1116" s="35">
        <v>0</v>
      </c>
      <c r="Q1116" s="35" t="s">
        <v>1950</v>
      </c>
      <c r="R1116" s="53">
        <v>2</v>
      </c>
      <c r="S1116" s="53">
        <v>0</v>
      </c>
    </row>
    <row r="1117" spans="1:19" x14ac:dyDescent="0.3">
      <c r="A1117" s="35" t="s">
        <v>1586</v>
      </c>
      <c r="B1117" s="35" t="s">
        <v>12</v>
      </c>
      <c r="C1117" s="35" t="s">
        <v>1775</v>
      </c>
      <c r="D1117" s="35">
        <v>516.41999999999996</v>
      </c>
      <c r="E1117" s="39" t="s">
        <v>1950</v>
      </c>
      <c r="F1117" s="37">
        <v>0</v>
      </c>
      <c r="G1117" s="35" t="s">
        <v>1950</v>
      </c>
      <c r="H1117" s="37">
        <v>0</v>
      </c>
      <c r="I1117" s="37" t="s">
        <v>1950</v>
      </c>
      <c r="J1117" s="35">
        <v>2014</v>
      </c>
      <c r="K1117" s="35" t="s">
        <v>2663</v>
      </c>
      <c r="L1117" s="35" t="s">
        <v>1950</v>
      </c>
      <c r="M1117" s="36">
        <v>8677</v>
      </c>
      <c r="N1117" s="53">
        <v>0</v>
      </c>
      <c r="O1117" s="40">
        <v>0</v>
      </c>
      <c r="P1117" s="35">
        <v>0</v>
      </c>
      <c r="Q1117" s="35" t="s">
        <v>1950</v>
      </c>
      <c r="R1117" s="53">
        <v>3</v>
      </c>
      <c r="S1117" s="53">
        <v>0</v>
      </c>
    </row>
    <row r="1118" spans="1:19" x14ac:dyDescent="0.3">
      <c r="A1118" s="35" t="s">
        <v>1586</v>
      </c>
      <c r="B1118" s="35" t="s">
        <v>14</v>
      </c>
      <c r="C1118" s="35" t="s">
        <v>1775</v>
      </c>
      <c r="D1118" s="35">
        <v>167.28</v>
      </c>
      <c r="E1118" s="39" t="s">
        <v>1950</v>
      </c>
      <c r="F1118" s="37">
        <v>0</v>
      </c>
      <c r="G1118" s="35" t="s">
        <v>1950</v>
      </c>
      <c r="H1118" s="37">
        <v>0</v>
      </c>
      <c r="I1118" s="37" t="s">
        <v>1950</v>
      </c>
      <c r="J1118" s="35">
        <v>1998</v>
      </c>
      <c r="K1118" s="35" t="s">
        <v>19</v>
      </c>
      <c r="L1118" s="35" t="s">
        <v>1601</v>
      </c>
      <c r="M1118" s="36">
        <v>10852</v>
      </c>
      <c r="N1118" s="53">
        <v>0</v>
      </c>
      <c r="O1118" s="40">
        <v>0</v>
      </c>
      <c r="P1118" s="35">
        <v>0</v>
      </c>
      <c r="Q1118" s="35" t="s">
        <v>1950</v>
      </c>
      <c r="R1118" s="53">
        <v>4</v>
      </c>
      <c r="S1118" s="53">
        <v>0</v>
      </c>
    </row>
    <row r="1119" spans="1:19" x14ac:dyDescent="0.3">
      <c r="A1119" s="35" t="s">
        <v>1586</v>
      </c>
      <c r="B1119" s="35" t="s">
        <v>14</v>
      </c>
      <c r="C1119" s="35" t="s">
        <v>17</v>
      </c>
      <c r="D1119" s="35">
        <v>183.13</v>
      </c>
      <c r="E1119" s="39" t="s">
        <v>1950</v>
      </c>
      <c r="F1119" s="37">
        <v>0</v>
      </c>
      <c r="G1119" s="35" t="s">
        <v>1950</v>
      </c>
      <c r="H1119" s="37">
        <v>0</v>
      </c>
      <c r="I1119" s="37" t="s">
        <v>1950</v>
      </c>
      <c r="J1119" s="35">
        <v>1998</v>
      </c>
      <c r="K1119" s="35" t="s">
        <v>19</v>
      </c>
      <c r="L1119" s="35" t="s">
        <v>1601</v>
      </c>
      <c r="M1119" s="36">
        <v>102898</v>
      </c>
      <c r="N1119" s="53">
        <v>0</v>
      </c>
      <c r="O1119" s="40">
        <v>0</v>
      </c>
      <c r="P1119" s="35">
        <v>0</v>
      </c>
      <c r="Q1119" s="35" t="s">
        <v>1950</v>
      </c>
      <c r="R1119" s="53">
        <v>5</v>
      </c>
      <c r="S1119" s="53">
        <v>0</v>
      </c>
    </row>
    <row r="1120" spans="1:19" x14ac:dyDescent="0.3">
      <c r="A1120" s="35" t="s">
        <v>1586</v>
      </c>
      <c r="B1120" s="35" t="s">
        <v>14</v>
      </c>
      <c r="C1120" s="35" t="s">
        <v>17</v>
      </c>
      <c r="D1120" s="35">
        <v>139.97</v>
      </c>
      <c r="E1120" s="39" t="s">
        <v>1950</v>
      </c>
      <c r="F1120" s="37">
        <v>0</v>
      </c>
      <c r="G1120" s="35" t="s">
        <v>1950</v>
      </c>
      <c r="H1120" s="37">
        <v>0</v>
      </c>
      <c r="I1120" s="37" t="s">
        <v>1950</v>
      </c>
      <c r="J1120" s="35">
        <v>1999</v>
      </c>
      <c r="K1120" s="35" t="s">
        <v>19</v>
      </c>
      <c r="L1120" s="35" t="s">
        <v>1601</v>
      </c>
      <c r="M1120" s="36">
        <v>15769</v>
      </c>
      <c r="N1120" s="53">
        <v>0</v>
      </c>
      <c r="O1120" s="40">
        <v>0</v>
      </c>
      <c r="P1120" s="35">
        <v>0</v>
      </c>
      <c r="Q1120" s="35" t="s">
        <v>1950</v>
      </c>
      <c r="R1120" s="53">
        <v>4</v>
      </c>
      <c r="S1120" s="53">
        <v>0</v>
      </c>
    </row>
    <row r="1121" spans="1:19" x14ac:dyDescent="0.3">
      <c r="A1121" s="35" t="s">
        <v>1586</v>
      </c>
      <c r="B1121" s="35" t="s">
        <v>12</v>
      </c>
      <c r="C1121" s="35" t="s">
        <v>17</v>
      </c>
      <c r="D1121" s="35">
        <v>342.28</v>
      </c>
      <c r="E1121" s="39" t="s">
        <v>1950</v>
      </c>
      <c r="F1121" s="37">
        <v>0</v>
      </c>
      <c r="G1121" s="35" t="s">
        <v>1950</v>
      </c>
      <c r="H1121" s="37">
        <v>0</v>
      </c>
      <c r="I1121" s="37" t="s">
        <v>1950</v>
      </c>
      <c r="J1121" s="35">
        <v>2009</v>
      </c>
      <c r="K1121" s="35" t="s">
        <v>19</v>
      </c>
      <c r="L1121" s="35" t="s">
        <v>1601</v>
      </c>
      <c r="M1121" s="36">
        <v>65640</v>
      </c>
      <c r="N1121" s="53">
        <v>0</v>
      </c>
      <c r="O1121" s="40">
        <v>0</v>
      </c>
      <c r="P1121" s="35">
        <v>0</v>
      </c>
      <c r="Q1121" s="35" t="s">
        <v>1950</v>
      </c>
      <c r="R1121" s="53">
        <v>8</v>
      </c>
      <c r="S1121" s="53">
        <v>0</v>
      </c>
    </row>
    <row r="1122" spans="1:19" x14ac:dyDescent="0.3">
      <c r="A1122" s="35" t="s">
        <v>1586</v>
      </c>
      <c r="B1122" s="35" t="s">
        <v>29</v>
      </c>
      <c r="C1122" s="35" t="s">
        <v>17</v>
      </c>
      <c r="D1122" s="35">
        <v>244.08</v>
      </c>
      <c r="E1122" s="39" t="s">
        <v>1950</v>
      </c>
      <c r="F1122" s="37">
        <v>0</v>
      </c>
      <c r="G1122" s="35" t="s">
        <v>1950</v>
      </c>
      <c r="H1122" s="37">
        <v>0</v>
      </c>
      <c r="I1122" s="37" t="s">
        <v>1950</v>
      </c>
      <c r="J1122" s="35">
        <v>2012</v>
      </c>
      <c r="K1122" s="35" t="s">
        <v>21</v>
      </c>
      <c r="L1122" s="35" t="s">
        <v>1603</v>
      </c>
      <c r="M1122" s="36">
        <v>18975</v>
      </c>
      <c r="N1122" s="53">
        <v>0</v>
      </c>
      <c r="O1122" s="40">
        <v>0</v>
      </c>
      <c r="P1122" s="35">
        <v>0</v>
      </c>
      <c r="Q1122" s="35" t="s">
        <v>1950</v>
      </c>
      <c r="R1122" s="53">
        <v>7</v>
      </c>
      <c r="S1122" s="53">
        <v>0</v>
      </c>
    </row>
    <row r="1123" spans="1:19" x14ac:dyDescent="0.3">
      <c r="A1123" s="35" t="s">
        <v>1586</v>
      </c>
      <c r="B1123" s="35" t="s">
        <v>14</v>
      </c>
      <c r="C1123" s="35" t="s">
        <v>17</v>
      </c>
      <c r="D1123" s="35">
        <v>159.58000000000001</v>
      </c>
      <c r="E1123" s="39" t="s">
        <v>1950</v>
      </c>
      <c r="F1123" s="37">
        <v>0</v>
      </c>
      <c r="G1123" s="35" t="s">
        <v>1950</v>
      </c>
      <c r="H1123" s="37">
        <v>0</v>
      </c>
      <c r="I1123" s="37" t="s">
        <v>1950</v>
      </c>
      <c r="J1123" s="35">
        <v>1974</v>
      </c>
      <c r="K1123" s="35" t="s">
        <v>25</v>
      </c>
      <c r="L1123" s="35" t="s">
        <v>1601</v>
      </c>
      <c r="M1123" s="36">
        <v>116055</v>
      </c>
      <c r="N1123" s="53">
        <v>0</v>
      </c>
      <c r="O1123" s="40">
        <v>0</v>
      </c>
      <c r="P1123" s="35">
        <v>0</v>
      </c>
      <c r="Q1123" s="35" t="s">
        <v>1950</v>
      </c>
      <c r="R1123" s="53">
        <v>5</v>
      </c>
      <c r="S1123" s="53">
        <v>0</v>
      </c>
    </row>
    <row r="1124" spans="1:19" x14ac:dyDescent="0.3">
      <c r="A1124" s="35" t="s">
        <v>1586</v>
      </c>
      <c r="B1124" s="35" t="s">
        <v>12</v>
      </c>
      <c r="C1124" s="35" t="s">
        <v>17</v>
      </c>
      <c r="D1124" s="35">
        <v>190.25</v>
      </c>
      <c r="E1124" s="39" t="s">
        <v>1950</v>
      </c>
      <c r="F1124" s="37">
        <v>0</v>
      </c>
      <c r="G1124" s="35" t="s">
        <v>1950</v>
      </c>
      <c r="H1124" s="37">
        <v>0</v>
      </c>
      <c r="I1124" s="37" t="s">
        <v>1950</v>
      </c>
      <c r="J1124" s="35">
        <v>1982</v>
      </c>
      <c r="K1124" s="35" t="s">
        <v>19</v>
      </c>
      <c r="L1124" s="35" t="s">
        <v>1601</v>
      </c>
      <c r="M1124" s="36">
        <v>25347</v>
      </c>
      <c r="N1124" s="53">
        <v>0</v>
      </c>
      <c r="O1124" s="40">
        <v>0</v>
      </c>
      <c r="P1124" s="35">
        <v>0</v>
      </c>
      <c r="Q1124" s="35" t="s">
        <v>1950</v>
      </c>
      <c r="R1124" s="53">
        <v>5</v>
      </c>
      <c r="S1124" s="53">
        <v>0</v>
      </c>
    </row>
    <row r="1125" spans="1:19" x14ac:dyDescent="0.3">
      <c r="A1125" s="35" t="s">
        <v>1586</v>
      </c>
      <c r="B1125" s="35" t="s">
        <v>12</v>
      </c>
      <c r="C1125" s="35" t="s">
        <v>1775</v>
      </c>
      <c r="D1125" s="35">
        <v>459.87</v>
      </c>
      <c r="E1125" s="39" t="s">
        <v>1950</v>
      </c>
      <c r="F1125" s="37">
        <v>0</v>
      </c>
      <c r="G1125" s="35" t="s">
        <v>1950</v>
      </c>
      <c r="H1125" s="37">
        <v>0</v>
      </c>
      <c r="I1125" s="37" t="s">
        <v>1950</v>
      </c>
      <c r="J1125" s="35">
        <v>1999</v>
      </c>
      <c r="K1125" s="35" t="s">
        <v>25</v>
      </c>
      <c r="L1125" s="35" t="s">
        <v>1605</v>
      </c>
      <c r="M1125" s="36">
        <v>11260</v>
      </c>
      <c r="N1125" s="53">
        <v>0</v>
      </c>
      <c r="O1125" s="40">
        <v>0</v>
      </c>
      <c r="P1125" s="35">
        <v>0</v>
      </c>
      <c r="Q1125" s="35" t="s">
        <v>1950</v>
      </c>
      <c r="R1125" s="53">
        <v>10</v>
      </c>
      <c r="S1125" s="53">
        <v>0</v>
      </c>
    </row>
    <row r="1126" spans="1:19" x14ac:dyDescent="0.3">
      <c r="A1126" s="35" t="s">
        <v>1586</v>
      </c>
      <c r="B1126" s="35" t="s">
        <v>12</v>
      </c>
      <c r="C1126" s="35" t="s">
        <v>1775</v>
      </c>
      <c r="D1126" s="35">
        <v>132.86000000000001</v>
      </c>
      <c r="E1126" s="39" t="s">
        <v>1950</v>
      </c>
      <c r="F1126" s="37">
        <v>0</v>
      </c>
      <c r="G1126" s="35" t="s">
        <v>1950</v>
      </c>
      <c r="H1126" s="37">
        <v>0</v>
      </c>
      <c r="I1126" s="37" t="s">
        <v>1950</v>
      </c>
      <c r="J1126" s="35">
        <v>2004</v>
      </c>
      <c r="K1126" s="35" t="s">
        <v>1950</v>
      </c>
      <c r="L1126" s="35" t="s">
        <v>1950</v>
      </c>
      <c r="M1126" s="36">
        <v>10700</v>
      </c>
      <c r="N1126" s="53">
        <v>0</v>
      </c>
      <c r="O1126" s="40">
        <v>0</v>
      </c>
      <c r="P1126" s="35">
        <v>0</v>
      </c>
      <c r="Q1126" s="35" t="s">
        <v>1950</v>
      </c>
      <c r="R1126" s="53">
        <v>10</v>
      </c>
      <c r="S1126" s="53">
        <v>0</v>
      </c>
    </row>
    <row r="1127" spans="1:19" x14ac:dyDescent="0.3">
      <c r="A1127" s="35" t="s">
        <v>1586</v>
      </c>
      <c r="B1127" s="35" t="s">
        <v>14</v>
      </c>
      <c r="C1127" s="35" t="s">
        <v>17</v>
      </c>
      <c r="D1127" s="35">
        <v>188.57</v>
      </c>
      <c r="E1127" s="39" t="s">
        <v>1950</v>
      </c>
      <c r="F1127" s="37">
        <v>0</v>
      </c>
      <c r="G1127" s="35" t="s">
        <v>1950</v>
      </c>
      <c r="H1127" s="37">
        <v>0</v>
      </c>
      <c r="I1127" s="37" t="s">
        <v>1950</v>
      </c>
      <c r="J1127" s="35">
        <v>2004</v>
      </c>
      <c r="K1127" s="35" t="s">
        <v>21</v>
      </c>
      <c r="L1127" s="35" t="s">
        <v>1597</v>
      </c>
      <c r="M1127" s="36">
        <v>51661</v>
      </c>
      <c r="N1127" s="53">
        <v>0</v>
      </c>
      <c r="O1127" s="40">
        <v>0</v>
      </c>
      <c r="P1127" s="35">
        <v>0</v>
      </c>
      <c r="Q1127" s="35" t="s">
        <v>1950</v>
      </c>
      <c r="R1127" s="53">
        <v>15</v>
      </c>
      <c r="S1127" s="53">
        <v>0</v>
      </c>
    </row>
    <row r="1128" spans="1:19" x14ac:dyDescent="0.3">
      <c r="A1128" s="35" t="s">
        <v>1586</v>
      </c>
      <c r="B1128" s="35" t="s">
        <v>14</v>
      </c>
      <c r="C1128" s="35" t="s">
        <v>17</v>
      </c>
      <c r="D1128" s="35">
        <v>161.13999999999999</v>
      </c>
      <c r="E1128" s="39" t="s">
        <v>1950</v>
      </c>
      <c r="F1128" s="37">
        <v>0</v>
      </c>
      <c r="G1128" s="35" t="s">
        <v>1950</v>
      </c>
      <c r="H1128" s="37">
        <v>0</v>
      </c>
      <c r="I1128" s="37" t="s">
        <v>1950</v>
      </c>
      <c r="J1128" s="35">
        <v>2013</v>
      </c>
      <c r="K1128" s="35" t="s">
        <v>19</v>
      </c>
      <c r="L1128" s="35" t="s">
        <v>1603</v>
      </c>
      <c r="M1128" s="36">
        <v>99576</v>
      </c>
      <c r="N1128" s="53">
        <v>0</v>
      </c>
      <c r="O1128" s="40">
        <v>0</v>
      </c>
      <c r="P1128" s="35">
        <v>0</v>
      </c>
      <c r="Q1128" s="35" t="s">
        <v>1950</v>
      </c>
      <c r="R1128" s="53">
        <v>12</v>
      </c>
      <c r="S1128" s="53">
        <v>0</v>
      </c>
    </row>
    <row r="1129" spans="1:19" x14ac:dyDescent="0.3">
      <c r="A1129" s="35" t="s">
        <v>1586</v>
      </c>
      <c r="B1129" s="35" t="s">
        <v>14</v>
      </c>
      <c r="C1129" s="35" t="s">
        <v>17</v>
      </c>
      <c r="D1129" s="35">
        <v>127.09</v>
      </c>
      <c r="E1129" s="39" t="s">
        <v>1950</v>
      </c>
      <c r="F1129" s="37">
        <v>0</v>
      </c>
      <c r="G1129" s="35" t="s">
        <v>1950</v>
      </c>
      <c r="H1129" s="37">
        <v>0</v>
      </c>
      <c r="I1129" s="37" t="s">
        <v>1950</v>
      </c>
      <c r="J1129" s="35">
        <v>1984</v>
      </c>
      <c r="K1129" s="35" t="s">
        <v>19</v>
      </c>
      <c r="L1129" s="35" t="s">
        <v>1601</v>
      </c>
      <c r="M1129" s="36">
        <v>66408</v>
      </c>
      <c r="N1129" s="53">
        <v>0</v>
      </c>
      <c r="O1129" s="40">
        <v>0</v>
      </c>
      <c r="P1129" s="35">
        <v>0</v>
      </c>
      <c r="Q1129" s="35" t="s">
        <v>1950</v>
      </c>
      <c r="R1129" s="53">
        <v>6</v>
      </c>
      <c r="S1129" s="53">
        <v>0</v>
      </c>
    </row>
    <row r="1130" spans="1:19" x14ac:dyDescent="0.3">
      <c r="A1130" s="35" t="s">
        <v>1586</v>
      </c>
      <c r="B1130" s="35" t="s">
        <v>14</v>
      </c>
      <c r="C1130" s="35" t="s">
        <v>17</v>
      </c>
      <c r="D1130" s="35">
        <v>83.41</v>
      </c>
      <c r="E1130" s="39" t="s">
        <v>1950</v>
      </c>
      <c r="F1130" s="37">
        <v>0</v>
      </c>
      <c r="G1130" s="35" t="s">
        <v>1950</v>
      </c>
      <c r="H1130" s="37">
        <v>0</v>
      </c>
      <c r="I1130" s="37" t="s">
        <v>1950</v>
      </c>
      <c r="J1130" s="35">
        <v>1982</v>
      </c>
      <c r="K1130" s="35" t="s">
        <v>19</v>
      </c>
      <c r="L1130" s="35" t="s">
        <v>1599</v>
      </c>
      <c r="M1130" s="36">
        <v>25879</v>
      </c>
      <c r="N1130" s="53">
        <v>0</v>
      </c>
      <c r="O1130" s="40">
        <v>0</v>
      </c>
      <c r="P1130" s="35">
        <v>0</v>
      </c>
      <c r="Q1130" s="35" t="s">
        <v>1950</v>
      </c>
      <c r="R1130" s="53">
        <v>12</v>
      </c>
      <c r="S1130" s="53">
        <v>0</v>
      </c>
    </row>
    <row r="1131" spans="1:19" x14ac:dyDescent="0.3">
      <c r="A1131" s="35" t="s">
        <v>1586</v>
      </c>
      <c r="B1131" s="35" t="s">
        <v>14</v>
      </c>
      <c r="C1131" s="35" t="s">
        <v>17</v>
      </c>
      <c r="D1131" s="35">
        <v>209.61</v>
      </c>
      <c r="E1131" s="39" t="s">
        <v>1950</v>
      </c>
      <c r="F1131" s="37">
        <v>0</v>
      </c>
      <c r="G1131" s="35" t="s">
        <v>1950</v>
      </c>
      <c r="H1131" s="37">
        <v>0</v>
      </c>
      <c r="I1131" s="37" t="s">
        <v>1950</v>
      </c>
      <c r="J1131" s="35">
        <v>2000</v>
      </c>
      <c r="K1131" s="35" t="s">
        <v>19</v>
      </c>
      <c r="L1131" s="35" t="s">
        <v>1601</v>
      </c>
      <c r="M1131" s="36">
        <v>95555</v>
      </c>
      <c r="N1131" s="53">
        <v>0</v>
      </c>
      <c r="O1131" s="40">
        <v>0</v>
      </c>
      <c r="P1131" s="35">
        <v>0</v>
      </c>
      <c r="Q1131" s="35" t="s">
        <v>1950</v>
      </c>
      <c r="R1131" s="53">
        <v>3</v>
      </c>
      <c r="S1131" s="53">
        <v>0</v>
      </c>
    </row>
    <row r="1132" spans="1:19" x14ac:dyDescent="0.3">
      <c r="A1132" s="35" t="s">
        <v>1586</v>
      </c>
      <c r="B1132" s="35" t="s">
        <v>14</v>
      </c>
      <c r="C1132" s="35" t="s">
        <v>1775</v>
      </c>
      <c r="D1132" s="35">
        <v>227.51</v>
      </c>
      <c r="E1132" s="39" t="s">
        <v>1950</v>
      </c>
      <c r="F1132" s="37">
        <v>0</v>
      </c>
      <c r="G1132" s="35" t="s">
        <v>1950</v>
      </c>
      <c r="H1132" s="37">
        <v>0</v>
      </c>
      <c r="I1132" s="37" t="s">
        <v>1950</v>
      </c>
      <c r="J1132" s="35">
        <v>2007</v>
      </c>
      <c r="K1132" s="35" t="s">
        <v>1950</v>
      </c>
      <c r="L1132" s="35" t="s">
        <v>1950</v>
      </c>
      <c r="M1132" s="36">
        <v>7684</v>
      </c>
      <c r="N1132" s="53">
        <v>0</v>
      </c>
      <c r="O1132" s="40">
        <v>0</v>
      </c>
      <c r="P1132" s="35">
        <v>0</v>
      </c>
      <c r="Q1132" s="35" t="s">
        <v>1950</v>
      </c>
      <c r="R1132" s="53">
        <v>10</v>
      </c>
      <c r="S1132" s="53">
        <v>0</v>
      </c>
    </row>
    <row r="1133" spans="1:19" x14ac:dyDescent="0.3">
      <c r="A1133" s="35" t="s">
        <v>1586</v>
      </c>
      <c r="B1133" s="35" t="s">
        <v>12</v>
      </c>
      <c r="C1133" s="35" t="s">
        <v>17</v>
      </c>
      <c r="D1133" s="35">
        <v>409.1</v>
      </c>
      <c r="E1133" s="39" t="s">
        <v>1950</v>
      </c>
      <c r="F1133" s="37">
        <v>0</v>
      </c>
      <c r="G1133" s="35" t="s">
        <v>1950</v>
      </c>
      <c r="H1133" s="37">
        <v>0</v>
      </c>
      <c r="I1133" s="37" t="s">
        <v>1950</v>
      </c>
      <c r="J1133" s="35">
        <v>2008</v>
      </c>
      <c r="K1133" s="35" t="s">
        <v>25</v>
      </c>
      <c r="L1133" s="35" t="s">
        <v>1597</v>
      </c>
      <c r="M1133" s="36">
        <v>19146</v>
      </c>
      <c r="N1133" s="53">
        <v>0</v>
      </c>
      <c r="O1133" s="40">
        <v>0</v>
      </c>
      <c r="P1133" s="35">
        <v>0</v>
      </c>
      <c r="Q1133" s="35" t="s">
        <v>1950</v>
      </c>
      <c r="R1133" s="53">
        <v>9</v>
      </c>
      <c r="S1133" s="53">
        <v>0</v>
      </c>
    </row>
    <row r="1134" spans="1:19" x14ac:dyDescent="0.3">
      <c r="A1134" s="35" t="s">
        <v>1586</v>
      </c>
      <c r="B1134" s="35" t="s">
        <v>14</v>
      </c>
      <c r="C1134" s="35" t="s">
        <v>17</v>
      </c>
      <c r="D1134" s="35">
        <v>143.33000000000001</v>
      </c>
      <c r="E1134" s="39" t="s">
        <v>1950</v>
      </c>
      <c r="F1134" s="37">
        <v>0</v>
      </c>
      <c r="G1134" s="35" t="s">
        <v>1950</v>
      </c>
      <c r="H1134" s="37">
        <v>0</v>
      </c>
      <c r="I1134" s="37" t="s">
        <v>1950</v>
      </c>
      <c r="J1134" s="35">
        <v>1995</v>
      </c>
      <c r="K1134" s="35" t="s">
        <v>19</v>
      </c>
      <c r="L1134" s="35" t="s">
        <v>1601</v>
      </c>
      <c r="M1134" s="36">
        <v>17827</v>
      </c>
      <c r="N1134" s="53">
        <v>0</v>
      </c>
      <c r="O1134" s="40">
        <v>0</v>
      </c>
      <c r="P1134" s="35">
        <v>0</v>
      </c>
      <c r="Q1134" s="35" t="s">
        <v>1950</v>
      </c>
      <c r="R1134" s="53">
        <v>7</v>
      </c>
      <c r="S1134" s="53">
        <v>0</v>
      </c>
    </row>
    <row r="1135" spans="1:19" x14ac:dyDescent="0.3">
      <c r="A1135" s="35" t="s">
        <v>1586</v>
      </c>
      <c r="B1135" s="35" t="s">
        <v>29</v>
      </c>
      <c r="C1135" s="35" t="s">
        <v>17</v>
      </c>
      <c r="D1135" s="35">
        <v>209.13</v>
      </c>
      <c r="E1135" s="39" t="s">
        <v>1950</v>
      </c>
      <c r="F1135" s="37">
        <v>0</v>
      </c>
      <c r="G1135" s="35" t="s">
        <v>1950</v>
      </c>
      <c r="H1135" s="37">
        <v>0</v>
      </c>
      <c r="I1135" s="37" t="s">
        <v>1950</v>
      </c>
      <c r="J1135" s="35">
        <v>1973</v>
      </c>
      <c r="K1135" s="35" t="s">
        <v>19</v>
      </c>
      <c r="L1135" s="35" t="s">
        <v>1601</v>
      </c>
      <c r="M1135" s="36">
        <v>37570</v>
      </c>
      <c r="N1135" s="53">
        <v>0</v>
      </c>
      <c r="O1135" s="40">
        <v>0</v>
      </c>
      <c r="P1135" s="35">
        <v>0</v>
      </c>
      <c r="Q1135" s="35" t="s">
        <v>1950</v>
      </c>
      <c r="R1135" s="53">
        <v>0</v>
      </c>
      <c r="S1135" s="53">
        <v>0</v>
      </c>
    </row>
    <row r="1136" spans="1:19" x14ac:dyDescent="0.3">
      <c r="A1136" s="35" t="s">
        <v>1586</v>
      </c>
      <c r="B1136" s="35" t="s">
        <v>29</v>
      </c>
      <c r="C1136" s="35" t="s">
        <v>1775</v>
      </c>
      <c r="D1136" s="35">
        <v>203.17</v>
      </c>
      <c r="E1136" s="39" t="s">
        <v>1950</v>
      </c>
      <c r="F1136" s="37">
        <v>0</v>
      </c>
      <c r="G1136" s="35" t="s">
        <v>1950</v>
      </c>
      <c r="H1136" s="37">
        <v>0</v>
      </c>
      <c r="I1136" s="37" t="s">
        <v>1950</v>
      </c>
      <c r="J1136" s="35">
        <v>2013</v>
      </c>
      <c r="K1136" s="35" t="s">
        <v>1950</v>
      </c>
      <c r="L1136" s="35" t="s">
        <v>1950</v>
      </c>
      <c r="M1136" s="36">
        <v>2321</v>
      </c>
      <c r="N1136" s="53">
        <v>0</v>
      </c>
      <c r="O1136" s="40">
        <v>0</v>
      </c>
      <c r="P1136" s="35">
        <v>0</v>
      </c>
      <c r="Q1136" s="35" t="s">
        <v>1950</v>
      </c>
      <c r="R1136" s="53">
        <v>7</v>
      </c>
      <c r="S1136" s="53">
        <v>0</v>
      </c>
    </row>
    <row r="1137" spans="1:19" x14ac:dyDescent="0.3">
      <c r="A1137" s="35" t="s">
        <v>1586</v>
      </c>
      <c r="B1137" s="35" t="s">
        <v>29</v>
      </c>
      <c r="C1137" s="35" t="s">
        <v>1775</v>
      </c>
      <c r="D1137" s="35">
        <v>160.26</v>
      </c>
      <c r="E1137" s="39" t="s">
        <v>1950</v>
      </c>
      <c r="F1137" s="37">
        <v>0</v>
      </c>
      <c r="G1137" s="35" t="s">
        <v>1950</v>
      </c>
      <c r="H1137" s="37">
        <v>0</v>
      </c>
      <c r="I1137" s="37" t="s">
        <v>1950</v>
      </c>
      <c r="J1137" s="35">
        <v>1920</v>
      </c>
      <c r="K1137" s="35" t="s">
        <v>1950</v>
      </c>
      <c r="L1137" s="35" t="s">
        <v>1950</v>
      </c>
      <c r="M1137" s="35">
        <v>357</v>
      </c>
      <c r="N1137" s="53">
        <v>0</v>
      </c>
      <c r="O1137" s="40">
        <v>0</v>
      </c>
      <c r="P1137" s="35">
        <v>0</v>
      </c>
      <c r="Q1137" s="35" t="s">
        <v>1950</v>
      </c>
      <c r="R1137" s="53">
        <v>1</v>
      </c>
      <c r="S1137" s="53">
        <v>0</v>
      </c>
    </row>
    <row r="1138" spans="1:19" x14ac:dyDescent="0.3">
      <c r="A1138" s="35" t="s">
        <v>1586</v>
      </c>
      <c r="B1138" s="35" t="s">
        <v>12</v>
      </c>
      <c r="C1138" s="35" t="s">
        <v>1775</v>
      </c>
      <c r="D1138" s="35">
        <v>266.39999999999998</v>
      </c>
      <c r="E1138" s="39" t="s">
        <v>1950</v>
      </c>
      <c r="F1138" s="37">
        <v>0</v>
      </c>
      <c r="G1138" s="35" t="s">
        <v>1950</v>
      </c>
      <c r="H1138" s="37">
        <v>0</v>
      </c>
      <c r="I1138" s="37" t="s">
        <v>1950</v>
      </c>
      <c r="J1138" s="35">
        <v>1975</v>
      </c>
      <c r="K1138" s="35" t="s">
        <v>1950</v>
      </c>
      <c r="L1138" s="35" t="s">
        <v>1950</v>
      </c>
      <c r="M1138" s="36">
        <v>2851</v>
      </c>
      <c r="N1138" s="53">
        <v>0</v>
      </c>
      <c r="O1138" s="40">
        <v>0</v>
      </c>
      <c r="P1138" s="35">
        <v>0</v>
      </c>
      <c r="Q1138" s="35" t="s">
        <v>1950</v>
      </c>
      <c r="R1138" s="53">
        <v>6</v>
      </c>
      <c r="S1138" s="53">
        <v>0</v>
      </c>
    </row>
    <row r="1139" spans="1:19" x14ac:dyDescent="0.3">
      <c r="A1139" s="35" t="s">
        <v>1586</v>
      </c>
      <c r="B1139" s="35" t="s">
        <v>14</v>
      </c>
      <c r="C1139" s="35" t="s">
        <v>1775</v>
      </c>
      <c r="D1139" s="35">
        <v>122.18</v>
      </c>
      <c r="E1139" s="39" t="s">
        <v>1950</v>
      </c>
      <c r="F1139" s="37">
        <v>0</v>
      </c>
      <c r="G1139" s="35" t="s">
        <v>1950</v>
      </c>
      <c r="H1139" s="37">
        <v>0</v>
      </c>
      <c r="I1139" s="37" t="s">
        <v>1950</v>
      </c>
      <c r="J1139" s="35">
        <v>1999</v>
      </c>
      <c r="K1139" s="35" t="s">
        <v>1950</v>
      </c>
      <c r="L1139" s="35" t="s">
        <v>1950</v>
      </c>
      <c r="M1139" s="36">
        <v>12709</v>
      </c>
      <c r="N1139" s="53">
        <v>0</v>
      </c>
      <c r="O1139" s="40">
        <v>0</v>
      </c>
      <c r="P1139" s="35">
        <v>0</v>
      </c>
      <c r="Q1139" s="35" t="s">
        <v>1950</v>
      </c>
      <c r="R1139" s="53">
        <v>20</v>
      </c>
      <c r="S1139" s="53">
        <v>0</v>
      </c>
    </row>
    <row r="1140" spans="1:19" x14ac:dyDescent="0.3">
      <c r="A1140" s="35" t="s">
        <v>1586</v>
      </c>
      <c r="B1140" s="35" t="s">
        <v>14</v>
      </c>
      <c r="C1140" s="35" t="s">
        <v>17</v>
      </c>
      <c r="D1140" s="35">
        <v>138.5</v>
      </c>
      <c r="E1140" s="39" t="s">
        <v>1950</v>
      </c>
      <c r="F1140" s="37">
        <v>0</v>
      </c>
      <c r="G1140" s="35" t="s">
        <v>1950</v>
      </c>
      <c r="H1140" s="37">
        <v>0</v>
      </c>
      <c r="I1140" s="37" t="s">
        <v>1950</v>
      </c>
      <c r="J1140" s="35">
        <v>1998</v>
      </c>
      <c r="K1140" s="35" t="s">
        <v>19</v>
      </c>
      <c r="L1140" s="35" t="s">
        <v>1601</v>
      </c>
      <c r="M1140" s="36">
        <v>53825</v>
      </c>
      <c r="N1140" s="53">
        <v>0</v>
      </c>
      <c r="O1140" s="40">
        <v>0</v>
      </c>
      <c r="P1140" s="35">
        <v>0</v>
      </c>
      <c r="Q1140" s="35" t="s">
        <v>1950</v>
      </c>
      <c r="R1140" s="53">
        <v>3</v>
      </c>
      <c r="S1140" s="53">
        <v>0</v>
      </c>
    </row>
    <row r="1141" spans="1:19" x14ac:dyDescent="0.3">
      <c r="A1141" s="35" t="s">
        <v>1586</v>
      </c>
      <c r="B1141" s="35" t="s">
        <v>14</v>
      </c>
      <c r="C1141" s="35" t="s">
        <v>2662</v>
      </c>
      <c r="D1141" s="35">
        <v>202.56</v>
      </c>
      <c r="E1141" s="39" t="s">
        <v>1950</v>
      </c>
      <c r="F1141" s="37">
        <v>0</v>
      </c>
      <c r="G1141" s="35" t="s">
        <v>1950</v>
      </c>
      <c r="H1141" s="37">
        <v>0</v>
      </c>
      <c r="I1141" s="37" t="s">
        <v>1950</v>
      </c>
      <c r="J1141" s="35">
        <v>2001</v>
      </c>
      <c r="K1141" s="35" t="s">
        <v>25</v>
      </c>
      <c r="L1141" s="35" t="s">
        <v>1597</v>
      </c>
      <c r="M1141" s="36">
        <v>60922</v>
      </c>
      <c r="N1141" s="53">
        <v>0</v>
      </c>
      <c r="O1141" s="40">
        <v>0</v>
      </c>
      <c r="P1141" s="35">
        <v>0</v>
      </c>
      <c r="Q1141" s="35" t="s">
        <v>1950</v>
      </c>
      <c r="R1141" s="53">
        <v>1</v>
      </c>
      <c r="S1141" s="53">
        <v>0</v>
      </c>
    </row>
    <row r="1142" spans="1:19" x14ac:dyDescent="0.3">
      <c r="A1142" s="35" t="s">
        <v>1586</v>
      </c>
      <c r="B1142" s="35" t="s">
        <v>14</v>
      </c>
      <c r="C1142" s="35" t="s">
        <v>17</v>
      </c>
      <c r="D1142" s="35">
        <v>492.73</v>
      </c>
      <c r="E1142" s="39" t="s">
        <v>1950</v>
      </c>
      <c r="F1142" s="37">
        <v>0</v>
      </c>
      <c r="G1142" s="35" t="s">
        <v>1950</v>
      </c>
      <c r="H1142" s="37">
        <v>0</v>
      </c>
      <c r="I1142" s="37" t="s">
        <v>1950</v>
      </c>
      <c r="J1142" s="35">
        <v>2014</v>
      </c>
      <c r="K1142" s="35" t="s">
        <v>19</v>
      </c>
      <c r="L1142" s="35" t="s">
        <v>1598</v>
      </c>
      <c r="M1142" s="36">
        <v>40880</v>
      </c>
      <c r="N1142" s="53">
        <v>0</v>
      </c>
      <c r="O1142" s="40">
        <v>0</v>
      </c>
      <c r="P1142" s="35">
        <v>0</v>
      </c>
      <c r="Q1142" s="35" t="s">
        <v>1950</v>
      </c>
      <c r="R1142" s="53">
        <v>6</v>
      </c>
      <c r="S1142" s="53">
        <v>0</v>
      </c>
    </row>
    <row r="1143" spans="1:19" x14ac:dyDescent="0.3">
      <c r="A1143" s="35" t="s">
        <v>1586</v>
      </c>
      <c r="B1143" s="35" t="s">
        <v>14</v>
      </c>
      <c r="C1143" s="35" t="s">
        <v>17</v>
      </c>
      <c r="D1143" s="35">
        <v>210.76</v>
      </c>
      <c r="E1143" s="39" t="s">
        <v>1950</v>
      </c>
      <c r="F1143" s="37">
        <v>0</v>
      </c>
      <c r="G1143" s="35" t="s">
        <v>1950</v>
      </c>
      <c r="H1143" s="37">
        <v>0</v>
      </c>
      <c r="I1143" s="37" t="s">
        <v>1950</v>
      </c>
      <c r="J1143" s="35">
        <v>1988</v>
      </c>
      <c r="K1143" s="35" t="s">
        <v>1950</v>
      </c>
      <c r="L1143" s="35" t="s">
        <v>1950</v>
      </c>
      <c r="M1143" s="36">
        <v>23278</v>
      </c>
      <c r="N1143" s="53">
        <v>0</v>
      </c>
      <c r="O1143" s="40">
        <v>0</v>
      </c>
      <c r="P1143" s="35">
        <v>0</v>
      </c>
      <c r="Q1143" s="35" t="s">
        <v>1950</v>
      </c>
      <c r="R1143" s="53">
        <v>16</v>
      </c>
      <c r="S1143" s="53">
        <v>0</v>
      </c>
    </row>
    <row r="1144" spans="1:19" x14ac:dyDescent="0.3">
      <c r="A1144" s="35" t="s">
        <v>1586</v>
      </c>
      <c r="B1144" s="35" t="s">
        <v>14</v>
      </c>
      <c r="C1144" s="35" t="s">
        <v>17</v>
      </c>
      <c r="D1144" s="35">
        <v>83.39</v>
      </c>
      <c r="E1144" s="39" t="s">
        <v>1950</v>
      </c>
      <c r="F1144" s="37">
        <v>0</v>
      </c>
      <c r="G1144" s="35" t="s">
        <v>1950</v>
      </c>
      <c r="H1144" s="37">
        <v>0</v>
      </c>
      <c r="I1144" s="37" t="s">
        <v>1950</v>
      </c>
      <c r="J1144" s="35">
        <v>1960</v>
      </c>
      <c r="K1144" s="35" t="s">
        <v>1950</v>
      </c>
      <c r="L1144" s="35" t="s">
        <v>1950</v>
      </c>
      <c r="M1144" s="36">
        <v>15091</v>
      </c>
      <c r="N1144" s="53">
        <v>0</v>
      </c>
      <c r="O1144" s="40">
        <v>0</v>
      </c>
      <c r="P1144" s="35">
        <v>0</v>
      </c>
      <c r="Q1144" s="35" t="s">
        <v>1950</v>
      </c>
      <c r="R1144" s="53">
        <v>14</v>
      </c>
      <c r="S1144" s="53">
        <v>0</v>
      </c>
    </row>
    <row r="1145" spans="1:19" x14ac:dyDescent="0.3">
      <c r="A1145" s="35" t="s">
        <v>1586</v>
      </c>
      <c r="B1145" s="35" t="s">
        <v>14</v>
      </c>
      <c r="C1145" s="35" t="s">
        <v>17</v>
      </c>
      <c r="D1145" s="35">
        <v>249.48</v>
      </c>
      <c r="E1145" s="39" t="s">
        <v>1950</v>
      </c>
      <c r="F1145" s="37">
        <v>0</v>
      </c>
      <c r="G1145" s="35" t="s">
        <v>1950</v>
      </c>
      <c r="H1145" s="37">
        <v>0</v>
      </c>
      <c r="I1145" s="37" t="s">
        <v>1950</v>
      </c>
      <c r="J1145" s="35">
        <v>1983</v>
      </c>
      <c r="K1145" s="35" t="s">
        <v>19</v>
      </c>
      <c r="L1145" s="35" t="s">
        <v>1597</v>
      </c>
      <c r="M1145" s="36">
        <v>99012</v>
      </c>
      <c r="N1145" s="53">
        <v>0</v>
      </c>
      <c r="O1145" s="40">
        <v>0</v>
      </c>
      <c r="P1145" s="35">
        <v>0</v>
      </c>
      <c r="Q1145" s="35" t="s">
        <v>1950</v>
      </c>
      <c r="R1145" s="53">
        <v>7</v>
      </c>
      <c r="S1145" s="53">
        <v>0</v>
      </c>
    </row>
    <row r="1146" spans="1:19" x14ac:dyDescent="0.3">
      <c r="A1146" s="35" t="s">
        <v>1586</v>
      </c>
      <c r="B1146" s="35" t="s">
        <v>29</v>
      </c>
      <c r="C1146" s="35" t="s">
        <v>1775</v>
      </c>
      <c r="D1146" s="35">
        <v>509.62</v>
      </c>
      <c r="E1146" s="39" t="s">
        <v>1950</v>
      </c>
      <c r="F1146" s="37">
        <v>0</v>
      </c>
      <c r="G1146" s="35" t="s">
        <v>1950</v>
      </c>
      <c r="H1146" s="37">
        <v>0</v>
      </c>
      <c r="I1146" s="37" t="s">
        <v>1950</v>
      </c>
      <c r="J1146" s="35">
        <v>2015</v>
      </c>
      <c r="K1146" s="35" t="s">
        <v>1950</v>
      </c>
      <c r="L1146" s="35" t="s">
        <v>1950</v>
      </c>
      <c r="M1146" s="36">
        <v>12621</v>
      </c>
      <c r="N1146" s="53">
        <v>0</v>
      </c>
      <c r="O1146" s="40">
        <v>0</v>
      </c>
      <c r="P1146" s="35">
        <v>0</v>
      </c>
      <c r="Q1146" s="35" t="s">
        <v>1950</v>
      </c>
      <c r="R1146" s="53">
        <v>5</v>
      </c>
      <c r="S1146" s="53">
        <v>0</v>
      </c>
    </row>
    <row r="1147" spans="1:19" x14ac:dyDescent="0.3">
      <c r="A1147" s="35" t="s">
        <v>1586</v>
      </c>
      <c r="B1147" s="35" t="s">
        <v>14</v>
      </c>
      <c r="C1147" s="35" t="s">
        <v>1775</v>
      </c>
      <c r="D1147" s="35">
        <v>85.55</v>
      </c>
      <c r="E1147" s="39" t="s">
        <v>1950</v>
      </c>
      <c r="F1147" s="37">
        <v>0</v>
      </c>
      <c r="G1147" s="35" t="s">
        <v>1950</v>
      </c>
      <c r="H1147" s="37">
        <v>0</v>
      </c>
      <c r="I1147" s="37" t="s">
        <v>1950</v>
      </c>
      <c r="J1147" s="35">
        <v>2018</v>
      </c>
      <c r="K1147" s="35" t="s">
        <v>1950</v>
      </c>
      <c r="L1147" s="35" t="s">
        <v>1950</v>
      </c>
      <c r="M1147" s="36">
        <v>14293</v>
      </c>
      <c r="N1147" s="53">
        <v>0</v>
      </c>
      <c r="O1147" s="40">
        <v>0</v>
      </c>
      <c r="P1147" s="35">
        <v>0</v>
      </c>
      <c r="Q1147" s="35" t="s">
        <v>1950</v>
      </c>
      <c r="R1147" s="53">
        <v>1</v>
      </c>
      <c r="S1147" s="53">
        <v>0</v>
      </c>
    </row>
    <row r="1148" spans="1:19" x14ac:dyDescent="0.3">
      <c r="A1148" s="35" t="s">
        <v>1586</v>
      </c>
      <c r="B1148" s="35" t="s">
        <v>14</v>
      </c>
      <c r="C1148" s="35" t="s">
        <v>17</v>
      </c>
      <c r="D1148" s="35">
        <v>189.65</v>
      </c>
      <c r="E1148" s="39" t="s">
        <v>1950</v>
      </c>
      <c r="F1148" s="37">
        <v>0</v>
      </c>
      <c r="G1148" s="35" t="s">
        <v>1950</v>
      </c>
      <c r="H1148" s="37">
        <v>0</v>
      </c>
      <c r="I1148" s="37" t="s">
        <v>1950</v>
      </c>
      <c r="J1148" s="35">
        <v>2009</v>
      </c>
      <c r="K1148" s="35" t="s">
        <v>19</v>
      </c>
      <c r="L1148" s="35" t="s">
        <v>1601</v>
      </c>
      <c r="M1148" s="36">
        <v>23418</v>
      </c>
      <c r="N1148" s="53">
        <v>0</v>
      </c>
      <c r="O1148" s="40">
        <v>0</v>
      </c>
      <c r="P1148" s="35">
        <v>0</v>
      </c>
      <c r="Q1148" s="35" t="s">
        <v>1950</v>
      </c>
      <c r="R1148" s="53">
        <v>10</v>
      </c>
      <c r="S1148" s="53">
        <v>0</v>
      </c>
    </row>
    <row r="1149" spans="1:19" x14ac:dyDescent="0.3">
      <c r="A1149" s="35" t="s">
        <v>1586</v>
      </c>
      <c r="B1149" s="35" t="s">
        <v>8</v>
      </c>
      <c r="C1149" s="35" t="s">
        <v>1775</v>
      </c>
      <c r="D1149" s="35">
        <v>270.23</v>
      </c>
      <c r="E1149" s="39" t="s">
        <v>1950</v>
      </c>
      <c r="F1149" s="37">
        <v>0</v>
      </c>
      <c r="G1149" s="35" t="s">
        <v>1950</v>
      </c>
      <c r="H1149" s="37">
        <v>0</v>
      </c>
      <c r="I1149" s="37" t="s">
        <v>1950</v>
      </c>
      <c r="J1149" s="35">
        <v>1996</v>
      </c>
      <c r="K1149" s="35" t="s">
        <v>1950</v>
      </c>
      <c r="L1149" s="35" t="s">
        <v>1950</v>
      </c>
      <c r="M1149" s="36">
        <v>13128</v>
      </c>
      <c r="N1149" s="53">
        <v>0</v>
      </c>
      <c r="O1149" s="40">
        <v>0</v>
      </c>
      <c r="P1149" s="35">
        <v>0</v>
      </c>
      <c r="Q1149" s="35" t="s">
        <v>1950</v>
      </c>
      <c r="R1149" s="53">
        <v>23</v>
      </c>
      <c r="S1149" s="53">
        <v>0</v>
      </c>
    </row>
    <row r="1150" spans="1:19" x14ac:dyDescent="0.3">
      <c r="A1150" s="35" t="s">
        <v>1586</v>
      </c>
      <c r="B1150" s="35" t="s">
        <v>14</v>
      </c>
      <c r="C1150" s="35" t="s">
        <v>17</v>
      </c>
      <c r="D1150" s="35">
        <v>74.72</v>
      </c>
      <c r="E1150" s="39" t="s">
        <v>1950</v>
      </c>
      <c r="F1150" s="37">
        <v>0</v>
      </c>
      <c r="G1150" s="35" t="s">
        <v>1950</v>
      </c>
      <c r="H1150" s="37">
        <v>0</v>
      </c>
      <c r="I1150" s="37" t="s">
        <v>1950</v>
      </c>
      <c r="J1150" s="35">
        <v>2018</v>
      </c>
      <c r="K1150" s="35" t="s">
        <v>1950</v>
      </c>
      <c r="L1150" s="35" t="s">
        <v>1950</v>
      </c>
      <c r="M1150" s="36">
        <v>32383</v>
      </c>
      <c r="N1150" s="53">
        <v>0</v>
      </c>
      <c r="O1150" s="40">
        <v>0</v>
      </c>
      <c r="P1150" s="35">
        <v>0</v>
      </c>
      <c r="Q1150" s="35" t="s">
        <v>1950</v>
      </c>
      <c r="R1150" s="53">
        <v>2</v>
      </c>
      <c r="S1150" s="53">
        <v>0</v>
      </c>
    </row>
    <row r="1151" spans="1:19" x14ac:dyDescent="0.3">
      <c r="A1151" s="35" t="s">
        <v>1586</v>
      </c>
      <c r="B1151" s="35" t="s">
        <v>8</v>
      </c>
      <c r="C1151" s="35" t="s">
        <v>2662</v>
      </c>
      <c r="D1151" s="35">
        <v>344.39</v>
      </c>
      <c r="E1151" s="39" t="s">
        <v>1950</v>
      </c>
      <c r="F1151" s="37">
        <v>0</v>
      </c>
      <c r="G1151" s="35" t="s">
        <v>1950</v>
      </c>
      <c r="H1151" s="37">
        <v>0</v>
      </c>
      <c r="I1151" s="37" t="s">
        <v>1950</v>
      </c>
      <c r="J1151" s="35">
        <v>2013</v>
      </c>
      <c r="K1151" s="35" t="s">
        <v>19</v>
      </c>
      <c r="L1151" s="35" t="s">
        <v>1603</v>
      </c>
      <c r="M1151" s="36">
        <v>70961</v>
      </c>
      <c r="N1151" s="53">
        <v>0</v>
      </c>
      <c r="O1151" s="40">
        <v>0</v>
      </c>
      <c r="P1151" s="35">
        <v>0</v>
      </c>
      <c r="Q1151" s="35" t="s">
        <v>1950</v>
      </c>
      <c r="R1151" s="53">
        <v>5</v>
      </c>
      <c r="S1151" s="53">
        <v>0</v>
      </c>
    </row>
    <row r="1152" spans="1:19" x14ac:dyDescent="0.3">
      <c r="A1152" s="35" t="s">
        <v>1586</v>
      </c>
      <c r="B1152" s="35" t="s">
        <v>12</v>
      </c>
      <c r="C1152" s="35" t="s">
        <v>1775</v>
      </c>
      <c r="D1152" s="35">
        <v>381.7</v>
      </c>
      <c r="E1152" s="39" t="s">
        <v>1950</v>
      </c>
      <c r="F1152" s="37">
        <v>0</v>
      </c>
      <c r="G1152" s="35" t="s">
        <v>1950</v>
      </c>
      <c r="H1152" s="37">
        <v>0</v>
      </c>
      <c r="I1152" s="37" t="s">
        <v>1950</v>
      </c>
      <c r="J1152" s="35">
        <v>1996</v>
      </c>
      <c r="K1152" s="35" t="s">
        <v>25</v>
      </c>
      <c r="L1152" s="35" t="s">
        <v>1597</v>
      </c>
      <c r="M1152" s="36">
        <v>11820</v>
      </c>
      <c r="N1152" s="53">
        <v>0</v>
      </c>
      <c r="O1152" s="40">
        <v>0</v>
      </c>
      <c r="P1152" s="35">
        <v>0</v>
      </c>
      <c r="Q1152" s="35" t="s">
        <v>1950</v>
      </c>
      <c r="R1152" s="53">
        <v>7</v>
      </c>
      <c r="S1152" s="53">
        <v>0</v>
      </c>
    </row>
    <row r="1153" spans="1:19" x14ac:dyDescent="0.3">
      <c r="A1153" s="35" t="s">
        <v>1586</v>
      </c>
      <c r="B1153" s="35" t="s">
        <v>14</v>
      </c>
      <c r="C1153" s="35" t="s">
        <v>1775</v>
      </c>
      <c r="D1153" s="35">
        <v>208.59</v>
      </c>
      <c r="E1153" s="39" t="s">
        <v>1950</v>
      </c>
      <c r="F1153" s="37">
        <v>0</v>
      </c>
      <c r="G1153" s="35" t="s">
        <v>1950</v>
      </c>
      <c r="H1153" s="37">
        <v>0</v>
      </c>
      <c r="I1153" s="37" t="s">
        <v>1950</v>
      </c>
      <c r="J1153" s="35">
        <v>2014</v>
      </c>
      <c r="K1153" s="35" t="s">
        <v>25</v>
      </c>
      <c r="L1153" s="35" t="s">
        <v>1601</v>
      </c>
      <c r="M1153" s="36">
        <v>5345</v>
      </c>
      <c r="N1153" s="53">
        <v>0</v>
      </c>
      <c r="O1153" s="40">
        <v>0</v>
      </c>
      <c r="P1153" s="35">
        <v>0</v>
      </c>
      <c r="Q1153" s="35" t="s">
        <v>1950</v>
      </c>
      <c r="R1153" s="53">
        <v>4</v>
      </c>
      <c r="S1153" s="53">
        <v>0</v>
      </c>
    </row>
    <row r="1154" spans="1:19" x14ac:dyDescent="0.3">
      <c r="A1154" s="35" t="s">
        <v>1586</v>
      </c>
      <c r="B1154" s="35" t="s">
        <v>14</v>
      </c>
      <c r="C1154" s="35" t="s">
        <v>17</v>
      </c>
      <c r="D1154" s="35">
        <v>2.34</v>
      </c>
      <c r="E1154" s="39" t="s">
        <v>1950</v>
      </c>
      <c r="F1154" s="37">
        <v>0</v>
      </c>
      <c r="G1154" s="35" t="s">
        <v>1950</v>
      </c>
      <c r="H1154" s="37">
        <v>0</v>
      </c>
      <c r="I1154" s="37" t="s">
        <v>1950</v>
      </c>
      <c r="J1154" s="35">
        <v>1978</v>
      </c>
      <c r="K1154" s="35" t="s">
        <v>1950</v>
      </c>
      <c r="L1154" s="35" t="s">
        <v>1950</v>
      </c>
      <c r="M1154" s="36">
        <v>417496</v>
      </c>
      <c r="N1154" s="53">
        <v>0</v>
      </c>
      <c r="O1154" s="40">
        <v>0</v>
      </c>
      <c r="P1154" s="35">
        <v>0</v>
      </c>
      <c r="Q1154" s="35" t="s">
        <v>1950</v>
      </c>
      <c r="R1154" s="53">
        <v>7</v>
      </c>
      <c r="S1154" s="53">
        <v>0</v>
      </c>
    </row>
    <row r="1155" spans="1:19" x14ac:dyDescent="0.3">
      <c r="A1155" s="35" t="s">
        <v>1586</v>
      </c>
      <c r="B1155" s="35" t="s">
        <v>12</v>
      </c>
      <c r="C1155" s="35" t="s">
        <v>17</v>
      </c>
      <c r="D1155" s="35">
        <v>442.79</v>
      </c>
      <c r="E1155" s="39" t="s">
        <v>1950</v>
      </c>
      <c r="F1155" s="37">
        <v>0</v>
      </c>
      <c r="G1155" s="35" t="s">
        <v>1950</v>
      </c>
      <c r="H1155" s="37">
        <v>0</v>
      </c>
      <c r="I1155" s="37" t="s">
        <v>1950</v>
      </c>
      <c r="J1155" s="35">
        <v>1999</v>
      </c>
      <c r="K1155" s="35" t="s">
        <v>19</v>
      </c>
      <c r="L1155" s="35" t="s">
        <v>1597</v>
      </c>
      <c r="M1155" s="36">
        <v>58450</v>
      </c>
      <c r="N1155" s="53">
        <v>0</v>
      </c>
      <c r="O1155" s="40">
        <v>0</v>
      </c>
      <c r="P1155" s="35">
        <v>0</v>
      </c>
      <c r="Q1155" s="35" t="s">
        <v>1950</v>
      </c>
      <c r="R1155" s="53">
        <v>8</v>
      </c>
      <c r="S1155" s="53">
        <v>0</v>
      </c>
    </row>
    <row r="1156" spans="1:19" x14ac:dyDescent="0.3">
      <c r="A1156" s="35" t="s">
        <v>1586</v>
      </c>
      <c r="B1156" s="35" t="s">
        <v>14</v>
      </c>
      <c r="C1156" s="35" t="s">
        <v>17</v>
      </c>
      <c r="D1156" s="35">
        <v>68.569999999999993</v>
      </c>
      <c r="E1156" s="39" t="s">
        <v>1950</v>
      </c>
      <c r="F1156" s="37">
        <v>0</v>
      </c>
      <c r="G1156" s="35" t="s">
        <v>1950</v>
      </c>
      <c r="H1156" s="37">
        <v>0</v>
      </c>
      <c r="I1156" s="37" t="s">
        <v>1950</v>
      </c>
      <c r="J1156" s="35">
        <v>2005</v>
      </c>
      <c r="K1156" s="35" t="s">
        <v>1950</v>
      </c>
      <c r="L1156" s="35" t="s">
        <v>1950</v>
      </c>
      <c r="M1156" s="36">
        <v>24707</v>
      </c>
      <c r="N1156" s="53">
        <v>0</v>
      </c>
      <c r="O1156" s="40">
        <v>0</v>
      </c>
      <c r="P1156" s="35">
        <v>0</v>
      </c>
      <c r="Q1156" s="35" t="s">
        <v>1950</v>
      </c>
      <c r="R1156" s="53">
        <v>12</v>
      </c>
      <c r="S1156" s="53">
        <v>0</v>
      </c>
    </row>
    <row r="1157" spans="1:19" x14ac:dyDescent="0.3">
      <c r="A1157" s="35" t="s">
        <v>1586</v>
      </c>
      <c r="B1157" s="35" t="s">
        <v>14</v>
      </c>
      <c r="C1157" s="35" t="s">
        <v>1775</v>
      </c>
      <c r="D1157" s="35">
        <v>220.19</v>
      </c>
      <c r="E1157" s="39" t="s">
        <v>1950</v>
      </c>
      <c r="F1157" s="37">
        <v>0</v>
      </c>
      <c r="G1157" s="35" t="s">
        <v>1950</v>
      </c>
      <c r="H1157" s="37">
        <v>0</v>
      </c>
      <c r="I1157" s="37" t="s">
        <v>1950</v>
      </c>
      <c r="J1157" s="35">
        <v>1999</v>
      </c>
      <c r="K1157" s="35" t="s">
        <v>1950</v>
      </c>
      <c r="L1157" s="35" t="s">
        <v>1950</v>
      </c>
      <c r="M1157" s="36">
        <v>2295</v>
      </c>
      <c r="N1157" s="53">
        <v>0</v>
      </c>
      <c r="O1157" s="40">
        <v>0</v>
      </c>
      <c r="P1157" s="35">
        <v>0</v>
      </c>
      <c r="Q1157" s="35" t="s">
        <v>1950</v>
      </c>
      <c r="R1157" s="53">
        <v>2</v>
      </c>
      <c r="S1157" s="53">
        <v>0</v>
      </c>
    </row>
    <row r="1158" spans="1:19" x14ac:dyDescent="0.3">
      <c r="A1158" s="35" t="s">
        <v>1586</v>
      </c>
      <c r="B1158" s="35" t="s">
        <v>14</v>
      </c>
      <c r="C1158" s="35" t="s">
        <v>1775</v>
      </c>
      <c r="D1158" s="35">
        <v>129.97</v>
      </c>
      <c r="E1158" s="39" t="s">
        <v>1950</v>
      </c>
      <c r="F1158" s="37">
        <v>0</v>
      </c>
      <c r="G1158" s="35" t="s">
        <v>1950</v>
      </c>
      <c r="H1158" s="37">
        <v>0</v>
      </c>
      <c r="I1158" s="37" t="s">
        <v>1950</v>
      </c>
      <c r="J1158" s="35">
        <v>1995</v>
      </c>
      <c r="K1158" s="35" t="s">
        <v>1950</v>
      </c>
      <c r="L1158" s="35" t="s">
        <v>1950</v>
      </c>
      <c r="M1158" s="36">
        <v>10943</v>
      </c>
      <c r="N1158" s="53">
        <v>0</v>
      </c>
      <c r="O1158" s="40">
        <v>0</v>
      </c>
      <c r="P1158" s="35">
        <v>0</v>
      </c>
      <c r="Q1158" s="35" t="s">
        <v>1950</v>
      </c>
      <c r="R1158" s="53">
        <v>27</v>
      </c>
      <c r="S1158" s="53">
        <v>0</v>
      </c>
    </row>
    <row r="1159" spans="1:19" x14ac:dyDescent="0.3">
      <c r="A1159" s="35" t="s">
        <v>1586</v>
      </c>
      <c r="B1159" s="35" t="s">
        <v>12</v>
      </c>
      <c r="C1159" s="35" t="s">
        <v>17</v>
      </c>
      <c r="D1159" s="35">
        <v>426.19</v>
      </c>
      <c r="E1159" s="39" t="s">
        <v>1950</v>
      </c>
      <c r="F1159" s="37">
        <v>0</v>
      </c>
      <c r="G1159" s="35" t="s">
        <v>1950</v>
      </c>
      <c r="H1159" s="37">
        <v>0</v>
      </c>
      <c r="I1159" s="37" t="s">
        <v>1950</v>
      </c>
      <c r="J1159" s="35">
        <v>1998</v>
      </c>
      <c r="K1159" s="35" t="s">
        <v>25</v>
      </c>
      <c r="L1159" s="35" t="s">
        <v>1601</v>
      </c>
      <c r="M1159" s="36">
        <v>24182</v>
      </c>
      <c r="N1159" s="53">
        <v>0</v>
      </c>
      <c r="O1159" s="40">
        <v>0</v>
      </c>
      <c r="P1159" s="35">
        <v>0</v>
      </c>
      <c r="Q1159" s="35" t="s">
        <v>1950</v>
      </c>
      <c r="R1159" s="53">
        <v>8</v>
      </c>
      <c r="S1159" s="53">
        <v>0</v>
      </c>
    </row>
    <row r="1160" spans="1:19" x14ac:dyDescent="0.3">
      <c r="A1160" s="35" t="s">
        <v>1586</v>
      </c>
      <c r="B1160" s="35" t="s">
        <v>14</v>
      </c>
      <c r="C1160" s="35" t="s">
        <v>1775</v>
      </c>
      <c r="D1160" s="35">
        <v>151.12</v>
      </c>
      <c r="E1160" s="39" t="s">
        <v>1950</v>
      </c>
      <c r="F1160" s="37">
        <v>0</v>
      </c>
      <c r="G1160" s="35" t="s">
        <v>1950</v>
      </c>
      <c r="H1160" s="37">
        <v>0</v>
      </c>
      <c r="I1160" s="37" t="s">
        <v>1950</v>
      </c>
      <c r="J1160" s="35">
        <v>1992</v>
      </c>
      <c r="K1160" s="35" t="s">
        <v>1950</v>
      </c>
      <c r="L1160" s="35" t="s">
        <v>1950</v>
      </c>
      <c r="M1160" s="36">
        <v>5000</v>
      </c>
      <c r="N1160" s="53">
        <v>0</v>
      </c>
      <c r="O1160" s="40">
        <v>0</v>
      </c>
      <c r="P1160" s="35">
        <v>0</v>
      </c>
      <c r="Q1160" s="35" t="s">
        <v>1950</v>
      </c>
      <c r="R1160" s="53">
        <v>4</v>
      </c>
      <c r="S1160" s="53">
        <v>0</v>
      </c>
    </row>
    <row r="1161" spans="1:19" x14ac:dyDescent="0.3">
      <c r="A1161" s="35" t="s">
        <v>1586</v>
      </c>
      <c r="B1161" s="35" t="s">
        <v>14</v>
      </c>
      <c r="C1161" s="35" t="s">
        <v>1775</v>
      </c>
      <c r="D1161" s="35">
        <v>173.09</v>
      </c>
      <c r="E1161" s="39" t="s">
        <v>1950</v>
      </c>
      <c r="F1161" s="37">
        <v>0</v>
      </c>
      <c r="G1161" s="35" t="s">
        <v>1950</v>
      </c>
      <c r="H1161" s="37">
        <v>0</v>
      </c>
      <c r="I1161" s="37" t="s">
        <v>1950</v>
      </c>
      <c r="J1161" s="35">
        <v>1996</v>
      </c>
      <c r="K1161" s="35" t="s">
        <v>1950</v>
      </c>
      <c r="L1161" s="35" t="s">
        <v>1950</v>
      </c>
      <c r="M1161" s="36">
        <v>10580</v>
      </c>
      <c r="N1161" s="53">
        <v>0</v>
      </c>
      <c r="O1161" s="40">
        <v>0</v>
      </c>
      <c r="P1161" s="35">
        <v>0</v>
      </c>
      <c r="Q1161" s="35" t="s">
        <v>1950</v>
      </c>
      <c r="R1161" s="53">
        <v>4</v>
      </c>
      <c r="S1161" s="53">
        <v>0</v>
      </c>
    </row>
    <row r="1162" spans="1:19" x14ac:dyDescent="0.3">
      <c r="A1162" s="35" t="s">
        <v>1586</v>
      </c>
      <c r="B1162" s="35" t="s">
        <v>14</v>
      </c>
      <c r="C1162" s="35" t="s">
        <v>17</v>
      </c>
      <c r="D1162" s="35">
        <v>107.02</v>
      </c>
      <c r="E1162" s="39" t="s">
        <v>1950</v>
      </c>
      <c r="F1162" s="37">
        <v>0</v>
      </c>
      <c r="G1162" s="35" t="s">
        <v>1950</v>
      </c>
      <c r="H1162" s="37">
        <v>0</v>
      </c>
      <c r="I1162" s="37" t="s">
        <v>1950</v>
      </c>
      <c r="J1162" s="35">
        <v>1978</v>
      </c>
      <c r="K1162" s="35" t="s">
        <v>1950</v>
      </c>
      <c r="L1162" s="35" t="s">
        <v>1950</v>
      </c>
      <c r="M1162" s="36">
        <v>15590</v>
      </c>
      <c r="N1162" s="53">
        <v>0</v>
      </c>
      <c r="O1162" s="40">
        <v>0</v>
      </c>
      <c r="P1162" s="35">
        <v>0</v>
      </c>
      <c r="Q1162" s="35" t="s">
        <v>1950</v>
      </c>
      <c r="R1162" s="53">
        <v>32</v>
      </c>
      <c r="S1162" s="53">
        <v>0</v>
      </c>
    </row>
    <row r="1163" spans="1:19" x14ac:dyDescent="0.3">
      <c r="A1163" s="35" t="s">
        <v>1586</v>
      </c>
      <c r="B1163" s="35" t="s">
        <v>12</v>
      </c>
      <c r="C1163" s="35" t="s">
        <v>1775</v>
      </c>
      <c r="D1163" s="35">
        <v>274.89999999999998</v>
      </c>
      <c r="E1163" s="39" t="s">
        <v>1950</v>
      </c>
      <c r="F1163" s="37">
        <v>0</v>
      </c>
      <c r="G1163" s="35" t="s">
        <v>1950</v>
      </c>
      <c r="H1163" s="37">
        <v>0</v>
      </c>
      <c r="I1163" s="37" t="s">
        <v>1950</v>
      </c>
      <c r="J1163" s="35">
        <v>2014</v>
      </c>
      <c r="K1163" s="35" t="s">
        <v>25</v>
      </c>
      <c r="L1163" s="35" t="s">
        <v>1603</v>
      </c>
      <c r="M1163" s="36">
        <v>9333</v>
      </c>
      <c r="N1163" s="53">
        <v>0</v>
      </c>
      <c r="O1163" s="40">
        <v>0</v>
      </c>
      <c r="P1163" s="35">
        <v>0</v>
      </c>
      <c r="Q1163" s="35" t="s">
        <v>1950</v>
      </c>
      <c r="R1163" s="53">
        <v>7</v>
      </c>
      <c r="S1163" s="53">
        <v>0</v>
      </c>
    </row>
    <row r="1164" spans="1:19" x14ac:dyDescent="0.3">
      <c r="A1164" s="35" t="s">
        <v>1586</v>
      </c>
      <c r="B1164" s="35" t="s">
        <v>14</v>
      </c>
      <c r="C1164" s="35" t="s">
        <v>1775</v>
      </c>
      <c r="D1164" s="35">
        <v>66.83</v>
      </c>
      <c r="E1164" s="39" t="s">
        <v>1950</v>
      </c>
      <c r="F1164" s="37">
        <v>0</v>
      </c>
      <c r="G1164" s="35" t="s">
        <v>1950</v>
      </c>
      <c r="H1164" s="37">
        <v>0</v>
      </c>
      <c r="I1164" s="37" t="s">
        <v>1950</v>
      </c>
      <c r="J1164" s="35">
        <v>2013</v>
      </c>
      <c r="K1164" s="35" t="s">
        <v>1950</v>
      </c>
      <c r="L1164" s="35" t="s">
        <v>1950</v>
      </c>
      <c r="M1164" s="36">
        <v>11735</v>
      </c>
      <c r="N1164" s="53">
        <v>0</v>
      </c>
      <c r="O1164" s="40">
        <v>0</v>
      </c>
      <c r="P1164" s="35">
        <v>0</v>
      </c>
      <c r="Q1164" s="35" t="s">
        <v>1950</v>
      </c>
      <c r="R1164" s="53">
        <v>0</v>
      </c>
      <c r="S1164" s="53">
        <v>0</v>
      </c>
    </row>
    <row r="1165" spans="1:19" x14ac:dyDescent="0.3">
      <c r="A1165" s="35" t="s">
        <v>1586</v>
      </c>
      <c r="B1165" s="35" t="s">
        <v>14</v>
      </c>
      <c r="C1165" s="35" t="s">
        <v>1775</v>
      </c>
      <c r="D1165" s="35">
        <v>131.88999999999999</v>
      </c>
      <c r="E1165" s="39" t="s">
        <v>1950</v>
      </c>
      <c r="F1165" s="37">
        <v>0</v>
      </c>
      <c r="G1165" s="35" t="s">
        <v>1950</v>
      </c>
      <c r="H1165" s="37">
        <v>0</v>
      </c>
      <c r="I1165" s="37" t="s">
        <v>1950</v>
      </c>
      <c r="J1165" s="35">
        <v>2009</v>
      </c>
      <c r="K1165" s="35" t="s">
        <v>1950</v>
      </c>
      <c r="L1165" s="35" t="s">
        <v>1950</v>
      </c>
      <c r="M1165" s="36">
        <v>5274</v>
      </c>
      <c r="N1165" s="53">
        <v>0</v>
      </c>
      <c r="O1165" s="40">
        <v>0</v>
      </c>
      <c r="P1165" s="35">
        <v>0</v>
      </c>
      <c r="Q1165" s="35" t="s">
        <v>1950</v>
      </c>
      <c r="R1165" s="53">
        <v>10</v>
      </c>
      <c r="S1165" s="53">
        <v>0</v>
      </c>
    </row>
    <row r="1166" spans="1:19" x14ac:dyDescent="0.3">
      <c r="A1166" s="35" t="s">
        <v>1586</v>
      </c>
      <c r="B1166" s="35" t="s">
        <v>14</v>
      </c>
      <c r="C1166" s="35" t="s">
        <v>17</v>
      </c>
      <c r="D1166" s="35">
        <v>125.4</v>
      </c>
      <c r="E1166" s="39" t="s">
        <v>1950</v>
      </c>
      <c r="F1166" s="37">
        <v>0</v>
      </c>
      <c r="G1166" s="35" t="s">
        <v>1950</v>
      </c>
      <c r="H1166" s="37">
        <v>0</v>
      </c>
      <c r="I1166" s="37" t="s">
        <v>1950</v>
      </c>
      <c r="J1166" s="35">
        <v>2002</v>
      </c>
      <c r="K1166" s="35" t="s">
        <v>19</v>
      </c>
      <c r="L1166" s="35" t="s">
        <v>1599</v>
      </c>
      <c r="M1166" s="36">
        <v>41840</v>
      </c>
      <c r="N1166" s="53">
        <v>0</v>
      </c>
      <c r="O1166" s="40">
        <v>0</v>
      </c>
      <c r="P1166" s="35">
        <v>0</v>
      </c>
      <c r="Q1166" s="35" t="s">
        <v>1950</v>
      </c>
      <c r="R1166" s="53">
        <v>4</v>
      </c>
      <c r="S1166" s="53">
        <v>0</v>
      </c>
    </row>
    <row r="1167" spans="1:19" x14ac:dyDescent="0.3">
      <c r="A1167" s="35" t="s">
        <v>1586</v>
      </c>
      <c r="B1167" s="35" t="s">
        <v>14</v>
      </c>
      <c r="C1167" s="35" t="s">
        <v>17</v>
      </c>
      <c r="D1167" s="35">
        <v>215.47</v>
      </c>
      <c r="E1167" s="39" t="s">
        <v>1950</v>
      </c>
      <c r="F1167" s="37">
        <v>0</v>
      </c>
      <c r="G1167" s="35" t="s">
        <v>1950</v>
      </c>
      <c r="H1167" s="37">
        <v>0</v>
      </c>
      <c r="I1167" s="37" t="s">
        <v>1950</v>
      </c>
      <c r="J1167" s="35">
        <v>2016</v>
      </c>
      <c r="K1167" s="35" t="s">
        <v>19</v>
      </c>
      <c r="L1167" s="35" t="s">
        <v>1598</v>
      </c>
      <c r="M1167" s="36">
        <v>120268</v>
      </c>
      <c r="N1167" s="53">
        <v>0</v>
      </c>
      <c r="O1167" s="40">
        <v>0</v>
      </c>
      <c r="P1167" s="35">
        <v>0</v>
      </c>
      <c r="Q1167" s="35" t="s">
        <v>1950</v>
      </c>
      <c r="R1167" s="53">
        <v>4</v>
      </c>
      <c r="S1167" s="53">
        <v>0</v>
      </c>
    </row>
    <row r="1168" spans="1:19" x14ac:dyDescent="0.3">
      <c r="A1168" s="35" t="s">
        <v>1586</v>
      </c>
      <c r="B1168" s="35" t="s">
        <v>14</v>
      </c>
      <c r="C1168" s="35" t="s">
        <v>17</v>
      </c>
      <c r="D1168" s="35">
        <v>103.67</v>
      </c>
      <c r="E1168" s="39" t="s">
        <v>1950</v>
      </c>
      <c r="F1168" s="37">
        <v>0</v>
      </c>
      <c r="G1168" s="35" t="s">
        <v>1950</v>
      </c>
      <c r="H1168" s="37">
        <v>0</v>
      </c>
      <c r="I1168" s="37" t="s">
        <v>1950</v>
      </c>
      <c r="J1168" s="35">
        <v>2017</v>
      </c>
      <c r="K1168" s="35" t="s">
        <v>21</v>
      </c>
      <c r="L1168" s="35" t="s">
        <v>1601</v>
      </c>
      <c r="M1168" s="36">
        <v>21678</v>
      </c>
      <c r="N1168" s="53">
        <v>0</v>
      </c>
      <c r="O1168" s="40">
        <v>0</v>
      </c>
      <c r="P1168" s="35">
        <v>0</v>
      </c>
      <c r="Q1168" s="35" t="s">
        <v>1950</v>
      </c>
      <c r="R1168" s="53">
        <v>2</v>
      </c>
      <c r="S1168" s="53">
        <v>0</v>
      </c>
    </row>
    <row r="1169" spans="1:19" x14ac:dyDescent="0.3">
      <c r="A1169" s="35" t="s">
        <v>1586</v>
      </c>
      <c r="B1169" s="35" t="s">
        <v>12</v>
      </c>
      <c r="C1169" s="35" t="s">
        <v>1775</v>
      </c>
      <c r="D1169" s="35">
        <v>458.86</v>
      </c>
      <c r="E1169" s="39" t="s">
        <v>1950</v>
      </c>
      <c r="F1169" s="37">
        <v>0</v>
      </c>
      <c r="G1169" s="35" t="s">
        <v>1950</v>
      </c>
      <c r="H1169" s="37">
        <v>0</v>
      </c>
      <c r="I1169" s="37" t="s">
        <v>1950</v>
      </c>
      <c r="J1169" s="35">
        <v>2011</v>
      </c>
      <c r="K1169" s="35" t="s">
        <v>1950</v>
      </c>
      <c r="L1169" s="35" t="s">
        <v>1950</v>
      </c>
      <c r="M1169" s="36">
        <v>10967</v>
      </c>
      <c r="N1169" s="53">
        <v>0</v>
      </c>
      <c r="O1169" s="40">
        <v>0</v>
      </c>
      <c r="P1169" s="35">
        <v>0</v>
      </c>
      <c r="Q1169" s="35" t="s">
        <v>1950</v>
      </c>
      <c r="R1169" s="53">
        <v>9</v>
      </c>
      <c r="S1169" s="53">
        <v>0</v>
      </c>
    </row>
    <row r="1170" spans="1:19" x14ac:dyDescent="0.3">
      <c r="A1170" s="35" t="s">
        <v>1586</v>
      </c>
      <c r="B1170" s="35" t="s">
        <v>12</v>
      </c>
      <c r="C1170" s="35" t="s">
        <v>1775</v>
      </c>
      <c r="D1170" s="35">
        <v>735.41</v>
      </c>
      <c r="E1170" s="39" t="s">
        <v>1950</v>
      </c>
      <c r="F1170" s="37">
        <v>0</v>
      </c>
      <c r="G1170" s="35" t="s">
        <v>1950</v>
      </c>
      <c r="H1170" s="37">
        <v>0</v>
      </c>
      <c r="I1170" s="37" t="s">
        <v>1950</v>
      </c>
      <c r="J1170" s="35">
        <v>2010</v>
      </c>
      <c r="K1170" s="35" t="s">
        <v>1950</v>
      </c>
      <c r="L1170" s="35" t="s">
        <v>1950</v>
      </c>
      <c r="M1170" s="36">
        <v>5312</v>
      </c>
      <c r="N1170" s="53">
        <v>0</v>
      </c>
      <c r="O1170" s="40">
        <v>0</v>
      </c>
      <c r="P1170" s="35">
        <v>0</v>
      </c>
      <c r="Q1170" s="35" t="s">
        <v>1950</v>
      </c>
      <c r="R1170" s="53">
        <v>8</v>
      </c>
      <c r="S1170" s="53">
        <v>0</v>
      </c>
    </row>
    <row r="1171" spans="1:19" x14ac:dyDescent="0.3">
      <c r="A1171" s="35" t="s">
        <v>1586</v>
      </c>
      <c r="B1171" s="35" t="s">
        <v>14</v>
      </c>
      <c r="C1171" s="35" t="s">
        <v>17</v>
      </c>
      <c r="D1171" s="35">
        <v>217.8</v>
      </c>
      <c r="E1171" s="39" t="s">
        <v>1950</v>
      </c>
      <c r="F1171" s="37">
        <v>0</v>
      </c>
      <c r="G1171" s="35" t="s">
        <v>1950</v>
      </c>
      <c r="H1171" s="37">
        <v>0</v>
      </c>
      <c r="I1171" s="37" t="s">
        <v>1950</v>
      </c>
      <c r="J1171" s="35">
        <v>2008</v>
      </c>
      <c r="K1171" s="35" t="s">
        <v>1950</v>
      </c>
      <c r="L1171" s="35" t="s">
        <v>1950</v>
      </c>
      <c r="M1171" s="36">
        <v>29812</v>
      </c>
      <c r="N1171" s="53">
        <v>0</v>
      </c>
      <c r="O1171" s="40">
        <v>0</v>
      </c>
      <c r="P1171" s="35">
        <v>0</v>
      </c>
      <c r="Q1171" s="35" t="s">
        <v>1950</v>
      </c>
      <c r="R1171" s="53">
        <v>12</v>
      </c>
      <c r="S1171" s="53">
        <v>0</v>
      </c>
    </row>
    <row r="1172" spans="1:19" x14ac:dyDescent="0.3">
      <c r="A1172" s="35" t="s">
        <v>1586</v>
      </c>
      <c r="B1172" s="35" t="s">
        <v>14</v>
      </c>
      <c r="C1172" s="35" t="s">
        <v>1775</v>
      </c>
      <c r="D1172" s="35">
        <v>141.97</v>
      </c>
      <c r="E1172" s="39" t="s">
        <v>1950</v>
      </c>
      <c r="F1172" s="37">
        <v>0</v>
      </c>
      <c r="G1172" s="35" t="s">
        <v>1950</v>
      </c>
      <c r="H1172" s="37">
        <v>0</v>
      </c>
      <c r="I1172" s="37" t="s">
        <v>1950</v>
      </c>
      <c r="J1172" s="35">
        <v>2018</v>
      </c>
      <c r="K1172" s="35" t="s">
        <v>1950</v>
      </c>
      <c r="L1172" s="35" t="s">
        <v>1950</v>
      </c>
      <c r="M1172" s="36">
        <v>11658</v>
      </c>
      <c r="N1172" s="53">
        <v>0</v>
      </c>
      <c r="O1172" s="40">
        <v>0</v>
      </c>
      <c r="P1172" s="35">
        <v>0</v>
      </c>
      <c r="Q1172" s="35" t="s">
        <v>1950</v>
      </c>
      <c r="R1172" s="53">
        <v>1</v>
      </c>
      <c r="S1172" s="53">
        <v>0</v>
      </c>
    </row>
    <row r="1173" spans="1:19" x14ac:dyDescent="0.3">
      <c r="A1173" s="35" t="s">
        <v>1586</v>
      </c>
      <c r="B1173" s="35" t="s">
        <v>29</v>
      </c>
      <c r="C1173" s="35" t="s">
        <v>1775</v>
      </c>
      <c r="D1173" s="35">
        <v>179.93</v>
      </c>
      <c r="E1173" s="39" t="s">
        <v>1950</v>
      </c>
      <c r="F1173" s="37">
        <v>0</v>
      </c>
      <c r="G1173" s="35" t="s">
        <v>1950</v>
      </c>
      <c r="H1173" s="37">
        <v>0</v>
      </c>
      <c r="I1173" s="37" t="s">
        <v>1950</v>
      </c>
      <c r="J1173" s="35">
        <v>1993</v>
      </c>
      <c r="K1173" s="35" t="s">
        <v>19</v>
      </c>
      <c r="L1173" s="35" t="s">
        <v>1601</v>
      </c>
      <c r="M1173" s="36">
        <v>11426</v>
      </c>
      <c r="N1173" s="53">
        <v>0</v>
      </c>
      <c r="O1173" s="40">
        <v>0</v>
      </c>
      <c r="P1173" s="35">
        <v>0</v>
      </c>
      <c r="Q1173" s="35" t="s">
        <v>1950</v>
      </c>
      <c r="R1173" s="53">
        <v>6</v>
      </c>
      <c r="S1173" s="53">
        <v>0</v>
      </c>
    </row>
    <row r="1174" spans="1:19" x14ac:dyDescent="0.3">
      <c r="A1174" s="35" t="s">
        <v>1586</v>
      </c>
      <c r="B1174" s="35" t="s">
        <v>12</v>
      </c>
      <c r="C1174" s="35" t="s">
        <v>1775</v>
      </c>
      <c r="D1174" s="35">
        <v>215.03</v>
      </c>
      <c r="E1174" s="39" t="s">
        <v>1950</v>
      </c>
      <c r="F1174" s="37">
        <v>0</v>
      </c>
      <c r="G1174" s="35" t="s">
        <v>1950</v>
      </c>
      <c r="H1174" s="37">
        <v>0</v>
      </c>
      <c r="I1174" s="37" t="s">
        <v>1950</v>
      </c>
      <c r="J1174" s="35">
        <v>1992</v>
      </c>
      <c r="K1174" s="35" t="s">
        <v>25</v>
      </c>
      <c r="L1174" s="35" t="s">
        <v>1601</v>
      </c>
      <c r="M1174" s="36">
        <v>5907</v>
      </c>
      <c r="N1174" s="53">
        <v>0</v>
      </c>
      <c r="O1174" s="40">
        <v>0</v>
      </c>
      <c r="P1174" s="35">
        <v>0</v>
      </c>
      <c r="Q1174" s="35" t="s">
        <v>1950</v>
      </c>
      <c r="R1174" s="53">
        <v>22</v>
      </c>
      <c r="S1174" s="53">
        <v>0</v>
      </c>
    </row>
    <row r="1175" spans="1:19" x14ac:dyDescent="0.3">
      <c r="A1175" s="35" t="s">
        <v>1586</v>
      </c>
      <c r="B1175" s="35" t="s">
        <v>29</v>
      </c>
      <c r="C1175" s="35" t="s">
        <v>17</v>
      </c>
      <c r="D1175" s="35">
        <v>175.53</v>
      </c>
      <c r="E1175" s="39" t="s">
        <v>1950</v>
      </c>
      <c r="F1175" s="37">
        <v>0</v>
      </c>
      <c r="G1175" s="35" t="s">
        <v>1950</v>
      </c>
      <c r="H1175" s="37">
        <v>0</v>
      </c>
      <c r="I1175" s="37" t="s">
        <v>1950</v>
      </c>
      <c r="J1175" s="35">
        <v>2004</v>
      </c>
      <c r="K1175" s="35" t="s">
        <v>1950</v>
      </c>
      <c r="L1175" s="35" t="s">
        <v>1950</v>
      </c>
      <c r="M1175" s="36">
        <v>22826</v>
      </c>
      <c r="N1175" s="53">
        <v>0</v>
      </c>
      <c r="O1175" s="40">
        <v>0</v>
      </c>
      <c r="P1175" s="35">
        <v>0</v>
      </c>
      <c r="Q1175" s="35" t="s">
        <v>1950</v>
      </c>
      <c r="R1175" s="53">
        <v>12</v>
      </c>
      <c r="S1175" s="53">
        <v>0</v>
      </c>
    </row>
    <row r="1176" spans="1:19" x14ac:dyDescent="0.3">
      <c r="A1176" s="35" t="s">
        <v>1586</v>
      </c>
      <c r="B1176" s="35" t="s">
        <v>29</v>
      </c>
      <c r="C1176" s="35" t="s">
        <v>17</v>
      </c>
      <c r="D1176" s="35">
        <v>199.28</v>
      </c>
      <c r="E1176" s="39" t="s">
        <v>1950</v>
      </c>
      <c r="F1176" s="37">
        <v>0</v>
      </c>
      <c r="G1176" s="35" t="s">
        <v>1950</v>
      </c>
      <c r="H1176" s="37">
        <v>0</v>
      </c>
      <c r="I1176" s="37" t="s">
        <v>1950</v>
      </c>
      <c r="J1176" s="35">
        <v>2013</v>
      </c>
      <c r="K1176" s="35" t="s">
        <v>2663</v>
      </c>
      <c r="L1176" s="35" t="s">
        <v>1950</v>
      </c>
      <c r="M1176" s="36">
        <v>22540</v>
      </c>
      <c r="N1176" s="53">
        <v>0</v>
      </c>
      <c r="O1176" s="40">
        <v>0</v>
      </c>
      <c r="P1176" s="35">
        <v>0</v>
      </c>
      <c r="Q1176" s="35" t="s">
        <v>1950</v>
      </c>
      <c r="R1176" s="53">
        <v>3</v>
      </c>
      <c r="S1176" s="53">
        <v>0</v>
      </c>
    </row>
    <row r="1177" spans="1:19" x14ac:dyDescent="0.3">
      <c r="A1177" s="35" t="s">
        <v>1586</v>
      </c>
      <c r="B1177" s="35" t="s">
        <v>12</v>
      </c>
      <c r="C1177" s="35" t="s">
        <v>17</v>
      </c>
      <c r="D1177" s="35">
        <v>571.16999999999996</v>
      </c>
      <c r="E1177" s="39" t="s">
        <v>1950</v>
      </c>
      <c r="F1177" s="37">
        <v>0</v>
      </c>
      <c r="G1177" s="35" t="s">
        <v>1950</v>
      </c>
      <c r="H1177" s="37">
        <v>0</v>
      </c>
      <c r="I1177" s="37" t="s">
        <v>1950</v>
      </c>
      <c r="J1177" s="35">
        <v>1998</v>
      </c>
      <c r="K1177" s="35" t="s">
        <v>1950</v>
      </c>
      <c r="L1177" s="35" t="s">
        <v>1950</v>
      </c>
      <c r="M1177" s="36">
        <v>18396</v>
      </c>
      <c r="N1177" s="53">
        <v>0</v>
      </c>
      <c r="O1177" s="40">
        <v>0</v>
      </c>
      <c r="P1177" s="35">
        <v>0</v>
      </c>
      <c r="Q1177" s="35" t="s">
        <v>1950</v>
      </c>
      <c r="R1177" s="53">
        <v>1</v>
      </c>
      <c r="S1177" s="53">
        <v>0</v>
      </c>
    </row>
    <row r="1178" spans="1:19" x14ac:dyDescent="0.3">
      <c r="A1178" s="35" t="s">
        <v>1586</v>
      </c>
      <c r="B1178" s="35" t="s">
        <v>14</v>
      </c>
      <c r="C1178" s="35" t="s">
        <v>17</v>
      </c>
      <c r="D1178" s="35">
        <v>343.4</v>
      </c>
      <c r="E1178" s="39" t="s">
        <v>1950</v>
      </c>
      <c r="F1178" s="37">
        <v>0</v>
      </c>
      <c r="G1178" s="35" t="s">
        <v>1950</v>
      </c>
      <c r="H1178" s="37">
        <v>0</v>
      </c>
      <c r="I1178" s="37" t="s">
        <v>1950</v>
      </c>
      <c r="J1178" s="35">
        <v>1997</v>
      </c>
      <c r="K1178" s="35" t="s">
        <v>1950</v>
      </c>
      <c r="L1178" s="35" t="s">
        <v>1950</v>
      </c>
      <c r="M1178" s="36">
        <v>37819</v>
      </c>
      <c r="N1178" s="53">
        <v>0</v>
      </c>
      <c r="O1178" s="40">
        <v>0</v>
      </c>
      <c r="P1178" s="35">
        <v>0</v>
      </c>
      <c r="Q1178" s="35" t="s">
        <v>1950</v>
      </c>
      <c r="R1178" s="53">
        <v>4</v>
      </c>
      <c r="S1178" s="53">
        <v>0</v>
      </c>
    </row>
    <row r="1179" spans="1:19" x14ac:dyDescent="0.3">
      <c r="A1179" s="35" t="s">
        <v>1586</v>
      </c>
      <c r="B1179" s="35" t="s">
        <v>14</v>
      </c>
      <c r="C1179" s="35" t="s">
        <v>1775</v>
      </c>
      <c r="D1179" s="35">
        <v>95.91</v>
      </c>
      <c r="E1179" s="39" t="s">
        <v>1950</v>
      </c>
      <c r="F1179" s="37">
        <v>0</v>
      </c>
      <c r="G1179" s="35" t="s">
        <v>1950</v>
      </c>
      <c r="H1179" s="37">
        <v>0</v>
      </c>
      <c r="I1179" s="37" t="s">
        <v>1950</v>
      </c>
      <c r="J1179" s="35">
        <v>1973</v>
      </c>
      <c r="K1179" s="35" t="s">
        <v>1950</v>
      </c>
      <c r="L1179" s="35" t="s">
        <v>1950</v>
      </c>
      <c r="M1179" s="36">
        <v>7428</v>
      </c>
      <c r="N1179" s="53">
        <v>0</v>
      </c>
      <c r="O1179" s="40">
        <v>0</v>
      </c>
      <c r="P1179" s="35">
        <v>0</v>
      </c>
      <c r="Q1179" s="35" t="s">
        <v>1950</v>
      </c>
      <c r="R1179" s="53">
        <v>8</v>
      </c>
      <c r="S1179" s="53">
        <v>0</v>
      </c>
    </row>
    <row r="1180" spans="1:19" x14ac:dyDescent="0.3">
      <c r="A1180" s="35" t="s">
        <v>1586</v>
      </c>
      <c r="B1180" s="35" t="s">
        <v>14</v>
      </c>
      <c r="C1180" s="35" t="s">
        <v>17</v>
      </c>
      <c r="D1180" s="35">
        <v>53.6</v>
      </c>
      <c r="E1180" s="39" t="s">
        <v>1950</v>
      </c>
      <c r="F1180" s="37">
        <v>0</v>
      </c>
      <c r="G1180" s="35" t="s">
        <v>1950</v>
      </c>
      <c r="H1180" s="37">
        <v>0</v>
      </c>
      <c r="I1180" s="37" t="s">
        <v>1950</v>
      </c>
      <c r="J1180" s="35">
        <v>2000</v>
      </c>
      <c r="K1180" s="35" t="s">
        <v>19</v>
      </c>
      <c r="L1180" s="35" t="s">
        <v>1601</v>
      </c>
      <c r="M1180" s="36">
        <v>20613</v>
      </c>
      <c r="N1180" s="53">
        <v>0</v>
      </c>
      <c r="O1180" s="40">
        <v>0</v>
      </c>
      <c r="P1180" s="35">
        <v>0</v>
      </c>
      <c r="Q1180" s="35" t="s">
        <v>1950</v>
      </c>
      <c r="R1180" s="53">
        <v>7</v>
      </c>
      <c r="S1180" s="53">
        <v>0</v>
      </c>
    </row>
    <row r="1181" spans="1:19" x14ac:dyDescent="0.3">
      <c r="A1181" s="35" t="s">
        <v>1586</v>
      </c>
      <c r="B1181" s="35" t="s">
        <v>12</v>
      </c>
      <c r="C1181" s="35" t="s">
        <v>1775</v>
      </c>
      <c r="D1181" s="35">
        <v>79.08</v>
      </c>
      <c r="E1181" s="39" t="s">
        <v>1950</v>
      </c>
      <c r="F1181" s="37">
        <v>0</v>
      </c>
      <c r="G1181" s="35" t="s">
        <v>1950</v>
      </c>
      <c r="H1181" s="37">
        <v>0</v>
      </c>
      <c r="I1181" s="37" t="s">
        <v>1950</v>
      </c>
      <c r="J1181" s="35">
        <v>1985</v>
      </c>
      <c r="K1181" s="35" t="s">
        <v>1950</v>
      </c>
      <c r="L1181" s="35" t="s">
        <v>1950</v>
      </c>
      <c r="M1181" s="36">
        <v>5555</v>
      </c>
      <c r="N1181" s="53">
        <v>0</v>
      </c>
      <c r="O1181" s="40">
        <v>0</v>
      </c>
      <c r="P1181" s="35">
        <v>0</v>
      </c>
      <c r="Q1181" s="35" t="s">
        <v>1950</v>
      </c>
      <c r="R1181" s="53">
        <v>1</v>
      </c>
      <c r="S1181" s="53">
        <v>0</v>
      </c>
    </row>
    <row r="1182" spans="1:19" x14ac:dyDescent="0.3">
      <c r="A1182" s="35" t="s">
        <v>1586</v>
      </c>
      <c r="B1182" s="35" t="s">
        <v>12</v>
      </c>
      <c r="C1182" s="35" t="s">
        <v>1775</v>
      </c>
      <c r="D1182" s="35">
        <v>244.26</v>
      </c>
      <c r="E1182" s="39" t="s">
        <v>1950</v>
      </c>
      <c r="F1182" s="37">
        <v>0</v>
      </c>
      <c r="G1182" s="35" t="s">
        <v>1950</v>
      </c>
      <c r="H1182" s="37">
        <v>0</v>
      </c>
      <c r="I1182" s="37" t="s">
        <v>1950</v>
      </c>
      <c r="J1182" s="35">
        <v>2018</v>
      </c>
      <c r="K1182" s="35" t="s">
        <v>1950</v>
      </c>
      <c r="L1182" s="35" t="s">
        <v>1950</v>
      </c>
      <c r="M1182" s="36">
        <v>5300</v>
      </c>
      <c r="N1182" s="53">
        <v>0</v>
      </c>
      <c r="O1182" s="40">
        <v>0</v>
      </c>
      <c r="P1182" s="35">
        <v>0</v>
      </c>
      <c r="Q1182" s="35" t="s">
        <v>1950</v>
      </c>
      <c r="R1182" s="53">
        <v>2</v>
      </c>
      <c r="S1182" s="53">
        <v>0</v>
      </c>
    </row>
    <row r="1183" spans="1:19" x14ac:dyDescent="0.3">
      <c r="A1183" s="35" t="s">
        <v>1586</v>
      </c>
      <c r="B1183" s="35" t="s">
        <v>12</v>
      </c>
      <c r="C1183" s="35" t="s">
        <v>17</v>
      </c>
      <c r="D1183" s="35">
        <v>529.9</v>
      </c>
      <c r="E1183" s="39" t="s">
        <v>1950</v>
      </c>
      <c r="F1183" s="37">
        <v>0</v>
      </c>
      <c r="G1183" s="35" t="s">
        <v>1950</v>
      </c>
      <c r="H1183" s="37">
        <v>0</v>
      </c>
      <c r="I1183" s="37" t="s">
        <v>1950</v>
      </c>
      <c r="J1183" s="35">
        <v>2015</v>
      </c>
      <c r="K1183" s="35" t="s">
        <v>21</v>
      </c>
      <c r="L1183" s="35" t="s">
        <v>1598</v>
      </c>
      <c r="M1183" s="36">
        <v>50399</v>
      </c>
      <c r="N1183" s="53">
        <v>0</v>
      </c>
      <c r="O1183" s="40">
        <v>0</v>
      </c>
      <c r="P1183" s="35">
        <v>0</v>
      </c>
      <c r="Q1183" s="35" t="s">
        <v>1950</v>
      </c>
      <c r="R1183" s="53">
        <v>4</v>
      </c>
      <c r="S1183" s="53">
        <v>0</v>
      </c>
    </row>
    <row r="1184" spans="1:19" x14ac:dyDescent="0.3">
      <c r="A1184" s="35" t="s">
        <v>1586</v>
      </c>
      <c r="B1184" s="35" t="s">
        <v>14</v>
      </c>
      <c r="C1184" s="35" t="s">
        <v>17</v>
      </c>
      <c r="D1184" s="35">
        <v>89.91</v>
      </c>
      <c r="E1184" s="39" t="s">
        <v>1950</v>
      </c>
      <c r="F1184" s="37">
        <v>0</v>
      </c>
      <c r="G1184" s="35" t="s">
        <v>1950</v>
      </c>
      <c r="H1184" s="37">
        <v>0</v>
      </c>
      <c r="I1184" s="37" t="s">
        <v>1950</v>
      </c>
      <c r="J1184" s="35">
        <v>2019</v>
      </c>
      <c r="K1184" s="35" t="s">
        <v>19</v>
      </c>
      <c r="L1184" s="35" t="s">
        <v>1598</v>
      </c>
      <c r="M1184" s="36">
        <v>21595</v>
      </c>
      <c r="N1184" s="53">
        <v>0</v>
      </c>
      <c r="O1184" s="40">
        <v>0</v>
      </c>
      <c r="P1184" s="35">
        <v>0</v>
      </c>
      <c r="Q1184" s="35" t="s">
        <v>1950</v>
      </c>
      <c r="R1184" s="53">
        <v>1</v>
      </c>
      <c r="S1184" s="53">
        <v>0</v>
      </c>
    </row>
    <row r="1185" spans="1:19" x14ac:dyDescent="0.3">
      <c r="A1185" s="35" t="s">
        <v>1586</v>
      </c>
      <c r="B1185" s="35" t="s">
        <v>12</v>
      </c>
      <c r="C1185" s="35" t="s">
        <v>17</v>
      </c>
      <c r="D1185" s="35">
        <v>546.17999999999995</v>
      </c>
      <c r="E1185" s="39" t="s">
        <v>1950</v>
      </c>
      <c r="F1185" s="37">
        <v>0</v>
      </c>
      <c r="G1185" s="35" t="s">
        <v>1950</v>
      </c>
      <c r="H1185" s="37">
        <v>0</v>
      </c>
      <c r="I1185" s="37" t="s">
        <v>1950</v>
      </c>
      <c r="J1185" s="35">
        <v>1997</v>
      </c>
      <c r="K1185" s="35" t="s">
        <v>21</v>
      </c>
      <c r="L1185" s="35" t="s">
        <v>1601</v>
      </c>
      <c r="M1185" s="36">
        <v>22998</v>
      </c>
      <c r="N1185" s="53">
        <v>0</v>
      </c>
      <c r="O1185" s="40">
        <v>0</v>
      </c>
      <c r="P1185" s="35">
        <v>0</v>
      </c>
      <c r="Q1185" s="35" t="s">
        <v>1950</v>
      </c>
      <c r="R1185" s="53">
        <v>3</v>
      </c>
      <c r="S1185" s="53">
        <v>0</v>
      </c>
    </row>
    <row r="1186" spans="1:19" x14ac:dyDescent="0.3">
      <c r="A1186" s="35" t="s">
        <v>1586</v>
      </c>
      <c r="B1186" s="35" t="s">
        <v>29</v>
      </c>
      <c r="C1186" s="35" t="s">
        <v>17</v>
      </c>
      <c r="D1186" s="35">
        <v>197.67</v>
      </c>
      <c r="E1186" s="39" t="s">
        <v>1950</v>
      </c>
      <c r="F1186" s="37">
        <v>0</v>
      </c>
      <c r="G1186" s="35" t="s">
        <v>1950</v>
      </c>
      <c r="H1186" s="37">
        <v>0</v>
      </c>
      <c r="I1186" s="37" t="s">
        <v>1950</v>
      </c>
      <c r="J1186" s="35">
        <v>2008</v>
      </c>
      <c r="K1186" s="35" t="s">
        <v>47</v>
      </c>
      <c r="L1186" s="35" t="s">
        <v>1608</v>
      </c>
      <c r="M1186" s="36">
        <v>41099</v>
      </c>
      <c r="N1186" s="53">
        <v>0</v>
      </c>
      <c r="O1186" s="40">
        <v>0</v>
      </c>
      <c r="P1186" s="35">
        <v>0</v>
      </c>
      <c r="Q1186" s="35" t="s">
        <v>1950</v>
      </c>
      <c r="R1186" s="53">
        <v>11</v>
      </c>
      <c r="S1186" s="53">
        <v>0</v>
      </c>
    </row>
    <row r="1187" spans="1:19" x14ac:dyDescent="0.3">
      <c r="A1187" s="35" t="s">
        <v>1586</v>
      </c>
      <c r="B1187" s="35" t="s">
        <v>14</v>
      </c>
      <c r="C1187" s="35" t="s">
        <v>17</v>
      </c>
      <c r="D1187" s="35">
        <v>106.45</v>
      </c>
      <c r="E1187" s="39" t="s">
        <v>1950</v>
      </c>
      <c r="F1187" s="37">
        <v>0</v>
      </c>
      <c r="G1187" s="35" t="s">
        <v>1950</v>
      </c>
      <c r="H1187" s="37">
        <v>0</v>
      </c>
      <c r="I1187" s="37" t="s">
        <v>1950</v>
      </c>
      <c r="J1187" s="35">
        <v>1995</v>
      </c>
      <c r="K1187" s="35" t="s">
        <v>19</v>
      </c>
      <c r="L1187" s="35" t="s">
        <v>1601</v>
      </c>
      <c r="M1187" s="36">
        <v>24895</v>
      </c>
      <c r="N1187" s="53">
        <v>0</v>
      </c>
      <c r="O1187" s="40">
        <v>0</v>
      </c>
      <c r="P1187" s="35">
        <v>0</v>
      </c>
      <c r="Q1187" s="35" t="s">
        <v>1950</v>
      </c>
      <c r="R1187" s="53">
        <v>6</v>
      </c>
      <c r="S1187" s="53">
        <v>0</v>
      </c>
    </row>
    <row r="1188" spans="1:19" x14ac:dyDescent="0.3">
      <c r="A1188" s="35" t="s">
        <v>1586</v>
      </c>
      <c r="B1188" s="35" t="s">
        <v>8</v>
      </c>
      <c r="C1188" s="35" t="s">
        <v>1775</v>
      </c>
      <c r="D1188" s="35">
        <v>336.91</v>
      </c>
      <c r="E1188" s="39" t="s">
        <v>1950</v>
      </c>
      <c r="F1188" s="37">
        <v>0</v>
      </c>
      <c r="G1188" s="35" t="s">
        <v>1950</v>
      </c>
      <c r="H1188" s="37">
        <v>0</v>
      </c>
      <c r="I1188" s="37" t="s">
        <v>1950</v>
      </c>
      <c r="J1188" s="35">
        <v>1970</v>
      </c>
      <c r="K1188" s="35" t="s">
        <v>1950</v>
      </c>
      <c r="L1188" s="35" t="s">
        <v>1950</v>
      </c>
      <c r="M1188" s="36">
        <v>7900</v>
      </c>
      <c r="N1188" s="53">
        <v>0</v>
      </c>
      <c r="O1188" s="40">
        <v>0</v>
      </c>
      <c r="P1188" s="35">
        <v>0</v>
      </c>
      <c r="Q1188" s="35" t="s">
        <v>1950</v>
      </c>
      <c r="R1188" s="53">
        <v>6</v>
      </c>
      <c r="S1188" s="53">
        <v>0</v>
      </c>
    </row>
    <row r="1189" spans="1:19" x14ac:dyDescent="0.3">
      <c r="A1189" s="35" t="s">
        <v>1586</v>
      </c>
      <c r="B1189" s="35" t="s">
        <v>12</v>
      </c>
      <c r="C1189" s="35" t="s">
        <v>17</v>
      </c>
      <c r="D1189" s="35">
        <v>439.37</v>
      </c>
      <c r="E1189" s="39" t="s">
        <v>1950</v>
      </c>
      <c r="F1189" s="37">
        <v>0</v>
      </c>
      <c r="G1189" s="35" t="s">
        <v>1950</v>
      </c>
      <c r="H1189" s="37">
        <v>0</v>
      </c>
      <c r="I1189" s="37" t="s">
        <v>1950</v>
      </c>
      <c r="J1189" s="35">
        <v>2002</v>
      </c>
      <c r="K1189" s="35" t="s">
        <v>19</v>
      </c>
      <c r="L1189" s="35" t="s">
        <v>1599</v>
      </c>
      <c r="M1189" s="36">
        <v>51095</v>
      </c>
      <c r="N1189" s="53">
        <v>0</v>
      </c>
      <c r="O1189" s="40">
        <v>0</v>
      </c>
      <c r="P1189" s="35">
        <v>0</v>
      </c>
      <c r="Q1189" s="35" t="s">
        <v>1950</v>
      </c>
      <c r="R1189" s="53">
        <v>6</v>
      </c>
      <c r="S1189" s="53">
        <v>0</v>
      </c>
    </row>
    <row r="1190" spans="1:19" x14ac:dyDescent="0.3">
      <c r="A1190" s="35" t="s">
        <v>1586</v>
      </c>
      <c r="B1190" s="35" t="s">
        <v>29</v>
      </c>
      <c r="C1190" s="35" t="s">
        <v>1775</v>
      </c>
      <c r="D1190" s="35">
        <v>377.76</v>
      </c>
      <c r="E1190" s="39" t="s">
        <v>1950</v>
      </c>
      <c r="F1190" s="37">
        <v>0</v>
      </c>
      <c r="G1190" s="35" t="s">
        <v>1950</v>
      </c>
      <c r="H1190" s="37">
        <v>0</v>
      </c>
      <c r="I1190" s="37" t="s">
        <v>1950</v>
      </c>
      <c r="J1190" s="35">
        <v>2017</v>
      </c>
      <c r="K1190" s="35" t="s">
        <v>2663</v>
      </c>
      <c r="L1190" s="35" t="s">
        <v>1950</v>
      </c>
      <c r="M1190" s="36">
        <v>14284</v>
      </c>
      <c r="N1190" s="53">
        <v>0</v>
      </c>
      <c r="O1190" s="40">
        <v>0</v>
      </c>
      <c r="P1190" s="35">
        <v>0</v>
      </c>
      <c r="Q1190" s="35" t="s">
        <v>1950</v>
      </c>
      <c r="R1190" s="53">
        <v>1</v>
      </c>
      <c r="S1190" s="53">
        <v>0</v>
      </c>
    </row>
    <row r="1191" spans="1:19" x14ac:dyDescent="0.3">
      <c r="A1191" s="35" t="s">
        <v>1586</v>
      </c>
      <c r="B1191" s="35" t="s">
        <v>14</v>
      </c>
      <c r="C1191" s="35" t="s">
        <v>1775</v>
      </c>
      <c r="D1191" s="35">
        <v>122.18</v>
      </c>
      <c r="E1191" s="39" t="s">
        <v>1950</v>
      </c>
      <c r="F1191" s="37">
        <v>0</v>
      </c>
      <c r="G1191" s="35" t="s">
        <v>1950</v>
      </c>
      <c r="H1191" s="37">
        <v>0</v>
      </c>
      <c r="I1191" s="37" t="s">
        <v>1950</v>
      </c>
      <c r="J1191" s="35">
        <v>1980</v>
      </c>
      <c r="K1191" s="35" t="s">
        <v>1950</v>
      </c>
      <c r="L1191" s="35" t="s">
        <v>1950</v>
      </c>
      <c r="M1191" s="36">
        <v>5976</v>
      </c>
      <c r="N1191" s="53">
        <v>0</v>
      </c>
      <c r="O1191" s="40">
        <v>0</v>
      </c>
      <c r="P1191" s="35">
        <v>0</v>
      </c>
      <c r="Q1191" s="35" t="s">
        <v>1950</v>
      </c>
      <c r="R1191" s="53">
        <v>10</v>
      </c>
      <c r="S1191" s="53">
        <v>0</v>
      </c>
    </row>
    <row r="1192" spans="1:19" x14ac:dyDescent="0.3">
      <c r="A1192" s="35" t="s">
        <v>1586</v>
      </c>
      <c r="B1192" s="35" t="s">
        <v>14</v>
      </c>
      <c r="C1192" s="35" t="s">
        <v>17</v>
      </c>
      <c r="D1192" s="35">
        <v>138.01</v>
      </c>
      <c r="E1192" s="39" t="s">
        <v>1950</v>
      </c>
      <c r="F1192" s="37">
        <v>0</v>
      </c>
      <c r="G1192" s="35" t="s">
        <v>1950</v>
      </c>
      <c r="H1192" s="37">
        <v>0</v>
      </c>
      <c r="I1192" s="37" t="s">
        <v>1950</v>
      </c>
      <c r="J1192" s="35">
        <v>1959</v>
      </c>
      <c r="K1192" s="35" t="s">
        <v>1950</v>
      </c>
      <c r="L1192" s="35" t="s">
        <v>1950</v>
      </c>
      <c r="M1192" s="36">
        <v>22975</v>
      </c>
      <c r="N1192" s="53">
        <v>0</v>
      </c>
      <c r="O1192" s="40">
        <v>0</v>
      </c>
      <c r="P1192" s="35">
        <v>0</v>
      </c>
      <c r="Q1192" s="35" t="s">
        <v>1950</v>
      </c>
      <c r="R1192" s="53">
        <v>3</v>
      </c>
      <c r="S1192" s="53">
        <v>0</v>
      </c>
    </row>
    <row r="1193" spans="1:19" x14ac:dyDescent="0.3">
      <c r="A1193" s="35" t="s">
        <v>1586</v>
      </c>
      <c r="B1193" s="35" t="s">
        <v>29</v>
      </c>
      <c r="C1193" s="35" t="s">
        <v>17</v>
      </c>
      <c r="D1193" s="35">
        <v>822.63</v>
      </c>
      <c r="E1193" s="39" t="s">
        <v>1950</v>
      </c>
      <c r="F1193" s="37">
        <v>0</v>
      </c>
      <c r="G1193" s="35" t="s">
        <v>1950</v>
      </c>
      <c r="H1193" s="37">
        <v>0</v>
      </c>
      <c r="I1193" s="37" t="s">
        <v>1950</v>
      </c>
      <c r="J1193" s="35">
        <v>1985</v>
      </c>
      <c r="K1193" s="35" t="s">
        <v>25</v>
      </c>
      <c r="L1193" s="35" t="s">
        <v>1601</v>
      </c>
      <c r="M1193" s="36">
        <v>5809</v>
      </c>
      <c r="N1193" s="53">
        <v>0</v>
      </c>
      <c r="O1193" s="40">
        <v>0</v>
      </c>
      <c r="P1193" s="35">
        <v>0</v>
      </c>
      <c r="Q1193" s="35" t="s">
        <v>1950</v>
      </c>
      <c r="R1193" s="53">
        <v>0</v>
      </c>
      <c r="S1193" s="53">
        <v>0</v>
      </c>
    </row>
    <row r="1194" spans="1:19" x14ac:dyDescent="0.3">
      <c r="A1194" s="35" t="s">
        <v>1586</v>
      </c>
      <c r="B1194" s="35" t="s">
        <v>29</v>
      </c>
      <c r="C1194" s="35" t="s">
        <v>1775</v>
      </c>
      <c r="D1194" s="35">
        <v>140.63999999999999</v>
      </c>
      <c r="E1194" s="39" t="s">
        <v>1950</v>
      </c>
      <c r="F1194" s="37">
        <v>0</v>
      </c>
      <c r="G1194" s="35" t="s">
        <v>1950</v>
      </c>
      <c r="H1194" s="37">
        <v>0</v>
      </c>
      <c r="I1194" s="37" t="s">
        <v>1950</v>
      </c>
      <c r="J1194" s="35">
        <v>1980</v>
      </c>
      <c r="K1194" s="35" t="s">
        <v>1950</v>
      </c>
      <c r="L1194" s="35" t="s">
        <v>1950</v>
      </c>
      <c r="M1194" s="36">
        <v>8211</v>
      </c>
      <c r="N1194" s="53">
        <v>0</v>
      </c>
      <c r="O1194" s="40">
        <v>0</v>
      </c>
      <c r="P1194" s="35">
        <v>0</v>
      </c>
      <c r="Q1194" s="35" t="s">
        <v>1950</v>
      </c>
      <c r="R1194" s="53">
        <v>4</v>
      </c>
      <c r="S1194" s="53">
        <v>0</v>
      </c>
    </row>
    <row r="1195" spans="1:19" x14ac:dyDescent="0.3">
      <c r="A1195" s="35" t="s">
        <v>1586</v>
      </c>
      <c r="B1195" s="35" t="s">
        <v>14</v>
      </c>
      <c r="C1195" s="35" t="s">
        <v>17</v>
      </c>
      <c r="D1195" s="35">
        <v>196.2</v>
      </c>
      <c r="E1195" s="39" t="s">
        <v>1950</v>
      </c>
      <c r="F1195" s="37">
        <v>0</v>
      </c>
      <c r="G1195" s="35" t="s">
        <v>1950</v>
      </c>
      <c r="H1195" s="37">
        <v>0</v>
      </c>
      <c r="I1195" s="37" t="s">
        <v>1950</v>
      </c>
      <c r="J1195" s="35">
        <v>2000</v>
      </c>
      <c r="K1195" s="35" t="s">
        <v>1950</v>
      </c>
      <c r="L1195" s="35" t="s">
        <v>1950</v>
      </c>
      <c r="M1195" s="36">
        <v>15740</v>
      </c>
      <c r="N1195" s="53">
        <v>0</v>
      </c>
      <c r="O1195" s="40">
        <v>0</v>
      </c>
      <c r="P1195" s="35">
        <v>0</v>
      </c>
      <c r="Q1195" s="35" t="s">
        <v>1950</v>
      </c>
      <c r="R1195" s="53">
        <v>16</v>
      </c>
      <c r="S1195" s="53">
        <v>0</v>
      </c>
    </row>
    <row r="1196" spans="1:19" x14ac:dyDescent="0.3">
      <c r="A1196" s="35" t="s">
        <v>1586</v>
      </c>
      <c r="B1196" s="35" t="s">
        <v>29</v>
      </c>
      <c r="C1196" s="35" t="s">
        <v>1775</v>
      </c>
      <c r="D1196" s="35">
        <v>124.61</v>
      </c>
      <c r="E1196" s="39" t="s">
        <v>1950</v>
      </c>
      <c r="F1196" s="37">
        <v>0</v>
      </c>
      <c r="G1196" s="35" t="s">
        <v>1950</v>
      </c>
      <c r="H1196" s="37">
        <v>0</v>
      </c>
      <c r="I1196" s="37" t="s">
        <v>1950</v>
      </c>
      <c r="J1196" s="35">
        <v>2020</v>
      </c>
      <c r="K1196" s="35" t="s">
        <v>1950</v>
      </c>
      <c r="L1196" s="35" t="s">
        <v>1950</v>
      </c>
      <c r="M1196" s="35">
        <v>317</v>
      </c>
      <c r="N1196" s="53">
        <v>0</v>
      </c>
      <c r="O1196" s="40">
        <v>0</v>
      </c>
      <c r="P1196" s="35">
        <v>0</v>
      </c>
      <c r="Q1196" s="35" t="s">
        <v>1950</v>
      </c>
      <c r="R1196" s="53">
        <v>5</v>
      </c>
      <c r="S1196" s="53">
        <v>0</v>
      </c>
    </row>
    <row r="1197" spans="1:19" x14ac:dyDescent="0.3">
      <c r="A1197" s="35" t="s">
        <v>1586</v>
      </c>
      <c r="B1197" s="35" t="s">
        <v>29</v>
      </c>
      <c r="C1197" s="35" t="s">
        <v>17</v>
      </c>
      <c r="D1197" s="35">
        <v>215.39</v>
      </c>
      <c r="E1197" s="39" t="s">
        <v>1950</v>
      </c>
      <c r="F1197" s="37">
        <v>0</v>
      </c>
      <c r="G1197" s="35" t="s">
        <v>1950</v>
      </c>
      <c r="H1197" s="37">
        <v>0</v>
      </c>
      <c r="I1197" s="37" t="s">
        <v>1950</v>
      </c>
      <c r="J1197" s="35">
        <v>2017</v>
      </c>
      <c r="K1197" s="35" t="s">
        <v>1950</v>
      </c>
      <c r="L1197" s="35" t="s">
        <v>1950</v>
      </c>
      <c r="M1197" s="36">
        <v>29553</v>
      </c>
      <c r="N1197" s="53">
        <v>0</v>
      </c>
      <c r="O1197" s="40">
        <v>0</v>
      </c>
      <c r="P1197" s="35">
        <v>0</v>
      </c>
      <c r="Q1197" s="35" t="s">
        <v>1950</v>
      </c>
      <c r="R1197" s="53">
        <v>3</v>
      </c>
      <c r="S1197" s="53">
        <v>0</v>
      </c>
    </row>
    <row r="1198" spans="1:19" x14ac:dyDescent="0.3">
      <c r="A1198" s="35" t="s">
        <v>1586</v>
      </c>
      <c r="B1198" s="35" t="s">
        <v>14</v>
      </c>
      <c r="C1198" s="35" t="s">
        <v>1775</v>
      </c>
      <c r="D1198" s="35">
        <v>64.55</v>
      </c>
      <c r="E1198" s="39" t="s">
        <v>1950</v>
      </c>
      <c r="F1198" s="37">
        <v>0</v>
      </c>
      <c r="G1198" s="35" t="s">
        <v>1950</v>
      </c>
      <c r="H1198" s="37">
        <v>0</v>
      </c>
      <c r="I1198" s="37" t="s">
        <v>1950</v>
      </c>
      <c r="J1198" s="35">
        <v>2017</v>
      </c>
      <c r="K1198" s="35" t="s">
        <v>1950</v>
      </c>
      <c r="L1198" s="35" t="s">
        <v>1950</v>
      </c>
      <c r="M1198" s="36">
        <v>5594</v>
      </c>
      <c r="N1198" s="53">
        <v>0</v>
      </c>
      <c r="O1198" s="40">
        <v>0</v>
      </c>
      <c r="P1198" s="35">
        <v>0</v>
      </c>
      <c r="Q1198" s="35" t="s">
        <v>1950</v>
      </c>
      <c r="R1198" s="53">
        <v>1</v>
      </c>
      <c r="S1198" s="53">
        <v>0</v>
      </c>
    </row>
    <row r="1199" spans="1:19" x14ac:dyDescent="0.3">
      <c r="A1199" s="35" t="s">
        <v>1586</v>
      </c>
      <c r="B1199" s="35" t="s">
        <v>14</v>
      </c>
      <c r="C1199" s="35" t="s">
        <v>17</v>
      </c>
      <c r="D1199" s="35">
        <v>384.92</v>
      </c>
      <c r="E1199" s="39" t="s">
        <v>1950</v>
      </c>
      <c r="F1199" s="37">
        <v>0</v>
      </c>
      <c r="G1199" s="35" t="s">
        <v>1950</v>
      </c>
      <c r="H1199" s="37">
        <v>0</v>
      </c>
      <c r="I1199" s="37" t="s">
        <v>1950</v>
      </c>
      <c r="J1199" s="35">
        <v>1998</v>
      </c>
      <c r="K1199" s="35" t="s">
        <v>25</v>
      </c>
      <c r="L1199" s="35" t="s">
        <v>1599</v>
      </c>
      <c r="M1199" s="36">
        <v>26417</v>
      </c>
      <c r="N1199" s="53">
        <v>0</v>
      </c>
      <c r="O1199" s="40">
        <v>0</v>
      </c>
      <c r="P1199" s="35">
        <v>0</v>
      </c>
      <c r="Q1199" s="35" t="s">
        <v>1950</v>
      </c>
      <c r="R1199" s="53">
        <v>2</v>
      </c>
      <c r="S1199" s="53">
        <v>0</v>
      </c>
    </row>
    <row r="1200" spans="1:19" x14ac:dyDescent="0.3">
      <c r="A1200" s="35" t="s">
        <v>1586</v>
      </c>
      <c r="B1200" s="35" t="s">
        <v>29</v>
      </c>
      <c r="C1200" s="35" t="s">
        <v>17</v>
      </c>
      <c r="D1200" s="35">
        <v>159.57</v>
      </c>
      <c r="E1200" s="39" t="s">
        <v>1950</v>
      </c>
      <c r="F1200" s="37">
        <v>0</v>
      </c>
      <c r="G1200" s="35" t="s">
        <v>1950</v>
      </c>
      <c r="H1200" s="37">
        <v>0</v>
      </c>
      <c r="I1200" s="37" t="s">
        <v>1950</v>
      </c>
      <c r="J1200" s="35">
        <v>1997</v>
      </c>
      <c r="K1200" s="35" t="s">
        <v>19</v>
      </c>
      <c r="L1200" s="35" t="s">
        <v>1601</v>
      </c>
      <c r="M1200" s="36">
        <v>38054</v>
      </c>
      <c r="N1200" s="53">
        <v>0</v>
      </c>
      <c r="O1200" s="40">
        <v>0</v>
      </c>
      <c r="P1200" s="35">
        <v>0</v>
      </c>
      <c r="Q1200" s="35" t="s">
        <v>1950</v>
      </c>
      <c r="R1200" s="53">
        <v>5</v>
      </c>
      <c r="S1200" s="53">
        <v>0</v>
      </c>
    </row>
    <row r="1201" spans="1:19" x14ac:dyDescent="0.3">
      <c r="A1201" s="35" t="s">
        <v>1586</v>
      </c>
      <c r="B1201" s="35" t="s">
        <v>12</v>
      </c>
      <c r="C1201" s="35" t="s">
        <v>17</v>
      </c>
      <c r="D1201" s="35">
        <v>408.6</v>
      </c>
      <c r="E1201" s="39" t="s">
        <v>1950</v>
      </c>
      <c r="F1201" s="37">
        <v>0</v>
      </c>
      <c r="G1201" s="35" t="s">
        <v>1950</v>
      </c>
      <c r="H1201" s="37">
        <v>0</v>
      </c>
      <c r="I1201" s="37" t="s">
        <v>1950</v>
      </c>
      <c r="J1201" s="35">
        <v>2011</v>
      </c>
      <c r="K1201" s="35" t="s">
        <v>21</v>
      </c>
      <c r="L1201" s="35" t="s">
        <v>1603</v>
      </c>
      <c r="M1201" s="36">
        <v>28463</v>
      </c>
      <c r="N1201" s="53">
        <v>0</v>
      </c>
      <c r="O1201" s="40">
        <v>0</v>
      </c>
      <c r="P1201" s="35">
        <v>0</v>
      </c>
      <c r="Q1201" s="35" t="s">
        <v>1950</v>
      </c>
      <c r="R1201" s="53">
        <v>0</v>
      </c>
      <c r="S1201" s="53">
        <v>0</v>
      </c>
    </row>
    <row r="1202" spans="1:19" x14ac:dyDescent="0.3">
      <c r="A1202" s="35" t="s">
        <v>1586</v>
      </c>
      <c r="B1202" s="35" t="s">
        <v>14</v>
      </c>
      <c r="C1202" s="35" t="s">
        <v>17</v>
      </c>
      <c r="D1202" s="35">
        <v>212.22</v>
      </c>
      <c r="E1202" s="39" t="s">
        <v>1950</v>
      </c>
      <c r="F1202" s="37">
        <v>0</v>
      </c>
      <c r="G1202" s="35" t="s">
        <v>1950</v>
      </c>
      <c r="H1202" s="37">
        <v>0</v>
      </c>
      <c r="I1202" s="37" t="s">
        <v>1950</v>
      </c>
      <c r="J1202" s="35">
        <v>1999</v>
      </c>
      <c r="K1202" s="35" t="s">
        <v>19</v>
      </c>
      <c r="L1202" s="35" t="s">
        <v>1601</v>
      </c>
      <c r="M1202" s="36">
        <v>38325</v>
      </c>
      <c r="N1202" s="53">
        <v>0</v>
      </c>
      <c r="O1202" s="40">
        <v>0</v>
      </c>
      <c r="P1202" s="35">
        <v>0</v>
      </c>
      <c r="Q1202" s="35" t="s">
        <v>1950</v>
      </c>
      <c r="R1202" s="53">
        <v>5</v>
      </c>
      <c r="S1202" s="53">
        <v>0</v>
      </c>
    </row>
    <row r="1203" spans="1:19" x14ac:dyDescent="0.3">
      <c r="A1203" s="35" t="s">
        <v>1586</v>
      </c>
      <c r="B1203" s="35" t="s">
        <v>29</v>
      </c>
      <c r="C1203" s="35" t="s">
        <v>1775</v>
      </c>
      <c r="D1203" s="35">
        <v>357.94</v>
      </c>
      <c r="E1203" s="39" t="s">
        <v>1950</v>
      </c>
      <c r="F1203" s="37">
        <v>0</v>
      </c>
      <c r="G1203" s="35" t="s">
        <v>1950</v>
      </c>
      <c r="H1203" s="37">
        <v>0</v>
      </c>
      <c r="I1203" s="37" t="s">
        <v>1950</v>
      </c>
      <c r="J1203" s="35">
        <v>2010</v>
      </c>
      <c r="K1203" s="35" t="s">
        <v>25</v>
      </c>
      <c r="L1203" s="35" t="s">
        <v>1601</v>
      </c>
      <c r="M1203" s="36">
        <v>8259</v>
      </c>
      <c r="N1203" s="53">
        <v>0</v>
      </c>
      <c r="O1203" s="40">
        <v>0</v>
      </c>
      <c r="P1203" s="35">
        <v>0</v>
      </c>
      <c r="Q1203" s="35" t="s">
        <v>1950</v>
      </c>
      <c r="R1203" s="53">
        <v>8</v>
      </c>
      <c r="S1203" s="53">
        <v>0</v>
      </c>
    </row>
    <row r="1204" spans="1:19" x14ac:dyDescent="0.3">
      <c r="A1204" s="35" t="s">
        <v>1586</v>
      </c>
      <c r="B1204" s="35" t="s">
        <v>29</v>
      </c>
      <c r="C1204" s="35" t="s">
        <v>1775</v>
      </c>
      <c r="D1204" s="35">
        <v>202.07</v>
      </c>
      <c r="E1204" s="39" t="s">
        <v>1950</v>
      </c>
      <c r="F1204" s="37">
        <v>0</v>
      </c>
      <c r="G1204" s="35" t="s">
        <v>1950</v>
      </c>
      <c r="H1204" s="37">
        <v>0</v>
      </c>
      <c r="I1204" s="37" t="s">
        <v>1950</v>
      </c>
      <c r="J1204" s="35">
        <v>2020</v>
      </c>
      <c r="K1204" s="35" t="s">
        <v>1950</v>
      </c>
      <c r="L1204" s="35" t="s">
        <v>1950</v>
      </c>
      <c r="M1204" s="36">
        <v>35642</v>
      </c>
      <c r="N1204" s="53">
        <v>0</v>
      </c>
      <c r="O1204" s="40">
        <v>0</v>
      </c>
      <c r="P1204" s="35">
        <v>0</v>
      </c>
      <c r="Q1204" s="35" t="s">
        <v>1950</v>
      </c>
      <c r="R1204" s="53">
        <v>1</v>
      </c>
      <c r="S1204" s="53">
        <v>0</v>
      </c>
    </row>
    <row r="1205" spans="1:19" x14ac:dyDescent="0.3">
      <c r="A1205" s="35" t="s">
        <v>1586</v>
      </c>
      <c r="B1205" s="35" t="s">
        <v>14</v>
      </c>
      <c r="C1205" s="35" t="s">
        <v>17</v>
      </c>
      <c r="D1205" s="35">
        <v>105.46</v>
      </c>
      <c r="E1205" s="39" t="s">
        <v>1950</v>
      </c>
      <c r="F1205" s="37">
        <v>0</v>
      </c>
      <c r="G1205" s="35" t="s">
        <v>1950</v>
      </c>
      <c r="H1205" s="37">
        <v>0</v>
      </c>
      <c r="I1205" s="37" t="s">
        <v>1950</v>
      </c>
      <c r="J1205" s="35">
        <v>2017</v>
      </c>
      <c r="K1205" s="35" t="s">
        <v>19</v>
      </c>
      <c r="L1205" s="35" t="s">
        <v>1600</v>
      </c>
      <c r="M1205" s="36">
        <v>245054</v>
      </c>
      <c r="N1205" s="53">
        <v>0</v>
      </c>
      <c r="O1205" s="40">
        <v>0</v>
      </c>
      <c r="P1205" s="35">
        <v>0</v>
      </c>
      <c r="Q1205" s="35" t="s">
        <v>1950</v>
      </c>
      <c r="R1205" s="53">
        <v>11</v>
      </c>
      <c r="S1205" s="53">
        <v>0</v>
      </c>
    </row>
    <row r="1206" spans="1:19" x14ac:dyDescent="0.3">
      <c r="A1206" s="35" t="s">
        <v>1586</v>
      </c>
      <c r="B1206" s="35" t="s">
        <v>14</v>
      </c>
      <c r="C1206" s="35" t="s">
        <v>1775</v>
      </c>
      <c r="D1206" s="35">
        <v>74.099999999999994</v>
      </c>
      <c r="E1206" s="39" t="s">
        <v>1950</v>
      </c>
      <c r="F1206" s="37">
        <v>0</v>
      </c>
      <c r="G1206" s="35" t="s">
        <v>1950</v>
      </c>
      <c r="H1206" s="37">
        <v>0</v>
      </c>
      <c r="I1206" s="37" t="s">
        <v>1950</v>
      </c>
      <c r="J1206" s="35">
        <v>2002</v>
      </c>
      <c r="K1206" s="35" t="s">
        <v>1950</v>
      </c>
      <c r="L1206" s="35" t="s">
        <v>1950</v>
      </c>
      <c r="M1206" s="36">
        <v>1791</v>
      </c>
      <c r="N1206" s="53">
        <v>0</v>
      </c>
      <c r="O1206" s="40">
        <v>0</v>
      </c>
      <c r="P1206" s="35">
        <v>0</v>
      </c>
      <c r="Q1206" s="35" t="s">
        <v>1950</v>
      </c>
      <c r="R1206" s="53">
        <v>15</v>
      </c>
      <c r="S1206" s="53">
        <v>0</v>
      </c>
    </row>
    <row r="1207" spans="1:19" x14ac:dyDescent="0.3">
      <c r="A1207" s="35" t="s">
        <v>1586</v>
      </c>
      <c r="B1207" s="35" t="s">
        <v>14</v>
      </c>
      <c r="C1207" s="35" t="s">
        <v>17</v>
      </c>
      <c r="D1207" s="35">
        <v>204.29</v>
      </c>
      <c r="E1207" s="39" t="s">
        <v>1950</v>
      </c>
      <c r="F1207" s="37">
        <v>0</v>
      </c>
      <c r="G1207" s="35" t="s">
        <v>1950</v>
      </c>
      <c r="H1207" s="37">
        <v>0</v>
      </c>
      <c r="I1207" s="37" t="s">
        <v>1950</v>
      </c>
      <c r="J1207" s="35">
        <v>2003</v>
      </c>
      <c r="K1207" s="35" t="s">
        <v>25</v>
      </c>
      <c r="L1207" s="35" t="s">
        <v>1599</v>
      </c>
      <c r="M1207" s="36">
        <v>35533</v>
      </c>
      <c r="N1207" s="53">
        <v>0</v>
      </c>
      <c r="O1207" s="40">
        <v>0</v>
      </c>
      <c r="P1207" s="35">
        <v>0</v>
      </c>
      <c r="Q1207" s="35" t="s">
        <v>1950</v>
      </c>
      <c r="R1207" s="53">
        <v>2</v>
      </c>
      <c r="S1207" s="53">
        <v>0</v>
      </c>
    </row>
    <row r="1208" spans="1:19" x14ac:dyDescent="0.3">
      <c r="A1208" s="35" t="s">
        <v>1586</v>
      </c>
      <c r="B1208" s="35" t="s">
        <v>12</v>
      </c>
      <c r="C1208" s="35" t="s">
        <v>17</v>
      </c>
      <c r="D1208" s="35">
        <v>292.08999999999997</v>
      </c>
      <c r="E1208" s="39" t="s">
        <v>1950</v>
      </c>
      <c r="F1208" s="37">
        <v>0</v>
      </c>
      <c r="G1208" s="35" t="s">
        <v>1950</v>
      </c>
      <c r="H1208" s="37">
        <v>0</v>
      </c>
      <c r="I1208" s="37" t="s">
        <v>1950</v>
      </c>
      <c r="J1208" s="35">
        <v>1983</v>
      </c>
      <c r="K1208" s="35" t="s">
        <v>21</v>
      </c>
      <c r="L1208" s="35" t="s">
        <v>1601</v>
      </c>
      <c r="M1208" s="36">
        <v>40749</v>
      </c>
      <c r="N1208" s="53">
        <v>0</v>
      </c>
      <c r="O1208" s="40">
        <v>0</v>
      </c>
      <c r="P1208" s="35">
        <v>0</v>
      </c>
      <c r="Q1208" s="35" t="s">
        <v>1950</v>
      </c>
      <c r="R1208" s="53">
        <v>6</v>
      </c>
      <c r="S1208" s="53">
        <v>0</v>
      </c>
    </row>
    <row r="1209" spans="1:19" x14ac:dyDescent="0.3">
      <c r="A1209" s="35" t="s">
        <v>1586</v>
      </c>
      <c r="B1209" s="35" t="s">
        <v>29</v>
      </c>
      <c r="C1209" s="35" t="s">
        <v>17</v>
      </c>
      <c r="D1209" s="35">
        <v>335.27</v>
      </c>
      <c r="E1209" s="39" t="s">
        <v>1950</v>
      </c>
      <c r="F1209" s="37">
        <v>0</v>
      </c>
      <c r="G1209" s="35" t="s">
        <v>1950</v>
      </c>
      <c r="H1209" s="37">
        <v>0</v>
      </c>
      <c r="I1209" s="37" t="s">
        <v>1950</v>
      </c>
      <c r="J1209" s="35">
        <v>2012</v>
      </c>
      <c r="K1209" s="35" t="s">
        <v>19</v>
      </c>
      <c r="L1209" s="35" t="s">
        <v>1603</v>
      </c>
      <c r="M1209" s="36">
        <v>23800</v>
      </c>
      <c r="N1209" s="53">
        <v>0</v>
      </c>
      <c r="O1209" s="40">
        <v>0</v>
      </c>
      <c r="P1209" s="35">
        <v>0</v>
      </c>
      <c r="Q1209" s="35" t="s">
        <v>1950</v>
      </c>
      <c r="R1209" s="53">
        <v>8</v>
      </c>
      <c r="S1209" s="53">
        <v>0</v>
      </c>
    </row>
    <row r="1210" spans="1:19" x14ac:dyDescent="0.3">
      <c r="A1210" s="35" t="s">
        <v>1586</v>
      </c>
      <c r="B1210" s="35" t="s">
        <v>12</v>
      </c>
      <c r="C1210" s="35" t="s">
        <v>17</v>
      </c>
      <c r="D1210" s="35">
        <v>604.25</v>
      </c>
      <c r="E1210" s="39" t="s">
        <v>1950</v>
      </c>
      <c r="F1210" s="37">
        <v>0</v>
      </c>
      <c r="G1210" s="35" t="s">
        <v>1950</v>
      </c>
      <c r="H1210" s="37">
        <v>0</v>
      </c>
      <c r="I1210" s="37" t="s">
        <v>1950</v>
      </c>
      <c r="J1210" s="35">
        <v>2009</v>
      </c>
      <c r="K1210" s="35" t="s">
        <v>1950</v>
      </c>
      <c r="L1210" s="35" t="s">
        <v>1950</v>
      </c>
      <c r="M1210" s="36">
        <v>29595</v>
      </c>
      <c r="N1210" s="53">
        <v>0</v>
      </c>
      <c r="O1210" s="40">
        <v>0</v>
      </c>
      <c r="P1210" s="35">
        <v>0</v>
      </c>
      <c r="Q1210" s="35" t="s">
        <v>1950</v>
      </c>
      <c r="R1210" s="53">
        <v>10</v>
      </c>
      <c r="S1210" s="53">
        <v>0</v>
      </c>
    </row>
    <row r="1211" spans="1:19" x14ac:dyDescent="0.3">
      <c r="A1211" s="35" t="s">
        <v>1586</v>
      </c>
      <c r="B1211" s="35" t="s">
        <v>8</v>
      </c>
      <c r="C1211" s="35" t="s">
        <v>17</v>
      </c>
      <c r="D1211" s="35">
        <v>170.32</v>
      </c>
      <c r="E1211" s="39" t="s">
        <v>1950</v>
      </c>
      <c r="F1211" s="37">
        <v>0</v>
      </c>
      <c r="G1211" s="35" t="s">
        <v>1950</v>
      </c>
      <c r="H1211" s="37">
        <v>0</v>
      </c>
      <c r="I1211" s="37" t="s">
        <v>1950</v>
      </c>
      <c r="J1211" s="35">
        <v>2019</v>
      </c>
      <c r="K1211" s="35" t="s">
        <v>21</v>
      </c>
      <c r="L1211" s="35" t="s">
        <v>1602</v>
      </c>
      <c r="M1211" s="36">
        <v>22162</v>
      </c>
      <c r="N1211" s="53">
        <v>0</v>
      </c>
      <c r="O1211" s="40">
        <v>0</v>
      </c>
      <c r="P1211" s="35">
        <v>0</v>
      </c>
      <c r="Q1211" s="35" t="s">
        <v>1950</v>
      </c>
      <c r="R1211" s="53">
        <v>1</v>
      </c>
      <c r="S1211" s="53">
        <v>0</v>
      </c>
    </row>
    <row r="1212" spans="1:19" x14ac:dyDescent="0.3">
      <c r="A1212" s="35" t="s">
        <v>1586</v>
      </c>
      <c r="B1212" s="35" t="s">
        <v>14</v>
      </c>
      <c r="C1212" s="35" t="s">
        <v>17</v>
      </c>
      <c r="D1212" s="35">
        <v>328.68</v>
      </c>
      <c r="E1212" s="39" t="s">
        <v>1950</v>
      </c>
      <c r="F1212" s="37">
        <v>0</v>
      </c>
      <c r="G1212" s="35" t="s">
        <v>1950</v>
      </c>
      <c r="H1212" s="37">
        <v>0</v>
      </c>
      <c r="I1212" s="37" t="s">
        <v>1950</v>
      </c>
      <c r="J1212" s="35">
        <v>1981</v>
      </c>
      <c r="K1212" s="35" t="s">
        <v>1950</v>
      </c>
      <c r="L1212" s="35" t="s">
        <v>1950</v>
      </c>
      <c r="M1212" s="36">
        <v>104962</v>
      </c>
      <c r="N1212" s="53">
        <v>0</v>
      </c>
      <c r="O1212" s="40">
        <v>0</v>
      </c>
      <c r="P1212" s="35">
        <v>0</v>
      </c>
      <c r="Q1212" s="35" t="s">
        <v>1950</v>
      </c>
      <c r="R1212" s="53">
        <v>14</v>
      </c>
      <c r="S1212" s="53">
        <v>0</v>
      </c>
    </row>
    <row r="1213" spans="1:19" x14ac:dyDescent="0.3">
      <c r="A1213" s="35" t="s">
        <v>1586</v>
      </c>
      <c r="B1213" s="35" t="s">
        <v>14</v>
      </c>
      <c r="C1213" s="35" t="s">
        <v>17</v>
      </c>
      <c r="D1213" s="35">
        <v>222.24</v>
      </c>
      <c r="E1213" s="39" t="s">
        <v>1950</v>
      </c>
      <c r="F1213" s="37">
        <v>0</v>
      </c>
      <c r="G1213" s="35" t="s">
        <v>1950</v>
      </c>
      <c r="H1213" s="37">
        <v>0</v>
      </c>
      <c r="I1213" s="37" t="s">
        <v>1950</v>
      </c>
      <c r="J1213" s="35">
        <v>1989</v>
      </c>
      <c r="K1213" s="35" t="s">
        <v>1950</v>
      </c>
      <c r="L1213" s="35" t="s">
        <v>1950</v>
      </c>
      <c r="M1213" s="36">
        <v>34560</v>
      </c>
      <c r="N1213" s="53">
        <v>0</v>
      </c>
      <c r="O1213" s="40">
        <v>0</v>
      </c>
      <c r="P1213" s="35">
        <v>0</v>
      </c>
      <c r="Q1213" s="35" t="s">
        <v>1950</v>
      </c>
      <c r="R1213" s="53">
        <v>1</v>
      </c>
      <c r="S1213" s="53">
        <v>0</v>
      </c>
    </row>
    <row r="1214" spans="1:19" x14ac:dyDescent="0.3">
      <c r="A1214" s="35" t="s">
        <v>1586</v>
      </c>
      <c r="B1214" s="35" t="s">
        <v>14</v>
      </c>
      <c r="C1214" s="35" t="s">
        <v>1775</v>
      </c>
      <c r="D1214" s="35">
        <v>89.43</v>
      </c>
      <c r="E1214" s="39" t="s">
        <v>1950</v>
      </c>
      <c r="F1214" s="37">
        <v>0</v>
      </c>
      <c r="G1214" s="35" t="s">
        <v>1950</v>
      </c>
      <c r="H1214" s="37">
        <v>0</v>
      </c>
      <c r="I1214" s="37" t="s">
        <v>1950</v>
      </c>
      <c r="J1214" s="35">
        <v>1973</v>
      </c>
      <c r="K1214" s="35" t="s">
        <v>1950</v>
      </c>
      <c r="L1214" s="35" t="s">
        <v>1950</v>
      </c>
      <c r="M1214" s="36">
        <v>11481</v>
      </c>
      <c r="N1214" s="53">
        <v>0</v>
      </c>
      <c r="O1214" s="40">
        <v>0</v>
      </c>
      <c r="P1214" s="35">
        <v>0</v>
      </c>
      <c r="Q1214" s="35" t="s">
        <v>1950</v>
      </c>
      <c r="R1214" s="53">
        <v>1</v>
      </c>
      <c r="S1214" s="53">
        <v>0</v>
      </c>
    </row>
    <row r="1215" spans="1:19" x14ac:dyDescent="0.3">
      <c r="A1215" s="35" t="s">
        <v>1586</v>
      </c>
      <c r="B1215" s="35" t="s">
        <v>12</v>
      </c>
      <c r="C1215" s="35" t="s">
        <v>17</v>
      </c>
      <c r="D1215" s="35">
        <v>416.07</v>
      </c>
      <c r="E1215" s="39" t="s">
        <v>1950</v>
      </c>
      <c r="F1215" s="37">
        <v>0</v>
      </c>
      <c r="G1215" s="35" t="s">
        <v>1950</v>
      </c>
      <c r="H1215" s="37">
        <v>0</v>
      </c>
      <c r="I1215" s="37" t="s">
        <v>1950</v>
      </c>
      <c r="J1215" s="35">
        <v>2009</v>
      </c>
      <c r="K1215" s="35" t="s">
        <v>21</v>
      </c>
      <c r="L1215" s="35" t="s">
        <v>1601</v>
      </c>
      <c r="M1215" s="36">
        <v>35386</v>
      </c>
      <c r="N1215" s="53">
        <v>0</v>
      </c>
      <c r="O1215" s="40">
        <v>0</v>
      </c>
      <c r="P1215" s="35">
        <v>0</v>
      </c>
      <c r="Q1215" s="35" t="s">
        <v>1950</v>
      </c>
      <c r="R1215" s="53">
        <v>11</v>
      </c>
      <c r="S1215" s="53">
        <v>0</v>
      </c>
    </row>
    <row r="1216" spans="1:19" x14ac:dyDescent="0.3">
      <c r="A1216" s="35" t="s">
        <v>1586</v>
      </c>
      <c r="B1216" s="35" t="s">
        <v>12</v>
      </c>
      <c r="C1216" s="35" t="s">
        <v>17</v>
      </c>
      <c r="D1216" s="35">
        <v>403.35</v>
      </c>
      <c r="E1216" s="39" t="s">
        <v>1950</v>
      </c>
      <c r="F1216" s="37">
        <v>0</v>
      </c>
      <c r="G1216" s="35" t="s">
        <v>1950</v>
      </c>
      <c r="H1216" s="37">
        <v>0</v>
      </c>
      <c r="I1216" s="37" t="s">
        <v>1950</v>
      </c>
      <c r="J1216" s="35">
        <v>1995</v>
      </c>
      <c r="K1216" s="35" t="s">
        <v>19</v>
      </c>
      <c r="L1216" s="35" t="s">
        <v>1601</v>
      </c>
      <c r="M1216" s="36">
        <v>30400</v>
      </c>
      <c r="N1216" s="53">
        <v>0</v>
      </c>
      <c r="O1216" s="40">
        <v>0</v>
      </c>
      <c r="P1216" s="35">
        <v>0</v>
      </c>
      <c r="Q1216" s="35" t="s">
        <v>1950</v>
      </c>
      <c r="R1216" s="53">
        <v>1</v>
      </c>
      <c r="S1216" s="53">
        <v>0</v>
      </c>
    </row>
    <row r="1217" spans="1:19" x14ac:dyDescent="0.3">
      <c r="A1217" s="35" t="s">
        <v>1586</v>
      </c>
      <c r="B1217" s="35" t="s">
        <v>12</v>
      </c>
      <c r="C1217" s="35" t="s">
        <v>17</v>
      </c>
      <c r="D1217" s="35">
        <v>542.34</v>
      </c>
      <c r="E1217" s="39" t="s">
        <v>1950</v>
      </c>
      <c r="F1217" s="37">
        <v>0</v>
      </c>
      <c r="G1217" s="35" t="s">
        <v>1950</v>
      </c>
      <c r="H1217" s="37">
        <v>0</v>
      </c>
      <c r="I1217" s="37" t="s">
        <v>1950</v>
      </c>
      <c r="J1217" s="35">
        <v>1996</v>
      </c>
      <c r="K1217" s="35" t="s">
        <v>1950</v>
      </c>
      <c r="L1217" s="35" t="s">
        <v>1950</v>
      </c>
      <c r="M1217" s="36">
        <v>21615</v>
      </c>
      <c r="N1217" s="53">
        <v>0</v>
      </c>
      <c r="O1217" s="40">
        <v>0</v>
      </c>
      <c r="P1217" s="35">
        <v>0</v>
      </c>
      <c r="Q1217" s="35" t="s">
        <v>1950</v>
      </c>
      <c r="R1217" s="53">
        <v>5</v>
      </c>
      <c r="S1217" s="53">
        <v>0</v>
      </c>
    </row>
    <row r="1218" spans="1:19" x14ac:dyDescent="0.3">
      <c r="A1218" s="35" t="s">
        <v>1586</v>
      </c>
      <c r="B1218" s="35" t="s">
        <v>14</v>
      </c>
      <c r="C1218" s="35" t="s">
        <v>17</v>
      </c>
      <c r="D1218" s="35">
        <v>153.6</v>
      </c>
      <c r="E1218" s="39" t="s">
        <v>1950</v>
      </c>
      <c r="F1218" s="37">
        <v>0</v>
      </c>
      <c r="G1218" s="35" t="s">
        <v>1950</v>
      </c>
      <c r="H1218" s="37">
        <v>0</v>
      </c>
      <c r="I1218" s="37" t="s">
        <v>1950</v>
      </c>
      <c r="J1218" s="35">
        <v>2018</v>
      </c>
      <c r="K1218" s="35" t="s">
        <v>19</v>
      </c>
      <c r="L1218" s="35" t="s">
        <v>1598</v>
      </c>
      <c r="M1218" s="36">
        <v>76208</v>
      </c>
      <c r="N1218" s="53">
        <v>0</v>
      </c>
      <c r="O1218" s="40">
        <v>0</v>
      </c>
      <c r="P1218" s="35">
        <v>0</v>
      </c>
      <c r="Q1218" s="35" t="s">
        <v>1950</v>
      </c>
      <c r="R1218" s="53">
        <v>0</v>
      </c>
      <c r="S1218" s="53">
        <v>0</v>
      </c>
    </row>
    <row r="1219" spans="1:19" x14ac:dyDescent="0.3">
      <c r="A1219" s="35" t="s">
        <v>1586</v>
      </c>
      <c r="B1219" s="35" t="s">
        <v>8</v>
      </c>
      <c r="C1219" s="35" t="s">
        <v>17</v>
      </c>
      <c r="D1219" s="35">
        <v>200.15</v>
      </c>
      <c r="E1219" s="39" t="s">
        <v>1950</v>
      </c>
      <c r="F1219" s="37">
        <v>0</v>
      </c>
      <c r="G1219" s="35" t="s">
        <v>1950</v>
      </c>
      <c r="H1219" s="37">
        <v>0</v>
      </c>
      <c r="I1219" s="37" t="s">
        <v>1950</v>
      </c>
      <c r="J1219" s="35">
        <v>1972</v>
      </c>
      <c r="K1219" s="35" t="s">
        <v>25</v>
      </c>
      <c r="L1219" s="35" t="s">
        <v>1597</v>
      </c>
      <c r="M1219" s="36">
        <v>47107</v>
      </c>
      <c r="N1219" s="53">
        <v>0</v>
      </c>
      <c r="O1219" s="40">
        <v>0</v>
      </c>
      <c r="P1219" s="35">
        <v>0</v>
      </c>
      <c r="Q1219" s="35" t="s">
        <v>1950</v>
      </c>
      <c r="R1219" s="53">
        <v>6</v>
      </c>
      <c r="S1219" s="53">
        <v>0</v>
      </c>
    </row>
    <row r="1220" spans="1:19" x14ac:dyDescent="0.3">
      <c r="A1220" s="35" t="s">
        <v>1586</v>
      </c>
      <c r="B1220" s="35" t="s">
        <v>29</v>
      </c>
      <c r="C1220" s="35" t="s">
        <v>17</v>
      </c>
      <c r="D1220" s="35">
        <v>221.59</v>
      </c>
      <c r="E1220" s="39" t="s">
        <v>1950</v>
      </c>
      <c r="F1220" s="37">
        <v>0</v>
      </c>
      <c r="G1220" s="35" t="s">
        <v>1950</v>
      </c>
      <c r="H1220" s="37">
        <v>0</v>
      </c>
      <c r="I1220" s="37" t="s">
        <v>1950</v>
      </c>
      <c r="J1220" s="35">
        <v>2013</v>
      </c>
      <c r="K1220" s="35" t="s">
        <v>19</v>
      </c>
      <c r="L1220" s="35" t="s">
        <v>1603</v>
      </c>
      <c r="M1220" s="36">
        <v>20331</v>
      </c>
      <c r="N1220" s="53">
        <v>0</v>
      </c>
      <c r="O1220" s="40">
        <v>0</v>
      </c>
      <c r="P1220" s="35">
        <v>0</v>
      </c>
      <c r="Q1220" s="35" t="s">
        <v>1950</v>
      </c>
      <c r="R1220" s="53">
        <v>6</v>
      </c>
      <c r="S1220" s="53">
        <v>0</v>
      </c>
    </row>
    <row r="1221" spans="1:19" x14ac:dyDescent="0.3">
      <c r="A1221" s="35" t="s">
        <v>1586</v>
      </c>
      <c r="B1221" s="35" t="s">
        <v>12</v>
      </c>
      <c r="C1221" s="35" t="s">
        <v>1775</v>
      </c>
      <c r="D1221" s="35">
        <v>188.44</v>
      </c>
      <c r="E1221" s="39" t="s">
        <v>1950</v>
      </c>
      <c r="F1221" s="37">
        <v>0</v>
      </c>
      <c r="G1221" s="35" t="s">
        <v>1950</v>
      </c>
      <c r="H1221" s="37">
        <v>0</v>
      </c>
      <c r="I1221" s="37" t="s">
        <v>1950</v>
      </c>
      <c r="J1221" s="35">
        <v>1990</v>
      </c>
      <c r="K1221" s="35" t="s">
        <v>1950</v>
      </c>
      <c r="L1221" s="35" t="s">
        <v>1950</v>
      </c>
      <c r="M1221" s="36">
        <v>12349</v>
      </c>
      <c r="N1221" s="53">
        <v>0</v>
      </c>
      <c r="O1221" s="40">
        <v>0</v>
      </c>
      <c r="P1221" s="35">
        <v>0</v>
      </c>
      <c r="Q1221" s="35" t="s">
        <v>1950</v>
      </c>
      <c r="R1221" s="53">
        <v>23</v>
      </c>
      <c r="S1221" s="53">
        <v>0</v>
      </c>
    </row>
    <row r="1222" spans="1:19" x14ac:dyDescent="0.3">
      <c r="A1222" s="35" t="s">
        <v>1586</v>
      </c>
      <c r="B1222" s="35" t="s">
        <v>14</v>
      </c>
      <c r="C1222" s="35" t="s">
        <v>17</v>
      </c>
      <c r="D1222" s="35">
        <v>148.4</v>
      </c>
      <c r="E1222" s="39" t="s">
        <v>1950</v>
      </c>
      <c r="F1222" s="37">
        <v>0</v>
      </c>
      <c r="G1222" s="35" t="s">
        <v>1950</v>
      </c>
      <c r="H1222" s="37">
        <v>0</v>
      </c>
      <c r="I1222" s="37" t="s">
        <v>1950</v>
      </c>
      <c r="J1222" s="35">
        <v>1996</v>
      </c>
      <c r="K1222" s="35" t="s">
        <v>19</v>
      </c>
      <c r="L1222" s="35" t="s">
        <v>1597</v>
      </c>
      <c r="M1222" s="36">
        <v>32148</v>
      </c>
      <c r="N1222" s="53">
        <v>0</v>
      </c>
      <c r="O1222" s="40">
        <v>0</v>
      </c>
      <c r="P1222" s="35">
        <v>0</v>
      </c>
      <c r="Q1222" s="35" t="s">
        <v>1950</v>
      </c>
      <c r="R1222" s="53">
        <v>8</v>
      </c>
      <c r="S1222" s="53">
        <v>0</v>
      </c>
    </row>
    <row r="1223" spans="1:19" x14ac:dyDescent="0.3">
      <c r="A1223" s="35" t="s">
        <v>1586</v>
      </c>
      <c r="B1223" s="35" t="s">
        <v>14</v>
      </c>
      <c r="C1223" s="35" t="s">
        <v>17</v>
      </c>
      <c r="D1223" s="35">
        <v>32.549999999999997</v>
      </c>
      <c r="E1223" s="39" t="s">
        <v>1950</v>
      </c>
      <c r="F1223" s="37">
        <v>0</v>
      </c>
      <c r="G1223" s="35" t="s">
        <v>1950</v>
      </c>
      <c r="H1223" s="37">
        <v>0</v>
      </c>
      <c r="I1223" s="37" t="s">
        <v>1950</v>
      </c>
      <c r="J1223" s="35">
        <v>2000</v>
      </c>
      <c r="K1223" s="35" t="s">
        <v>1950</v>
      </c>
      <c r="L1223" s="35" t="s">
        <v>1950</v>
      </c>
      <c r="M1223" s="36">
        <v>91069</v>
      </c>
      <c r="N1223" s="53">
        <v>0</v>
      </c>
      <c r="O1223" s="40">
        <v>0</v>
      </c>
      <c r="P1223" s="35">
        <v>0</v>
      </c>
      <c r="Q1223" s="35" t="s">
        <v>1950</v>
      </c>
      <c r="R1223" s="53">
        <v>17</v>
      </c>
      <c r="S1223" s="53">
        <v>0</v>
      </c>
    </row>
    <row r="1224" spans="1:19" x14ac:dyDescent="0.3">
      <c r="A1224" s="35" t="s">
        <v>1586</v>
      </c>
      <c r="B1224" s="35" t="s">
        <v>14</v>
      </c>
      <c r="C1224" s="35" t="s">
        <v>17</v>
      </c>
      <c r="D1224" s="35">
        <v>116.01</v>
      </c>
      <c r="E1224" s="39" t="s">
        <v>1950</v>
      </c>
      <c r="F1224" s="37">
        <v>0</v>
      </c>
      <c r="G1224" s="35" t="s">
        <v>1950</v>
      </c>
      <c r="H1224" s="37">
        <v>0</v>
      </c>
      <c r="I1224" s="37" t="s">
        <v>1950</v>
      </c>
      <c r="J1224" s="35">
        <v>2009</v>
      </c>
      <c r="K1224" s="35" t="s">
        <v>25</v>
      </c>
      <c r="L1224" s="35" t="s">
        <v>1597</v>
      </c>
      <c r="M1224" s="36">
        <v>18565</v>
      </c>
      <c r="N1224" s="53">
        <v>0</v>
      </c>
      <c r="O1224" s="40">
        <v>0</v>
      </c>
      <c r="P1224" s="35">
        <v>0</v>
      </c>
      <c r="Q1224" s="35" t="s">
        <v>1950</v>
      </c>
      <c r="R1224" s="53">
        <v>10</v>
      </c>
      <c r="S1224" s="53">
        <v>0</v>
      </c>
    </row>
    <row r="1225" spans="1:19" x14ac:dyDescent="0.3">
      <c r="A1225" s="35" t="s">
        <v>1586</v>
      </c>
      <c r="B1225" s="35" t="s">
        <v>29</v>
      </c>
      <c r="C1225" s="35" t="s">
        <v>17</v>
      </c>
      <c r="D1225" s="35">
        <v>153.16999999999999</v>
      </c>
      <c r="E1225" s="39" t="s">
        <v>1950</v>
      </c>
      <c r="F1225" s="37">
        <v>0</v>
      </c>
      <c r="G1225" s="35" t="s">
        <v>1950</v>
      </c>
      <c r="H1225" s="37">
        <v>0</v>
      </c>
      <c r="I1225" s="37" t="s">
        <v>1950</v>
      </c>
      <c r="J1225" s="35">
        <v>2011</v>
      </c>
      <c r="K1225" s="35" t="s">
        <v>25</v>
      </c>
      <c r="L1225" s="35" t="s">
        <v>1608</v>
      </c>
      <c r="M1225" s="36">
        <v>18881</v>
      </c>
      <c r="N1225" s="53">
        <v>0</v>
      </c>
      <c r="O1225" s="40">
        <v>0</v>
      </c>
      <c r="P1225" s="35">
        <v>0</v>
      </c>
      <c r="Q1225" s="35" t="s">
        <v>1950</v>
      </c>
      <c r="R1225" s="53">
        <v>10.1</v>
      </c>
      <c r="S1225" s="53">
        <v>0</v>
      </c>
    </row>
    <row r="1226" spans="1:19" x14ac:dyDescent="0.3">
      <c r="A1226" s="35" t="s">
        <v>1586</v>
      </c>
      <c r="B1226" s="35" t="s">
        <v>14</v>
      </c>
      <c r="C1226" s="35" t="s">
        <v>1775</v>
      </c>
      <c r="D1226" s="35">
        <v>82.84</v>
      </c>
      <c r="E1226" s="39" t="s">
        <v>1950</v>
      </c>
      <c r="F1226" s="37">
        <v>0</v>
      </c>
      <c r="G1226" s="35" t="s">
        <v>1950</v>
      </c>
      <c r="H1226" s="37">
        <v>0</v>
      </c>
      <c r="I1226" s="37" t="s">
        <v>1950</v>
      </c>
      <c r="J1226" s="35">
        <v>2014</v>
      </c>
      <c r="K1226" s="35" t="s">
        <v>2663</v>
      </c>
      <c r="L1226" s="35" t="s">
        <v>1950</v>
      </c>
      <c r="M1226" s="36">
        <v>7043</v>
      </c>
      <c r="N1226" s="53">
        <v>0</v>
      </c>
      <c r="O1226" s="40">
        <v>0</v>
      </c>
      <c r="P1226" s="35">
        <v>0</v>
      </c>
      <c r="Q1226" s="35" t="s">
        <v>1950</v>
      </c>
      <c r="R1226" s="53">
        <v>2</v>
      </c>
      <c r="S1226" s="53">
        <v>0</v>
      </c>
    </row>
    <row r="1227" spans="1:19" x14ac:dyDescent="0.3">
      <c r="A1227" s="35" t="s">
        <v>1586</v>
      </c>
      <c r="B1227" s="35" t="s">
        <v>29</v>
      </c>
      <c r="C1227" s="35" t="s">
        <v>1775</v>
      </c>
      <c r="D1227" s="35">
        <v>120.42</v>
      </c>
      <c r="E1227" s="39" t="s">
        <v>1950</v>
      </c>
      <c r="F1227" s="37">
        <v>0</v>
      </c>
      <c r="G1227" s="35" t="s">
        <v>1950</v>
      </c>
      <c r="H1227" s="37">
        <v>0</v>
      </c>
      <c r="I1227" s="37" t="s">
        <v>1950</v>
      </c>
      <c r="J1227" s="35">
        <v>2004</v>
      </c>
      <c r="K1227" s="35" t="s">
        <v>1950</v>
      </c>
      <c r="L1227" s="35" t="s">
        <v>1950</v>
      </c>
      <c r="M1227" s="36">
        <v>9336</v>
      </c>
      <c r="N1227" s="53">
        <v>0</v>
      </c>
      <c r="O1227" s="40">
        <v>0</v>
      </c>
      <c r="P1227" s="35">
        <v>0</v>
      </c>
      <c r="Q1227" s="35" t="s">
        <v>1950</v>
      </c>
      <c r="R1227" s="53">
        <v>13</v>
      </c>
      <c r="S1227" s="53">
        <v>0</v>
      </c>
    </row>
    <row r="1228" spans="1:19" x14ac:dyDescent="0.3">
      <c r="A1228" s="35" t="s">
        <v>1586</v>
      </c>
      <c r="B1228" s="35" t="s">
        <v>14</v>
      </c>
      <c r="C1228" s="35" t="s">
        <v>1775</v>
      </c>
      <c r="D1228" s="35">
        <v>259.8</v>
      </c>
      <c r="E1228" s="39" t="s">
        <v>1950</v>
      </c>
      <c r="F1228" s="37">
        <v>0</v>
      </c>
      <c r="G1228" s="35" t="s">
        <v>1950</v>
      </c>
      <c r="H1228" s="37">
        <v>0</v>
      </c>
      <c r="I1228" s="37" t="s">
        <v>1950</v>
      </c>
      <c r="J1228" s="35">
        <v>1992</v>
      </c>
      <c r="K1228" s="35" t="s">
        <v>1950</v>
      </c>
      <c r="L1228" s="35" t="s">
        <v>1950</v>
      </c>
      <c r="M1228" s="36">
        <v>3181</v>
      </c>
      <c r="N1228" s="53">
        <v>0</v>
      </c>
      <c r="O1228" s="40">
        <v>0</v>
      </c>
      <c r="P1228" s="35">
        <v>0</v>
      </c>
      <c r="Q1228" s="35" t="s">
        <v>1950</v>
      </c>
      <c r="R1228" s="53">
        <v>3</v>
      </c>
      <c r="S1228" s="53">
        <v>0</v>
      </c>
    </row>
    <row r="1229" spans="1:19" x14ac:dyDescent="0.3">
      <c r="A1229" s="35" t="s">
        <v>1586</v>
      </c>
      <c r="B1229" s="35" t="s">
        <v>14</v>
      </c>
      <c r="C1229" s="35" t="s">
        <v>1775</v>
      </c>
      <c r="D1229" s="35">
        <v>147.07</v>
      </c>
      <c r="E1229" s="39" t="s">
        <v>1950</v>
      </c>
      <c r="F1229" s="37">
        <v>0</v>
      </c>
      <c r="G1229" s="35" t="s">
        <v>1950</v>
      </c>
      <c r="H1229" s="37">
        <v>0</v>
      </c>
      <c r="I1229" s="37" t="s">
        <v>1950</v>
      </c>
      <c r="J1229" s="35">
        <v>2009</v>
      </c>
      <c r="K1229" s="35" t="s">
        <v>21</v>
      </c>
      <c r="L1229" s="35" t="s">
        <v>1597</v>
      </c>
      <c r="M1229" s="36">
        <v>11520</v>
      </c>
      <c r="N1229" s="53">
        <v>0</v>
      </c>
      <c r="O1229" s="40">
        <v>0</v>
      </c>
      <c r="P1229" s="35">
        <v>0</v>
      </c>
      <c r="Q1229" s="35" t="s">
        <v>1950</v>
      </c>
      <c r="R1229" s="53">
        <v>9</v>
      </c>
      <c r="S1229" s="53">
        <v>0</v>
      </c>
    </row>
    <row r="1230" spans="1:19" x14ac:dyDescent="0.3">
      <c r="A1230" s="35" t="s">
        <v>1586</v>
      </c>
      <c r="B1230" s="35" t="s">
        <v>12</v>
      </c>
      <c r="C1230" s="35" t="s">
        <v>17</v>
      </c>
      <c r="D1230" s="35">
        <v>399.37</v>
      </c>
      <c r="E1230" s="39" t="s">
        <v>1950</v>
      </c>
      <c r="F1230" s="37">
        <v>0</v>
      </c>
      <c r="G1230" s="35" t="s">
        <v>1950</v>
      </c>
      <c r="H1230" s="37">
        <v>0</v>
      </c>
      <c r="I1230" s="37" t="s">
        <v>1950</v>
      </c>
      <c r="J1230" s="35">
        <v>1994</v>
      </c>
      <c r="K1230" s="35" t="s">
        <v>1950</v>
      </c>
      <c r="L1230" s="35" t="s">
        <v>1950</v>
      </c>
      <c r="M1230" s="36">
        <v>24000</v>
      </c>
      <c r="N1230" s="53">
        <v>0</v>
      </c>
      <c r="O1230" s="40">
        <v>0</v>
      </c>
      <c r="P1230" s="35">
        <v>0</v>
      </c>
      <c r="Q1230" s="35" t="s">
        <v>1950</v>
      </c>
      <c r="R1230" s="53">
        <v>6</v>
      </c>
      <c r="S1230" s="53">
        <v>0</v>
      </c>
    </row>
    <row r="1231" spans="1:19" x14ac:dyDescent="0.3">
      <c r="A1231" s="35" t="s">
        <v>1586</v>
      </c>
      <c r="B1231" s="35" t="s">
        <v>29</v>
      </c>
      <c r="C1231" s="35" t="s">
        <v>17</v>
      </c>
      <c r="D1231" s="35">
        <v>146.9</v>
      </c>
      <c r="E1231" s="39" t="s">
        <v>1950</v>
      </c>
      <c r="F1231" s="37">
        <v>0</v>
      </c>
      <c r="G1231" s="35" t="s">
        <v>1950</v>
      </c>
      <c r="H1231" s="37">
        <v>0</v>
      </c>
      <c r="I1231" s="37" t="s">
        <v>1950</v>
      </c>
      <c r="J1231" s="35">
        <v>1998</v>
      </c>
      <c r="K1231" s="35" t="s">
        <v>1950</v>
      </c>
      <c r="L1231" s="35" t="s">
        <v>1950</v>
      </c>
      <c r="M1231" s="36">
        <v>17068</v>
      </c>
      <c r="N1231" s="53">
        <v>0</v>
      </c>
      <c r="O1231" s="40">
        <v>0</v>
      </c>
      <c r="P1231" s="35">
        <v>0</v>
      </c>
      <c r="Q1231" s="35" t="s">
        <v>1950</v>
      </c>
      <c r="R1231" s="53">
        <v>0</v>
      </c>
      <c r="S1231" s="53">
        <v>0</v>
      </c>
    </row>
    <row r="1232" spans="1:19" x14ac:dyDescent="0.3">
      <c r="A1232" s="35" t="s">
        <v>1586</v>
      </c>
      <c r="B1232" s="35" t="s">
        <v>8</v>
      </c>
      <c r="C1232" s="35" t="s">
        <v>17</v>
      </c>
      <c r="D1232" s="35">
        <v>76.25</v>
      </c>
      <c r="E1232" s="39" t="s">
        <v>1950</v>
      </c>
      <c r="F1232" s="37">
        <v>0</v>
      </c>
      <c r="G1232" s="35" t="s">
        <v>1950</v>
      </c>
      <c r="H1232" s="37">
        <v>0</v>
      </c>
      <c r="I1232" s="37" t="s">
        <v>1950</v>
      </c>
      <c r="J1232" s="35">
        <v>2002</v>
      </c>
      <c r="K1232" s="35" t="s">
        <v>25</v>
      </c>
      <c r="L1232" s="35" t="s">
        <v>1597</v>
      </c>
      <c r="M1232" s="36">
        <v>53582</v>
      </c>
      <c r="N1232" s="53">
        <v>0</v>
      </c>
      <c r="O1232" s="40">
        <v>0</v>
      </c>
      <c r="P1232" s="35">
        <v>0</v>
      </c>
      <c r="Q1232" s="35" t="s">
        <v>1950</v>
      </c>
      <c r="R1232" s="53">
        <v>6</v>
      </c>
      <c r="S1232" s="53">
        <v>0</v>
      </c>
    </row>
    <row r="1233" spans="1:19" x14ac:dyDescent="0.3">
      <c r="A1233" s="35" t="s">
        <v>1586</v>
      </c>
      <c r="B1233" s="35" t="s">
        <v>12</v>
      </c>
      <c r="C1233" s="35" t="s">
        <v>17</v>
      </c>
      <c r="D1233" s="35">
        <v>331.67</v>
      </c>
      <c r="E1233" s="39" t="s">
        <v>1950</v>
      </c>
      <c r="F1233" s="37">
        <v>0</v>
      </c>
      <c r="G1233" s="35" t="s">
        <v>1950</v>
      </c>
      <c r="H1233" s="37">
        <v>0</v>
      </c>
      <c r="I1233" s="37" t="s">
        <v>1950</v>
      </c>
      <c r="J1233" s="35">
        <v>1998</v>
      </c>
      <c r="K1233" s="35" t="s">
        <v>25</v>
      </c>
      <c r="L1233" s="35" t="s">
        <v>1597</v>
      </c>
      <c r="M1233" s="36">
        <v>70347</v>
      </c>
      <c r="N1233" s="53">
        <v>0</v>
      </c>
      <c r="O1233" s="40">
        <v>0</v>
      </c>
      <c r="P1233" s="35">
        <v>0</v>
      </c>
      <c r="Q1233" s="35" t="s">
        <v>1950</v>
      </c>
      <c r="R1233" s="53">
        <v>16</v>
      </c>
      <c r="S1233" s="53">
        <v>0</v>
      </c>
    </row>
    <row r="1234" spans="1:19" x14ac:dyDescent="0.3">
      <c r="A1234" s="35" t="s">
        <v>1586</v>
      </c>
      <c r="B1234" s="35" t="s">
        <v>29</v>
      </c>
      <c r="C1234" s="35" t="s">
        <v>17</v>
      </c>
      <c r="D1234" s="35">
        <v>298.57</v>
      </c>
      <c r="E1234" s="39" t="s">
        <v>1950</v>
      </c>
      <c r="F1234" s="37">
        <v>0</v>
      </c>
      <c r="G1234" s="35" t="s">
        <v>1950</v>
      </c>
      <c r="H1234" s="37">
        <v>0</v>
      </c>
      <c r="I1234" s="37" t="s">
        <v>1950</v>
      </c>
      <c r="J1234" s="35">
        <v>2007</v>
      </c>
      <c r="K1234" s="35" t="s">
        <v>21</v>
      </c>
      <c r="L1234" s="35" t="s">
        <v>1606</v>
      </c>
      <c r="M1234" s="36">
        <v>30850</v>
      </c>
      <c r="N1234" s="53">
        <v>0</v>
      </c>
      <c r="O1234" s="40">
        <v>0</v>
      </c>
      <c r="P1234" s="35">
        <v>0</v>
      </c>
      <c r="Q1234" s="35" t="s">
        <v>1950</v>
      </c>
      <c r="R1234" s="53">
        <v>0</v>
      </c>
      <c r="S1234" s="53">
        <v>0</v>
      </c>
    </row>
    <row r="1235" spans="1:19" x14ac:dyDescent="0.3">
      <c r="A1235" s="35" t="s">
        <v>1586</v>
      </c>
      <c r="B1235" s="35" t="s">
        <v>29</v>
      </c>
      <c r="C1235" s="35" t="s">
        <v>17</v>
      </c>
      <c r="D1235" s="35">
        <v>221.09</v>
      </c>
      <c r="E1235" s="39" t="s">
        <v>1950</v>
      </c>
      <c r="F1235" s="37">
        <v>0</v>
      </c>
      <c r="G1235" s="35" t="s">
        <v>1950</v>
      </c>
      <c r="H1235" s="37">
        <v>0</v>
      </c>
      <c r="I1235" s="37" t="s">
        <v>1950</v>
      </c>
      <c r="J1235" s="35">
        <v>1970</v>
      </c>
      <c r="K1235" s="35" t="s">
        <v>1950</v>
      </c>
      <c r="L1235" s="35" t="s">
        <v>1950</v>
      </c>
      <c r="M1235" s="36">
        <v>23500</v>
      </c>
      <c r="N1235" s="53">
        <v>0</v>
      </c>
      <c r="O1235" s="40">
        <v>0</v>
      </c>
      <c r="P1235" s="35">
        <v>0</v>
      </c>
      <c r="Q1235" s="35" t="s">
        <v>1950</v>
      </c>
      <c r="R1235" s="53">
        <v>22</v>
      </c>
      <c r="S1235" s="53">
        <v>0</v>
      </c>
    </row>
    <row r="1236" spans="1:19" x14ac:dyDescent="0.3">
      <c r="A1236" s="35" t="s">
        <v>1586</v>
      </c>
      <c r="B1236" s="35" t="s">
        <v>12</v>
      </c>
      <c r="C1236" s="35" t="s">
        <v>17</v>
      </c>
      <c r="D1236" s="35">
        <v>53.5</v>
      </c>
      <c r="E1236" s="39" t="s">
        <v>1950</v>
      </c>
      <c r="F1236" s="37">
        <v>0</v>
      </c>
      <c r="G1236" s="35" t="s">
        <v>1950</v>
      </c>
      <c r="H1236" s="37">
        <v>0</v>
      </c>
      <c r="I1236" s="37" t="s">
        <v>1950</v>
      </c>
      <c r="J1236" s="35">
        <v>2014</v>
      </c>
      <c r="K1236" s="35" t="s">
        <v>2663</v>
      </c>
      <c r="L1236" s="35" t="s">
        <v>1950</v>
      </c>
      <c r="M1236" s="36">
        <v>119287</v>
      </c>
      <c r="N1236" s="53">
        <v>0</v>
      </c>
      <c r="O1236" s="40">
        <v>0</v>
      </c>
      <c r="P1236" s="35">
        <v>0</v>
      </c>
      <c r="Q1236" s="35" t="s">
        <v>1950</v>
      </c>
      <c r="R1236" s="53">
        <v>15</v>
      </c>
      <c r="S1236" s="53">
        <v>0</v>
      </c>
    </row>
    <row r="1237" spans="1:19" x14ac:dyDescent="0.3">
      <c r="A1237" s="35" t="s">
        <v>1586</v>
      </c>
      <c r="B1237" s="35" t="s">
        <v>12</v>
      </c>
      <c r="C1237" s="35" t="s">
        <v>17</v>
      </c>
      <c r="D1237" s="35">
        <v>145.65</v>
      </c>
      <c r="E1237" s="39" t="s">
        <v>1950</v>
      </c>
      <c r="F1237" s="37">
        <v>0</v>
      </c>
      <c r="G1237" s="35" t="s">
        <v>1950</v>
      </c>
      <c r="H1237" s="37">
        <v>0</v>
      </c>
      <c r="I1237" s="37" t="s">
        <v>1950</v>
      </c>
      <c r="J1237" s="35">
        <v>1973</v>
      </c>
      <c r="K1237" s="35" t="s">
        <v>1950</v>
      </c>
      <c r="L1237" s="35" t="s">
        <v>1950</v>
      </c>
      <c r="M1237" s="36">
        <v>66479</v>
      </c>
      <c r="N1237" s="53">
        <v>0</v>
      </c>
      <c r="O1237" s="40">
        <v>0</v>
      </c>
      <c r="P1237" s="35">
        <v>0</v>
      </c>
      <c r="Q1237" s="35" t="s">
        <v>1950</v>
      </c>
      <c r="R1237" s="53">
        <v>16</v>
      </c>
      <c r="S1237" s="53">
        <v>0</v>
      </c>
    </row>
    <row r="1238" spans="1:19" x14ac:dyDescent="0.3">
      <c r="A1238" s="35" t="s">
        <v>1586</v>
      </c>
      <c r="B1238" s="35" t="s">
        <v>14</v>
      </c>
      <c r="C1238" s="35" t="s">
        <v>1775</v>
      </c>
      <c r="D1238" s="35">
        <v>109.8</v>
      </c>
      <c r="E1238" s="39" t="s">
        <v>1950</v>
      </c>
      <c r="F1238" s="37">
        <v>0</v>
      </c>
      <c r="G1238" s="35" t="s">
        <v>1950</v>
      </c>
      <c r="H1238" s="37">
        <v>0</v>
      </c>
      <c r="I1238" s="37" t="s">
        <v>1950</v>
      </c>
      <c r="J1238" s="35">
        <v>2009</v>
      </c>
      <c r="K1238" s="35" t="s">
        <v>1950</v>
      </c>
      <c r="L1238" s="35" t="s">
        <v>1950</v>
      </c>
      <c r="M1238" s="36">
        <v>5111</v>
      </c>
      <c r="N1238" s="53">
        <v>0</v>
      </c>
      <c r="O1238" s="40">
        <v>0</v>
      </c>
      <c r="P1238" s="35">
        <v>0</v>
      </c>
      <c r="Q1238" s="35" t="s">
        <v>1950</v>
      </c>
      <c r="R1238" s="53">
        <v>4</v>
      </c>
      <c r="S1238" s="53">
        <v>0</v>
      </c>
    </row>
    <row r="1239" spans="1:19" x14ac:dyDescent="0.3">
      <c r="A1239" s="35" t="s">
        <v>1586</v>
      </c>
      <c r="B1239" s="35" t="s">
        <v>14</v>
      </c>
      <c r="C1239" s="35" t="s">
        <v>17</v>
      </c>
      <c r="D1239" s="35">
        <v>2043.55</v>
      </c>
      <c r="E1239" s="39" t="s">
        <v>1950</v>
      </c>
      <c r="F1239" s="37">
        <v>0</v>
      </c>
      <c r="G1239" s="35" t="s">
        <v>1950</v>
      </c>
      <c r="H1239" s="37">
        <v>0</v>
      </c>
      <c r="I1239" s="37" t="s">
        <v>1950</v>
      </c>
      <c r="J1239" s="35">
        <v>1999</v>
      </c>
      <c r="K1239" s="35" t="s">
        <v>1950</v>
      </c>
      <c r="L1239" s="35" t="s">
        <v>1950</v>
      </c>
      <c r="M1239" s="36">
        <v>38349</v>
      </c>
      <c r="N1239" s="53">
        <v>0</v>
      </c>
      <c r="O1239" s="40">
        <v>0</v>
      </c>
      <c r="P1239" s="35">
        <v>0</v>
      </c>
      <c r="Q1239" s="35" t="s">
        <v>1950</v>
      </c>
      <c r="R1239" s="53">
        <v>16</v>
      </c>
      <c r="S1239" s="53">
        <v>0</v>
      </c>
    </row>
    <row r="1240" spans="1:19" x14ac:dyDescent="0.3">
      <c r="A1240" s="35" t="s">
        <v>1586</v>
      </c>
      <c r="B1240" s="35" t="s">
        <v>14</v>
      </c>
      <c r="C1240" s="35" t="s">
        <v>17</v>
      </c>
      <c r="D1240" s="35">
        <v>170.33</v>
      </c>
      <c r="E1240" s="39" t="s">
        <v>1950</v>
      </c>
      <c r="F1240" s="37">
        <v>0</v>
      </c>
      <c r="G1240" s="35" t="s">
        <v>1950</v>
      </c>
      <c r="H1240" s="37">
        <v>0</v>
      </c>
      <c r="I1240" s="37" t="s">
        <v>1950</v>
      </c>
      <c r="J1240" s="35">
        <v>1998</v>
      </c>
      <c r="K1240" s="35" t="s">
        <v>21</v>
      </c>
      <c r="L1240" s="35" t="s">
        <v>1601</v>
      </c>
      <c r="M1240" s="36">
        <v>19566</v>
      </c>
      <c r="N1240" s="53">
        <v>0</v>
      </c>
      <c r="O1240" s="40">
        <v>0</v>
      </c>
      <c r="P1240" s="35">
        <v>0</v>
      </c>
      <c r="Q1240" s="35" t="s">
        <v>1950</v>
      </c>
      <c r="R1240" s="53">
        <v>0</v>
      </c>
      <c r="S1240" s="53">
        <v>0</v>
      </c>
    </row>
    <row r="1241" spans="1:19" x14ac:dyDescent="0.3">
      <c r="A1241" s="35" t="s">
        <v>1586</v>
      </c>
      <c r="B1241" s="35" t="s">
        <v>29</v>
      </c>
      <c r="C1241" s="35" t="s">
        <v>17</v>
      </c>
      <c r="D1241" s="35">
        <v>225.88</v>
      </c>
      <c r="E1241" s="39" t="s">
        <v>1950</v>
      </c>
      <c r="F1241" s="37">
        <v>0</v>
      </c>
      <c r="G1241" s="35" t="s">
        <v>1950</v>
      </c>
      <c r="H1241" s="37">
        <v>0</v>
      </c>
      <c r="I1241" s="37" t="s">
        <v>1950</v>
      </c>
      <c r="J1241" s="35">
        <v>1994</v>
      </c>
      <c r="K1241" s="35" t="s">
        <v>47</v>
      </c>
      <c r="L1241" s="35" t="s">
        <v>1599</v>
      </c>
      <c r="M1241" s="36">
        <v>34630</v>
      </c>
      <c r="N1241" s="53">
        <v>0</v>
      </c>
      <c r="O1241" s="40">
        <v>0</v>
      </c>
      <c r="P1241" s="35">
        <v>0</v>
      </c>
      <c r="Q1241" s="35" t="s">
        <v>1950</v>
      </c>
      <c r="R1241" s="53">
        <v>7</v>
      </c>
      <c r="S1241" s="53">
        <v>0</v>
      </c>
    </row>
    <row r="1242" spans="1:19" x14ac:dyDescent="0.3">
      <c r="A1242" s="35" t="s">
        <v>1586</v>
      </c>
      <c r="B1242" s="35" t="s">
        <v>14</v>
      </c>
      <c r="C1242" s="35" t="s">
        <v>1775</v>
      </c>
      <c r="D1242" s="35">
        <v>82.2</v>
      </c>
      <c r="E1242" s="39" t="s">
        <v>1950</v>
      </c>
      <c r="F1242" s="37">
        <v>0</v>
      </c>
      <c r="G1242" s="35" t="s">
        <v>1950</v>
      </c>
      <c r="H1242" s="37">
        <v>0</v>
      </c>
      <c r="I1242" s="37" t="s">
        <v>1950</v>
      </c>
      <c r="J1242" s="35">
        <v>2010</v>
      </c>
      <c r="K1242" s="35" t="s">
        <v>47</v>
      </c>
      <c r="L1242" s="35" t="s">
        <v>1608</v>
      </c>
      <c r="M1242" s="36">
        <v>5901</v>
      </c>
      <c r="N1242" s="53">
        <v>0</v>
      </c>
      <c r="O1242" s="40">
        <v>0</v>
      </c>
      <c r="P1242" s="35">
        <v>0</v>
      </c>
      <c r="Q1242" s="35" t="s">
        <v>1950</v>
      </c>
      <c r="R1242" s="53">
        <v>4</v>
      </c>
      <c r="S1242" s="53">
        <v>0</v>
      </c>
    </row>
    <row r="1243" spans="1:19" x14ac:dyDescent="0.3">
      <c r="A1243" s="35" t="s">
        <v>1586</v>
      </c>
      <c r="B1243" s="35" t="s">
        <v>14</v>
      </c>
      <c r="C1243" s="35" t="s">
        <v>1775</v>
      </c>
      <c r="D1243" s="35">
        <v>192.21</v>
      </c>
      <c r="E1243" s="39" t="s">
        <v>1950</v>
      </c>
      <c r="F1243" s="37">
        <v>0</v>
      </c>
      <c r="G1243" s="35" t="s">
        <v>1950</v>
      </c>
      <c r="H1243" s="37">
        <v>0</v>
      </c>
      <c r="I1243" s="37" t="s">
        <v>1950</v>
      </c>
      <c r="J1243" s="35">
        <v>1994</v>
      </c>
      <c r="K1243" s="35" t="s">
        <v>1950</v>
      </c>
      <c r="L1243" s="35" t="s">
        <v>1950</v>
      </c>
      <c r="M1243" s="36">
        <v>7526</v>
      </c>
      <c r="N1243" s="53">
        <v>0</v>
      </c>
      <c r="O1243" s="40">
        <v>0</v>
      </c>
      <c r="P1243" s="35">
        <v>0</v>
      </c>
      <c r="Q1243" s="35" t="s">
        <v>1950</v>
      </c>
      <c r="R1243" s="53">
        <v>21</v>
      </c>
      <c r="S1243" s="53">
        <v>0</v>
      </c>
    </row>
    <row r="1244" spans="1:19" x14ac:dyDescent="0.3">
      <c r="A1244" s="35" t="s">
        <v>1586</v>
      </c>
      <c r="B1244" s="35" t="s">
        <v>14</v>
      </c>
      <c r="C1244" s="35" t="s">
        <v>1775</v>
      </c>
      <c r="D1244" s="35">
        <v>167.29</v>
      </c>
      <c r="E1244" s="39" t="s">
        <v>1950</v>
      </c>
      <c r="F1244" s="37">
        <v>0</v>
      </c>
      <c r="G1244" s="35" t="s">
        <v>1950</v>
      </c>
      <c r="H1244" s="37">
        <v>0</v>
      </c>
      <c r="I1244" s="37" t="s">
        <v>1950</v>
      </c>
      <c r="J1244" s="35">
        <v>2007</v>
      </c>
      <c r="K1244" s="35" t="s">
        <v>1950</v>
      </c>
      <c r="L1244" s="35" t="s">
        <v>1950</v>
      </c>
      <c r="M1244" s="36">
        <v>9374</v>
      </c>
      <c r="N1244" s="53">
        <v>0</v>
      </c>
      <c r="O1244" s="40">
        <v>0</v>
      </c>
      <c r="P1244" s="35">
        <v>0</v>
      </c>
      <c r="Q1244" s="35" t="s">
        <v>1950</v>
      </c>
      <c r="R1244" s="53">
        <v>9</v>
      </c>
      <c r="S1244" s="53">
        <v>0</v>
      </c>
    </row>
    <row r="1245" spans="1:19" x14ac:dyDescent="0.3">
      <c r="A1245" s="35" t="s">
        <v>1586</v>
      </c>
      <c r="B1245" s="35" t="s">
        <v>8</v>
      </c>
      <c r="C1245" s="35" t="s">
        <v>17</v>
      </c>
      <c r="D1245" s="35">
        <v>127.61</v>
      </c>
      <c r="E1245" s="39" t="s">
        <v>1950</v>
      </c>
      <c r="F1245" s="37">
        <v>0</v>
      </c>
      <c r="G1245" s="35" t="s">
        <v>1950</v>
      </c>
      <c r="H1245" s="37">
        <v>0</v>
      </c>
      <c r="I1245" s="37" t="s">
        <v>1950</v>
      </c>
      <c r="J1245" s="35">
        <v>1990</v>
      </c>
      <c r="K1245" s="35" t="s">
        <v>19</v>
      </c>
      <c r="L1245" s="35" t="s">
        <v>1601</v>
      </c>
      <c r="M1245" s="36">
        <v>41158</v>
      </c>
      <c r="N1245" s="53">
        <v>0</v>
      </c>
      <c r="O1245" s="40">
        <v>0</v>
      </c>
      <c r="P1245" s="35">
        <v>0</v>
      </c>
      <c r="Q1245" s="35" t="s">
        <v>1950</v>
      </c>
      <c r="R1245" s="53">
        <v>4</v>
      </c>
      <c r="S1245" s="53">
        <v>0</v>
      </c>
    </row>
    <row r="1246" spans="1:19" x14ac:dyDescent="0.3">
      <c r="A1246" s="35" t="s">
        <v>1586</v>
      </c>
      <c r="B1246" s="35" t="s">
        <v>14</v>
      </c>
      <c r="C1246" s="35" t="s">
        <v>17</v>
      </c>
      <c r="D1246" s="35">
        <v>156.31</v>
      </c>
      <c r="E1246" s="39" t="s">
        <v>1950</v>
      </c>
      <c r="F1246" s="37">
        <v>0</v>
      </c>
      <c r="G1246" s="35" t="s">
        <v>1950</v>
      </c>
      <c r="H1246" s="37">
        <v>0</v>
      </c>
      <c r="I1246" s="37" t="s">
        <v>1950</v>
      </c>
      <c r="J1246" s="35">
        <v>2014</v>
      </c>
      <c r="K1246" s="35" t="s">
        <v>19</v>
      </c>
      <c r="L1246" s="35" t="s">
        <v>1600</v>
      </c>
      <c r="M1246" s="36">
        <v>82003</v>
      </c>
      <c r="N1246" s="53">
        <v>0</v>
      </c>
      <c r="O1246" s="40">
        <v>0</v>
      </c>
      <c r="P1246" s="35">
        <v>0</v>
      </c>
      <c r="Q1246" s="35" t="s">
        <v>1950</v>
      </c>
      <c r="R1246" s="53">
        <v>6</v>
      </c>
      <c r="S1246" s="53">
        <v>0</v>
      </c>
    </row>
    <row r="1247" spans="1:19" x14ac:dyDescent="0.3">
      <c r="A1247" s="35" t="s">
        <v>1586</v>
      </c>
      <c r="B1247" s="35" t="s">
        <v>29</v>
      </c>
      <c r="C1247" s="35" t="s">
        <v>1775</v>
      </c>
      <c r="D1247" s="35">
        <v>326.76</v>
      </c>
      <c r="E1247" s="39" t="s">
        <v>1950</v>
      </c>
      <c r="F1247" s="37">
        <v>0</v>
      </c>
      <c r="G1247" s="35" t="s">
        <v>1950</v>
      </c>
      <c r="H1247" s="37">
        <v>0</v>
      </c>
      <c r="I1247" s="37" t="s">
        <v>1950</v>
      </c>
      <c r="J1247" s="35">
        <v>2016</v>
      </c>
      <c r="K1247" s="35" t="s">
        <v>19</v>
      </c>
      <c r="L1247" s="35" t="s">
        <v>1600</v>
      </c>
      <c r="M1247" s="36">
        <v>7999</v>
      </c>
      <c r="N1247" s="53">
        <v>0</v>
      </c>
      <c r="O1247" s="40">
        <v>0</v>
      </c>
      <c r="P1247" s="35">
        <v>0</v>
      </c>
      <c r="Q1247" s="35" t="s">
        <v>1950</v>
      </c>
      <c r="R1247" s="53">
        <v>5</v>
      </c>
      <c r="S1247" s="53">
        <v>0</v>
      </c>
    </row>
    <row r="1248" spans="1:19" x14ac:dyDescent="0.3">
      <c r="A1248" s="35" t="s">
        <v>1586</v>
      </c>
      <c r="B1248" s="35" t="s">
        <v>14</v>
      </c>
      <c r="C1248" s="35" t="s">
        <v>17</v>
      </c>
      <c r="D1248" s="35">
        <v>126.45</v>
      </c>
      <c r="E1248" s="39" t="s">
        <v>1950</v>
      </c>
      <c r="F1248" s="37">
        <v>0</v>
      </c>
      <c r="G1248" s="35" t="s">
        <v>1950</v>
      </c>
      <c r="H1248" s="37">
        <v>0</v>
      </c>
      <c r="I1248" s="37" t="s">
        <v>1950</v>
      </c>
      <c r="J1248" s="35">
        <v>1999</v>
      </c>
      <c r="K1248" s="35" t="s">
        <v>19</v>
      </c>
      <c r="L1248" s="35" t="s">
        <v>1601</v>
      </c>
      <c r="M1248" s="36">
        <v>19765</v>
      </c>
      <c r="N1248" s="53">
        <v>0</v>
      </c>
      <c r="O1248" s="40">
        <v>0</v>
      </c>
      <c r="P1248" s="35">
        <v>0</v>
      </c>
      <c r="Q1248" s="35" t="s">
        <v>1950</v>
      </c>
      <c r="R1248" s="53">
        <v>4</v>
      </c>
      <c r="S1248" s="53">
        <v>0</v>
      </c>
    </row>
    <row r="1249" spans="1:19" x14ac:dyDescent="0.3">
      <c r="A1249" s="35" t="s">
        <v>1586</v>
      </c>
      <c r="B1249" s="35" t="s">
        <v>14</v>
      </c>
      <c r="C1249" s="35" t="s">
        <v>1775</v>
      </c>
      <c r="D1249" s="35">
        <v>132.69</v>
      </c>
      <c r="E1249" s="39" t="s">
        <v>1950</v>
      </c>
      <c r="F1249" s="37">
        <v>0</v>
      </c>
      <c r="G1249" s="35" t="s">
        <v>1950</v>
      </c>
      <c r="H1249" s="37">
        <v>0</v>
      </c>
      <c r="I1249" s="37" t="s">
        <v>1950</v>
      </c>
      <c r="J1249" s="35">
        <v>2015</v>
      </c>
      <c r="K1249" s="35" t="s">
        <v>1950</v>
      </c>
      <c r="L1249" s="35" t="s">
        <v>1950</v>
      </c>
      <c r="M1249" s="36">
        <v>5973</v>
      </c>
      <c r="N1249" s="53">
        <v>0</v>
      </c>
      <c r="O1249" s="40">
        <v>0</v>
      </c>
      <c r="P1249" s="35">
        <v>0</v>
      </c>
      <c r="Q1249" s="35" t="s">
        <v>1950</v>
      </c>
      <c r="R1249" s="53">
        <v>6</v>
      </c>
      <c r="S1249" s="53">
        <v>0</v>
      </c>
    </row>
    <row r="1250" spans="1:19" x14ac:dyDescent="0.3">
      <c r="A1250" s="35" t="s">
        <v>1586</v>
      </c>
      <c r="B1250" s="35" t="s">
        <v>14</v>
      </c>
      <c r="C1250" s="35" t="s">
        <v>1775</v>
      </c>
      <c r="D1250" s="35">
        <v>196.61</v>
      </c>
      <c r="E1250" s="39" t="s">
        <v>1950</v>
      </c>
      <c r="F1250" s="37">
        <v>0</v>
      </c>
      <c r="G1250" s="35" t="s">
        <v>1950</v>
      </c>
      <c r="H1250" s="37">
        <v>0</v>
      </c>
      <c r="I1250" s="37" t="s">
        <v>1950</v>
      </c>
      <c r="J1250" s="35">
        <v>2001</v>
      </c>
      <c r="K1250" s="35" t="s">
        <v>1950</v>
      </c>
      <c r="L1250" s="35" t="s">
        <v>1950</v>
      </c>
      <c r="M1250" s="36">
        <v>11015</v>
      </c>
      <c r="N1250" s="53">
        <v>0</v>
      </c>
      <c r="O1250" s="40">
        <v>0</v>
      </c>
      <c r="P1250" s="35">
        <v>0</v>
      </c>
      <c r="Q1250" s="35" t="s">
        <v>1950</v>
      </c>
      <c r="R1250" s="53">
        <v>18</v>
      </c>
      <c r="S1250" s="53">
        <v>0</v>
      </c>
    </row>
    <row r="1251" spans="1:19" x14ac:dyDescent="0.3">
      <c r="A1251" s="35" t="s">
        <v>1586</v>
      </c>
      <c r="B1251" s="35" t="s">
        <v>8</v>
      </c>
      <c r="C1251" s="35" t="s">
        <v>1775</v>
      </c>
      <c r="D1251" s="35">
        <v>191.18</v>
      </c>
      <c r="E1251" s="39" t="s">
        <v>1950</v>
      </c>
      <c r="F1251" s="37">
        <v>0</v>
      </c>
      <c r="G1251" s="35" t="s">
        <v>1950</v>
      </c>
      <c r="H1251" s="37">
        <v>0</v>
      </c>
      <c r="I1251" s="37" t="s">
        <v>1950</v>
      </c>
      <c r="J1251" s="35">
        <v>2016</v>
      </c>
      <c r="K1251" s="35" t="s">
        <v>2663</v>
      </c>
      <c r="L1251" s="35" t="s">
        <v>1950</v>
      </c>
      <c r="M1251" s="36">
        <v>13284</v>
      </c>
      <c r="N1251" s="53">
        <v>0</v>
      </c>
      <c r="O1251" s="40">
        <v>0</v>
      </c>
      <c r="P1251" s="35">
        <v>0</v>
      </c>
      <c r="Q1251" s="35" t="s">
        <v>1950</v>
      </c>
      <c r="R1251" s="53">
        <v>2</v>
      </c>
      <c r="S1251" s="53">
        <v>0</v>
      </c>
    </row>
    <row r="1252" spans="1:19" x14ac:dyDescent="0.3">
      <c r="A1252" s="35" t="s">
        <v>1586</v>
      </c>
      <c r="B1252" s="35" t="s">
        <v>12</v>
      </c>
      <c r="C1252" s="35" t="s">
        <v>17</v>
      </c>
      <c r="D1252" s="35">
        <v>360.79</v>
      </c>
      <c r="E1252" s="39" t="s">
        <v>1950</v>
      </c>
      <c r="F1252" s="37">
        <v>0</v>
      </c>
      <c r="G1252" s="35" t="s">
        <v>1950</v>
      </c>
      <c r="H1252" s="37">
        <v>0</v>
      </c>
      <c r="I1252" s="37" t="s">
        <v>1950</v>
      </c>
      <c r="J1252" s="35">
        <v>2014</v>
      </c>
      <c r="K1252" s="35" t="s">
        <v>25</v>
      </c>
      <c r="L1252" s="35" t="s">
        <v>1600</v>
      </c>
      <c r="M1252" s="36">
        <v>28938</v>
      </c>
      <c r="N1252" s="53">
        <v>0</v>
      </c>
      <c r="O1252" s="40">
        <v>0</v>
      </c>
      <c r="P1252" s="35">
        <v>0</v>
      </c>
      <c r="Q1252" s="35" t="s">
        <v>1950</v>
      </c>
      <c r="R1252" s="53">
        <v>7</v>
      </c>
      <c r="S1252" s="53">
        <v>0</v>
      </c>
    </row>
    <row r="1253" spans="1:19" x14ac:dyDescent="0.3">
      <c r="A1253" s="35" t="s">
        <v>1586</v>
      </c>
      <c r="B1253" s="35" t="s">
        <v>8</v>
      </c>
      <c r="C1253" s="35" t="s">
        <v>17</v>
      </c>
      <c r="D1253" s="35">
        <v>302.62</v>
      </c>
      <c r="E1253" s="39" t="s">
        <v>1950</v>
      </c>
      <c r="F1253" s="37">
        <v>0</v>
      </c>
      <c r="G1253" s="35" t="s">
        <v>1950</v>
      </c>
      <c r="H1253" s="37">
        <v>0</v>
      </c>
      <c r="I1253" s="37" t="s">
        <v>1950</v>
      </c>
      <c r="J1253" s="35">
        <v>2014</v>
      </c>
      <c r="K1253" s="35" t="s">
        <v>19</v>
      </c>
      <c r="L1253" s="35" t="s">
        <v>1603</v>
      </c>
      <c r="M1253" s="36">
        <v>48324</v>
      </c>
      <c r="N1253" s="53">
        <v>0</v>
      </c>
      <c r="O1253" s="40">
        <v>0</v>
      </c>
      <c r="P1253" s="35">
        <v>0</v>
      </c>
      <c r="Q1253" s="35" t="s">
        <v>1950</v>
      </c>
      <c r="R1253" s="53">
        <v>7</v>
      </c>
      <c r="S1253" s="53">
        <v>0</v>
      </c>
    </row>
    <row r="1254" spans="1:19" x14ac:dyDescent="0.3">
      <c r="A1254" s="35" t="s">
        <v>1586</v>
      </c>
      <c r="B1254" s="35" t="s">
        <v>8</v>
      </c>
      <c r="C1254" s="35" t="s">
        <v>17</v>
      </c>
      <c r="D1254" s="35">
        <v>365.25</v>
      </c>
      <c r="E1254" s="39" t="s">
        <v>1950</v>
      </c>
      <c r="F1254" s="37">
        <v>0</v>
      </c>
      <c r="G1254" s="35" t="s">
        <v>1950</v>
      </c>
      <c r="H1254" s="37">
        <v>0</v>
      </c>
      <c r="I1254" s="37" t="s">
        <v>1950</v>
      </c>
      <c r="J1254" s="35">
        <v>2019</v>
      </c>
      <c r="K1254" s="35" t="s">
        <v>21</v>
      </c>
      <c r="L1254" s="35" t="s">
        <v>1598</v>
      </c>
      <c r="M1254" s="36">
        <v>80858</v>
      </c>
      <c r="N1254" s="53">
        <v>0</v>
      </c>
      <c r="O1254" s="40">
        <v>0</v>
      </c>
      <c r="P1254" s="35">
        <v>0</v>
      </c>
      <c r="Q1254" s="35" t="s">
        <v>1950</v>
      </c>
      <c r="R1254" s="53">
        <v>2</v>
      </c>
      <c r="S1254" s="53">
        <v>0</v>
      </c>
    </row>
    <row r="1255" spans="1:19" x14ac:dyDescent="0.3">
      <c r="A1255" s="35" t="s">
        <v>1586</v>
      </c>
      <c r="B1255" s="35" t="s">
        <v>12</v>
      </c>
      <c r="C1255" s="35" t="s">
        <v>17</v>
      </c>
      <c r="D1255" s="35">
        <v>144.9</v>
      </c>
      <c r="E1255" s="39" t="s">
        <v>1950</v>
      </c>
      <c r="F1255" s="37">
        <v>0</v>
      </c>
      <c r="G1255" s="35" t="s">
        <v>1950</v>
      </c>
      <c r="H1255" s="37">
        <v>0</v>
      </c>
      <c r="I1255" s="37" t="s">
        <v>1950</v>
      </c>
      <c r="J1255" s="35">
        <v>1983</v>
      </c>
      <c r="K1255" s="35" t="s">
        <v>1950</v>
      </c>
      <c r="L1255" s="35" t="s">
        <v>1950</v>
      </c>
      <c r="M1255" s="36">
        <v>18841</v>
      </c>
      <c r="N1255" s="53">
        <v>0</v>
      </c>
      <c r="O1255" s="40">
        <v>0</v>
      </c>
      <c r="P1255" s="35">
        <v>0</v>
      </c>
      <c r="Q1255" s="35" t="s">
        <v>1950</v>
      </c>
      <c r="R1255" s="53">
        <v>17</v>
      </c>
      <c r="S1255" s="53">
        <v>0</v>
      </c>
    </row>
    <row r="1256" spans="1:19" x14ac:dyDescent="0.3">
      <c r="A1256" s="35" t="s">
        <v>1586</v>
      </c>
      <c r="B1256" s="35" t="s">
        <v>14</v>
      </c>
      <c r="C1256" s="35" t="s">
        <v>17</v>
      </c>
      <c r="D1256" s="35">
        <v>121.2</v>
      </c>
      <c r="E1256" s="39" t="s">
        <v>1950</v>
      </c>
      <c r="F1256" s="37">
        <v>0</v>
      </c>
      <c r="G1256" s="35" t="s">
        <v>1950</v>
      </c>
      <c r="H1256" s="37">
        <v>0</v>
      </c>
      <c r="I1256" s="37" t="s">
        <v>1950</v>
      </c>
      <c r="J1256" s="35">
        <v>2017</v>
      </c>
      <c r="K1256" s="35" t="s">
        <v>21</v>
      </c>
      <c r="L1256" s="35" t="s">
        <v>1598</v>
      </c>
      <c r="M1256" s="36">
        <v>64562</v>
      </c>
      <c r="N1256" s="53">
        <v>0</v>
      </c>
      <c r="O1256" s="40">
        <v>0</v>
      </c>
      <c r="P1256" s="35">
        <v>0</v>
      </c>
      <c r="Q1256" s="35" t="s">
        <v>1950</v>
      </c>
      <c r="R1256" s="53">
        <v>3</v>
      </c>
      <c r="S1256" s="53">
        <v>0</v>
      </c>
    </row>
    <row r="1257" spans="1:19" x14ac:dyDescent="0.3">
      <c r="A1257" s="35" t="s">
        <v>1586</v>
      </c>
      <c r="B1257" s="35" t="s">
        <v>12</v>
      </c>
      <c r="C1257" s="35" t="s">
        <v>17</v>
      </c>
      <c r="D1257" s="35">
        <v>123.41</v>
      </c>
      <c r="E1257" s="39" t="s">
        <v>1950</v>
      </c>
      <c r="F1257" s="37">
        <v>0</v>
      </c>
      <c r="G1257" s="35" t="s">
        <v>1950</v>
      </c>
      <c r="H1257" s="37">
        <v>0</v>
      </c>
      <c r="I1257" s="37" t="s">
        <v>1950</v>
      </c>
      <c r="J1257" s="35">
        <v>1977</v>
      </c>
      <c r="K1257" s="35" t="s">
        <v>1950</v>
      </c>
      <c r="L1257" s="35" t="s">
        <v>1950</v>
      </c>
      <c r="M1257" s="36">
        <v>47750</v>
      </c>
      <c r="N1257" s="53">
        <v>0</v>
      </c>
      <c r="O1257" s="40">
        <v>0</v>
      </c>
      <c r="P1257" s="35">
        <v>0</v>
      </c>
      <c r="Q1257" s="35" t="s">
        <v>1950</v>
      </c>
      <c r="R1257" s="53">
        <v>5</v>
      </c>
      <c r="S1257" s="53">
        <v>0</v>
      </c>
    </row>
    <row r="1258" spans="1:19" x14ac:dyDescent="0.3">
      <c r="A1258" s="35" t="s">
        <v>1587</v>
      </c>
      <c r="B1258" s="35" t="s">
        <v>9</v>
      </c>
      <c r="C1258" s="35" t="s">
        <v>1950</v>
      </c>
      <c r="D1258" s="37">
        <v>639.8813059043573</v>
      </c>
      <c r="E1258" s="39" t="s">
        <v>1950</v>
      </c>
      <c r="F1258" s="37">
        <v>618.64994986000477</v>
      </c>
      <c r="G1258" s="35" t="s">
        <v>1950</v>
      </c>
      <c r="H1258" s="37">
        <v>594.8096055663359</v>
      </c>
      <c r="I1258" s="37" t="s">
        <v>1950</v>
      </c>
      <c r="J1258" s="35">
        <v>1981</v>
      </c>
      <c r="K1258" s="35" t="s">
        <v>1950</v>
      </c>
      <c r="L1258" s="35" t="s">
        <v>1950</v>
      </c>
      <c r="M1258" s="36">
        <v>172666.55</v>
      </c>
      <c r="N1258" s="52">
        <v>164580</v>
      </c>
      <c r="O1258" s="38">
        <v>0.95316666719755516</v>
      </c>
      <c r="P1258" s="35">
        <v>0</v>
      </c>
      <c r="Q1258" s="35" t="s">
        <v>1589</v>
      </c>
      <c r="R1258" s="53">
        <v>23</v>
      </c>
      <c r="S1258" s="53">
        <v>1.48</v>
      </c>
    </row>
    <row r="1259" spans="1:19" x14ac:dyDescent="0.3">
      <c r="A1259" s="35" t="s">
        <v>1587</v>
      </c>
      <c r="B1259" s="35" t="s">
        <v>9</v>
      </c>
      <c r="C1259" s="35" t="s">
        <v>1950</v>
      </c>
      <c r="D1259" s="37">
        <v>392.12378382217173</v>
      </c>
      <c r="E1259" s="39" t="s">
        <v>1950</v>
      </c>
      <c r="F1259" s="37">
        <v>416.20137064128966</v>
      </c>
      <c r="G1259" s="35" t="s">
        <v>1950</v>
      </c>
      <c r="H1259" s="37">
        <v>406.84988045356624</v>
      </c>
      <c r="I1259" s="37" t="s">
        <v>1950</v>
      </c>
      <c r="J1259" s="35">
        <v>1993</v>
      </c>
      <c r="K1259" s="35" t="s">
        <v>1950</v>
      </c>
      <c r="L1259" s="35" t="s">
        <v>1950</v>
      </c>
      <c r="M1259" s="36">
        <v>42243</v>
      </c>
      <c r="N1259" s="52">
        <v>42243</v>
      </c>
      <c r="O1259" s="38">
        <v>1</v>
      </c>
      <c r="P1259" s="35">
        <v>0</v>
      </c>
      <c r="Q1259" s="35" t="s">
        <v>1589</v>
      </c>
      <c r="R1259" s="53">
        <v>11</v>
      </c>
      <c r="S1259" s="53">
        <v>0</v>
      </c>
    </row>
    <row r="1260" spans="1:19" x14ac:dyDescent="0.3">
      <c r="A1260" s="35" t="s">
        <v>1587</v>
      </c>
      <c r="B1260" s="35" t="s">
        <v>9</v>
      </c>
      <c r="C1260" s="35" t="s">
        <v>1950</v>
      </c>
      <c r="D1260" s="37">
        <v>386.47030653083499</v>
      </c>
      <c r="E1260" s="39" t="s">
        <v>1950</v>
      </c>
      <c r="F1260" s="37">
        <v>402.94108149899944</v>
      </c>
      <c r="G1260" s="35" t="s">
        <v>1950</v>
      </c>
      <c r="H1260" s="37">
        <v>396.12744042204838</v>
      </c>
      <c r="I1260" s="37" t="s">
        <v>1950</v>
      </c>
      <c r="J1260" s="35">
        <v>1979</v>
      </c>
      <c r="K1260" s="35" t="s">
        <v>1950</v>
      </c>
      <c r="L1260" s="35" t="s">
        <v>1950</v>
      </c>
      <c r="M1260" s="36">
        <v>10994</v>
      </c>
      <c r="N1260" s="52">
        <v>10763</v>
      </c>
      <c r="O1260" s="38">
        <v>0.97898853920320172</v>
      </c>
      <c r="P1260" s="35">
        <v>0</v>
      </c>
      <c r="Q1260" s="35" t="s">
        <v>1589</v>
      </c>
      <c r="R1260" s="53">
        <v>10</v>
      </c>
      <c r="S1260" s="53">
        <v>0</v>
      </c>
    </row>
    <row r="1261" spans="1:19" x14ac:dyDescent="0.3">
      <c r="A1261" s="35" t="s">
        <v>1587</v>
      </c>
      <c r="B1261" s="35" t="s">
        <v>9</v>
      </c>
      <c r="C1261" s="35" t="s">
        <v>1950</v>
      </c>
      <c r="D1261" s="37">
        <v>331.64862935694464</v>
      </c>
      <c r="E1261" s="39" t="s">
        <v>1950</v>
      </c>
      <c r="F1261" s="37">
        <v>355.33990985355211</v>
      </c>
      <c r="G1261" s="35" t="s">
        <v>1950</v>
      </c>
      <c r="H1261" s="37">
        <v>365.48181030749242</v>
      </c>
      <c r="I1261" s="37" t="s">
        <v>1950</v>
      </c>
      <c r="J1261" s="35">
        <v>1997</v>
      </c>
      <c r="K1261" s="35" t="s">
        <v>1950</v>
      </c>
      <c r="L1261" s="35" t="s">
        <v>1950</v>
      </c>
      <c r="M1261" s="36">
        <v>124686</v>
      </c>
      <c r="N1261" s="52">
        <v>81768</v>
      </c>
      <c r="O1261" s="38">
        <v>0.65579134786583904</v>
      </c>
      <c r="P1261" s="35">
        <v>0</v>
      </c>
      <c r="Q1261" s="35" t="s">
        <v>1589</v>
      </c>
      <c r="R1261" s="53">
        <v>12</v>
      </c>
      <c r="S1261" s="53">
        <v>0.99</v>
      </c>
    </row>
    <row r="1262" spans="1:19" x14ac:dyDescent="0.3">
      <c r="A1262" s="35" t="s">
        <v>1587</v>
      </c>
      <c r="B1262" s="35" t="s">
        <v>9</v>
      </c>
      <c r="C1262" s="35" t="s">
        <v>1950</v>
      </c>
      <c r="D1262" s="37">
        <v>329.71364880190612</v>
      </c>
      <c r="E1262" s="39" t="s">
        <v>1950</v>
      </c>
      <c r="F1262" s="37">
        <v>357.94541670568407</v>
      </c>
      <c r="G1262" s="35" t="s">
        <v>1950</v>
      </c>
      <c r="H1262" s="37">
        <v>361.78129709398507</v>
      </c>
      <c r="I1262" s="37" t="s">
        <v>1950</v>
      </c>
      <c r="J1262" s="35">
        <v>1999</v>
      </c>
      <c r="K1262" s="35" t="s">
        <v>19</v>
      </c>
      <c r="L1262" s="35" t="s">
        <v>1610</v>
      </c>
      <c r="M1262" s="36">
        <v>179917</v>
      </c>
      <c r="N1262" s="52">
        <v>148371</v>
      </c>
      <c r="O1262" s="38">
        <v>0.82466359487986129</v>
      </c>
      <c r="P1262" s="35">
        <v>1200</v>
      </c>
      <c r="Q1262" s="35" t="s">
        <v>1589</v>
      </c>
      <c r="R1262" s="53">
        <v>24</v>
      </c>
      <c r="S1262" s="53">
        <v>0.8</v>
      </c>
    </row>
    <row r="1263" spans="1:19" x14ac:dyDescent="0.3">
      <c r="A1263" s="35" t="s">
        <v>1587</v>
      </c>
      <c r="B1263" s="35" t="s">
        <v>9</v>
      </c>
      <c r="C1263" s="35" t="s">
        <v>1950</v>
      </c>
      <c r="D1263" s="37">
        <v>361.12973152321177</v>
      </c>
      <c r="E1263" s="39" t="s">
        <v>1950</v>
      </c>
      <c r="F1263" s="37">
        <v>357.8181353167252</v>
      </c>
      <c r="G1263" s="35" t="s">
        <v>1950</v>
      </c>
      <c r="H1263" s="37">
        <v>348.80325987778912</v>
      </c>
      <c r="I1263" s="37" t="s">
        <v>1950</v>
      </c>
      <c r="J1263" s="35">
        <v>2012</v>
      </c>
      <c r="K1263" s="35" t="s">
        <v>19</v>
      </c>
      <c r="L1263" s="35" t="s">
        <v>1603</v>
      </c>
      <c r="M1263" s="36">
        <v>72334</v>
      </c>
      <c r="N1263" s="52">
        <v>70000</v>
      </c>
      <c r="O1263" s="38">
        <v>0.96773301628556418</v>
      </c>
      <c r="P1263" s="35">
        <v>333</v>
      </c>
      <c r="Q1263" s="35" t="s">
        <v>1589</v>
      </c>
      <c r="R1263" s="53">
        <v>10</v>
      </c>
      <c r="S1263" s="53">
        <v>0</v>
      </c>
    </row>
    <row r="1264" spans="1:19" x14ac:dyDescent="0.3">
      <c r="A1264" s="35" t="s">
        <v>1587</v>
      </c>
      <c r="B1264" s="35" t="s">
        <v>9</v>
      </c>
      <c r="C1264" s="35" t="s">
        <v>1950</v>
      </c>
      <c r="D1264" s="37">
        <v>350.1219667132512</v>
      </c>
      <c r="E1264" s="39" t="s">
        <v>1950</v>
      </c>
      <c r="F1264" s="37">
        <v>346.93264606058403</v>
      </c>
      <c r="G1264" s="35" t="s">
        <v>1950</v>
      </c>
      <c r="H1264" s="37">
        <v>344.02119897635077</v>
      </c>
      <c r="I1264" s="37" t="s">
        <v>1950</v>
      </c>
      <c r="J1264" s="35">
        <v>1979</v>
      </c>
      <c r="K1264" s="35" t="s">
        <v>1950</v>
      </c>
      <c r="L1264" s="35" t="s">
        <v>1950</v>
      </c>
      <c r="M1264" s="36">
        <v>55097</v>
      </c>
      <c r="N1264" s="52">
        <v>54958</v>
      </c>
      <c r="O1264" s="38">
        <v>0.99747717661578672</v>
      </c>
      <c r="P1264" s="35">
        <v>284</v>
      </c>
      <c r="Q1264" s="35" t="s">
        <v>1589</v>
      </c>
      <c r="R1264" s="53">
        <v>4</v>
      </c>
      <c r="S1264" s="53">
        <v>0</v>
      </c>
    </row>
    <row r="1265" spans="1:19" x14ac:dyDescent="0.3">
      <c r="A1265" s="35" t="s">
        <v>1587</v>
      </c>
      <c r="B1265" s="35" t="s">
        <v>9</v>
      </c>
      <c r="C1265" s="35" t="s">
        <v>1950</v>
      </c>
      <c r="D1265" s="37">
        <v>351.10389828857785</v>
      </c>
      <c r="E1265" s="39" t="s">
        <v>1950</v>
      </c>
      <c r="F1265" s="37">
        <v>350.9192541634572</v>
      </c>
      <c r="G1265" s="35" t="s">
        <v>1950</v>
      </c>
      <c r="H1265" s="37">
        <v>343.78124252968206</v>
      </c>
      <c r="I1265" s="37" t="s">
        <v>1950</v>
      </c>
      <c r="J1265" s="35">
        <v>1998</v>
      </c>
      <c r="K1265" s="35" t="s">
        <v>1950</v>
      </c>
      <c r="L1265" s="35" t="s">
        <v>1950</v>
      </c>
      <c r="M1265" s="36">
        <v>112947</v>
      </c>
      <c r="N1265" s="52">
        <v>74061</v>
      </c>
      <c r="O1265" s="38">
        <v>0.65571462721453422</v>
      </c>
      <c r="P1265" s="35">
        <v>0</v>
      </c>
      <c r="Q1265" s="35" t="s">
        <v>1589</v>
      </c>
      <c r="R1265" s="53">
        <v>12</v>
      </c>
      <c r="S1265" s="53">
        <v>0</v>
      </c>
    </row>
    <row r="1266" spans="1:19" x14ac:dyDescent="0.3">
      <c r="A1266" s="35" t="s">
        <v>1587</v>
      </c>
      <c r="B1266" s="35" t="s">
        <v>9</v>
      </c>
      <c r="C1266" s="35" t="s">
        <v>1950</v>
      </c>
      <c r="D1266" s="37">
        <v>328.29224216199509</v>
      </c>
      <c r="E1266" s="39" t="s">
        <v>1950</v>
      </c>
      <c r="F1266" s="37">
        <v>327.19683389031621</v>
      </c>
      <c r="G1266" s="35" t="s">
        <v>1950</v>
      </c>
      <c r="H1266" s="37">
        <v>320.16185504278786</v>
      </c>
      <c r="I1266" s="37" t="s">
        <v>1950</v>
      </c>
      <c r="J1266" s="35">
        <v>2010</v>
      </c>
      <c r="K1266" s="35" t="s">
        <v>1950</v>
      </c>
      <c r="L1266" s="35" t="s">
        <v>1950</v>
      </c>
      <c r="M1266" s="36">
        <v>103534</v>
      </c>
      <c r="N1266" s="52">
        <v>63491</v>
      </c>
      <c r="O1266" s="38">
        <v>0.61323816330867154</v>
      </c>
      <c r="P1266" s="35">
        <v>0</v>
      </c>
      <c r="Q1266" s="35" t="s">
        <v>1589</v>
      </c>
      <c r="R1266" s="53">
        <v>10</v>
      </c>
      <c r="S1266" s="53">
        <v>0</v>
      </c>
    </row>
    <row r="1267" spans="1:19" x14ac:dyDescent="0.3">
      <c r="A1267" s="35" t="s">
        <v>1587</v>
      </c>
      <c r="B1267" s="35" t="s">
        <v>9</v>
      </c>
      <c r="C1267" s="35" t="s">
        <v>1950</v>
      </c>
      <c r="D1267" s="37">
        <v>323.29373551737916</v>
      </c>
      <c r="E1267" s="39" t="s">
        <v>1950</v>
      </c>
      <c r="F1267" s="37">
        <v>314.7662924490611</v>
      </c>
      <c r="G1267" s="35" t="s">
        <v>1950</v>
      </c>
      <c r="H1267" s="37">
        <v>319.64751338393927</v>
      </c>
      <c r="I1267" s="37" t="s">
        <v>1950</v>
      </c>
      <c r="J1267" s="35">
        <v>1975</v>
      </c>
      <c r="K1267" s="35" t="s">
        <v>47</v>
      </c>
      <c r="L1267" s="35" t="s">
        <v>1601</v>
      </c>
      <c r="M1267" s="36">
        <v>12515</v>
      </c>
      <c r="N1267" s="52">
        <v>12515</v>
      </c>
      <c r="O1267" s="38">
        <v>1</v>
      </c>
      <c r="P1267" s="35">
        <v>0</v>
      </c>
      <c r="Q1267" s="35" t="s">
        <v>1589</v>
      </c>
      <c r="R1267" s="53">
        <v>4</v>
      </c>
      <c r="S1267" s="53">
        <v>0.75</v>
      </c>
    </row>
    <row r="1268" spans="1:19" x14ac:dyDescent="0.3">
      <c r="A1268" s="35" t="s">
        <v>1587</v>
      </c>
      <c r="B1268" s="35" t="s">
        <v>9</v>
      </c>
      <c r="C1268" s="35" t="s">
        <v>1950</v>
      </c>
      <c r="D1268" s="37">
        <v>306.49823847918094</v>
      </c>
      <c r="E1268" s="39" t="s">
        <v>1950</v>
      </c>
      <c r="F1268" s="37">
        <v>322.78457427943158</v>
      </c>
      <c r="G1268" s="35" t="s">
        <v>1950</v>
      </c>
      <c r="H1268" s="37">
        <v>310.39888397607172</v>
      </c>
      <c r="I1268" s="37" t="s">
        <v>1950</v>
      </c>
      <c r="J1268" s="35">
        <v>1940</v>
      </c>
      <c r="K1268" s="35" t="s">
        <v>19</v>
      </c>
      <c r="L1268" s="35" t="s">
        <v>1875</v>
      </c>
      <c r="M1268" s="36">
        <v>42293</v>
      </c>
      <c r="N1268" s="52">
        <v>33778</v>
      </c>
      <c r="O1268" s="38">
        <v>0.79866644598396896</v>
      </c>
      <c r="P1268" s="35">
        <v>0</v>
      </c>
      <c r="Q1268" s="35" t="s">
        <v>1590</v>
      </c>
      <c r="R1268" s="53">
        <v>0</v>
      </c>
      <c r="S1268" s="53">
        <v>0</v>
      </c>
    </row>
    <row r="1269" spans="1:19" x14ac:dyDescent="0.3">
      <c r="A1269" s="35" t="s">
        <v>1587</v>
      </c>
      <c r="B1269" s="35" t="s">
        <v>9</v>
      </c>
      <c r="C1269" s="35" t="s">
        <v>1950</v>
      </c>
      <c r="D1269" s="37">
        <v>276.04893333333331</v>
      </c>
      <c r="E1269" s="39" t="s">
        <v>1950</v>
      </c>
      <c r="F1269" s="37">
        <v>279.39196666666669</v>
      </c>
      <c r="G1269" s="35" t="s">
        <v>1950</v>
      </c>
      <c r="H1269" s="37">
        <v>282.35132222222222</v>
      </c>
      <c r="I1269" s="37" t="s">
        <v>1950</v>
      </c>
      <c r="J1269" s="35">
        <v>2017</v>
      </c>
      <c r="K1269" s="35" t="s">
        <v>19</v>
      </c>
      <c r="L1269" s="35" t="s">
        <v>1783</v>
      </c>
      <c r="M1269" s="36">
        <v>288000</v>
      </c>
      <c r="N1269" s="52">
        <v>158344</v>
      </c>
      <c r="O1269" s="38">
        <v>0.54980555555555555</v>
      </c>
      <c r="P1269" s="35">
        <v>0</v>
      </c>
      <c r="Q1269" s="35" t="s">
        <v>1589</v>
      </c>
      <c r="R1269" s="53">
        <v>6</v>
      </c>
      <c r="S1269" s="53">
        <v>0.6159</v>
      </c>
    </row>
    <row r="1270" spans="1:19" x14ac:dyDescent="0.3">
      <c r="A1270" s="35" t="s">
        <v>1587</v>
      </c>
      <c r="B1270" s="35" t="s">
        <v>9</v>
      </c>
      <c r="C1270" s="35" t="s">
        <v>1950</v>
      </c>
      <c r="D1270" s="37">
        <v>269.88431563565513</v>
      </c>
      <c r="E1270" s="39" t="s">
        <v>1950</v>
      </c>
      <c r="F1270" s="37">
        <v>275.19337554797858</v>
      </c>
      <c r="G1270" s="35" t="s">
        <v>1950</v>
      </c>
      <c r="H1270" s="37">
        <v>266.54437408670242</v>
      </c>
      <c r="I1270" s="37" t="s">
        <v>1950</v>
      </c>
      <c r="J1270" s="35">
        <v>2001</v>
      </c>
      <c r="K1270" s="35" t="s">
        <v>47</v>
      </c>
      <c r="L1270" s="35" t="s">
        <v>1601</v>
      </c>
      <c r="M1270" s="36">
        <v>49272</v>
      </c>
      <c r="N1270" s="52">
        <v>39371</v>
      </c>
      <c r="O1270" s="38">
        <v>0.79905422958272443</v>
      </c>
      <c r="P1270" s="35">
        <v>0</v>
      </c>
      <c r="Q1270" s="35" t="s">
        <v>1589</v>
      </c>
      <c r="R1270" s="53">
        <v>6</v>
      </c>
      <c r="S1270" s="53">
        <v>0.65</v>
      </c>
    </row>
    <row r="1271" spans="1:19" x14ac:dyDescent="0.3">
      <c r="A1271" s="35" t="s">
        <v>1587</v>
      </c>
      <c r="B1271" s="35" t="s">
        <v>9</v>
      </c>
      <c r="C1271" s="35" t="s">
        <v>1950</v>
      </c>
      <c r="D1271" s="37">
        <v>263.58511888472128</v>
      </c>
      <c r="E1271" s="39" t="s">
        <v>1950</v>
      </c>
      <c r="F1271" s="37">
        <v>256.94238477760427</v>
      </c>
      <c r="G1271" s="35" t="s">
        <v>1950</v>
      </c>
      <c r="H1271" s="37">
        <v>249.97985318501586</v>
      </c>
      <c r="I1271" s="37" t="s">
        <v>1950</v>
      </c>
      <c r="J1271" s="35">
        <v>2015</v>
      </c>
      <c r="K1271" s="35" t="s">
        <v>1950</v>
      </c>
      <c r="L1271" s="35" t="s">
        <v>1950</v>
      </c>
      <c r="M1271" s="36">
        <v>186357</v>
      </c>
      <c r="N1271" s="52">
        <v>130612</v>
      </c>
      <c r="O1271" s="38">
        <v>0.70086983585269136</v>
      </c>
      <c r="P1271" s="35">
        <v>0</v>
      </c>
      <c r="Q1271" s="35" t="s">
        <v>1589</v>
      </c>
      <c r="R1271" s="53">
        <v>4</v>
      </c>
      <c r="S1271" s="53">
        <v>0</v>
      </c>
    </row>
    <row r="1272" spans="1:19" x14ac:dyDescent="0.3">
      <c r="A1272" s="35" t="s">
        <v>1587</v>
      </c>
      <c r="B1272" s="35" t="s">
        <v>9</v>
      </c>
      <c r="C1272" s="35" t="s">
        <v>1950</v>
      </c>
      <c r="D1272" s="37">
        <v>247.15569996732526</v>
      </c>
      <c r="E1272" s="39" t="s">
        <v>1950</v>
      </c>
      <c r="F1272" s="37">
        <v>234.17989894456713</v>
      </c>
      <c r="G1272" s="35" t="s">
        <v>1950</v>
      </c>
      <c r="H1272" s="37">
        <v>234.91129108452517</v>
      </c>
      <c r="I1272" s="37" t="s">
        <v>1950</v>
      </c>
      <c r="J1272" s="35">
        <v>1993</v>
      </c>
      <c r="K1272" s="35" t="s">
        <v>25</v>
      </c>
      <c r="L1272" s="35" t="s">
        <v>1598</v>
      </c>
      <c r="M1272" s="36">
        <v>20321.52</v>
      </c>
      <c r="N1272" s="52">
        <v>17199</v>
      </c>
      <c r="O1272" s="38">
        <v>0.84634417110531102</v>
      </c>
      <c r="P1272" s="35">
        <v>0</v>
      </c>
      <c r="Q1272" s="35" t="s">
        <v>1589</v>
      </c>
      <c r="R1272" s="53">
        <v>7</v>
      </c>
      <c r="S1272" s="53">
        <v>0</v>
      </c>
    </row>
    <row r="1273" spans="1:19" x14ac:dyDescent="0.3">
      <c r="A1273" s="35" t="s">
        <v>1587</v>
      </c>
      <c r="B1273" s="35" t="s">
        <v>9</v>
      </c>
      <c r="C1273" s="35" t="s">
        <v>1950</v>
      </c>
      <c r="D1273" s="37">
        <v>226.01704710979996</v>
      </c>
      <c r="E1273" s="39" t="s">
        <v>1950</v>
      </c>
      <c r="F1273" s="37">
        <v>158.85044251866876</v>
      </c>
      <c r="G1273" s="35" t="s">
        <v>1950</v>
      </c>
      <c r="H1273" s="37">
        <v>151.29403521711072</v>
      </c>
      <c r="I1273" s="37" t="s">
        <v>1950</v>
      </c>
      <c r="J1273" s="35">
        <v>2001</v>
      </c>
      <c r="K1273" s="35" t="s">
        <v>1950</v>
      </c>
      <c r="L1273" s="35" t="s">
        <v>1950</v>
      </c>
      <c r="M1273" s="36">
        <v>10847</v>
      </c>
      <c r="N1273" s="52">
        <v>3210</v>
      </c>
      <c r="O1273" s="38">
        <v>0.29593435973080112</v>
      </c>
      <c r="P1273" s="35">
        <v>0</v>
      </c>
      <c r="Q1273" s="35" t="s">
        <v>1590</v>
      </c>
      <c r="R1273" s="53">
        <v>0</v>
      </c>
      <c r="S1273" s="53">
        <v>0</v>
      </c>
    </row>
    <row r="1274" spans="1:19" x14ac:dyDescent="0.3">
      <c r="A1274" s="35" t="s">
        <v>1587</v>
      </c>
      <c r="B1274" s="35" t="s">
        <v>9</v>
      </c>
      <c r="C1274" s="35" t="s">
        <v>1950</v>
      </c>
      <c r="D1274" s="37">
        <v>316.21929846777255</v>
      </c>
      <c r="E1274" s="39" t="s">
        <v>1950</v>
      </c>
      <c r="F1274" s="37">
        <v>320.17870077244521</v>
      </c>
      <c r="G1274" s="35" t="s">
        <v>1950</v>
      </c>
      <c r="H1274" s="37">
        <v>50.346941876662022</v>
      </c>
      <c r="I1274" s="37" t="s">
        <v>1950</v>
      </c>
      <c r="J1274" s="35">
        <v>1961</v>
      </c>
      <c r="K1274" s="35" t="s">
        <v>47</v>
      </c>
      <c r="L1274" s="35" t="s">
        <v>1609</v>
      </c>
      <c r="M1274" s="36">
        <v>39485</v>
      </c>
      <c r="N1274" s="52">
        <v>34863</v>
      </c>
      <c r="O1274" s="38">
        <v>0.88294288970495127</v>
      </c>
      <c r="P1274" s="35">
        <v>0</v>
      </c>
      <c r="Q1274" s="35" t="s">
        <v>1589</v>
      </c>
      <c r="R1274" s="53">
        <v>6</v>
      </c>
      <c r="S1274" s="53">
        <v>0</v>
      </c>
    </row>
    <row r="1275" spans="1:19" x14ac:dyDescent="0.3">
      <c r="A1275" s="35" t="s">
        <v>1587</v>
      </c>
      <c r="B1275" s="35" t="s">
        <v>9</v>
      </c>
      <c r="C1275" s="35" t="s">
        <v>1950</v>
      </c>
      <c r="D1275" s="35">
        <v>0</v>
      </c>
      <c r="E1275" s="39" t="s">
        <v>1950</v>
      </c>
      <c r="F1275" s="37">
        <v>0</v>
      </c>
      <c r="G1275" s="35" t="s">
        <v>1950</v>
      </c>
      <c r="H1275" s="37">
        <v>0</v>
      </c>
      <c r="I1275" s="37" t="s">
        <v>1950</v>
      </c>
      <c r="J1275" s="35">
        <v>1985</v>
      </c>
      <c r="K1275" s="35" t="s">
        <v>21</v>
      </c>
      <c r="L1275" s="35" t="s">
        <v>1818</v>
      </c>
      <c r="M1275" s="36">
        <v>146327</v>
      </c>
      <c r="N1275" s="52">
        <v>70554</v>
      </c>
      <c r="O1275" s="38">
        <v>0.48216665413765059</v>
      </c>
      <c r="P1275" s="35">
        <v>0</v>
      </c>
      <c r="Q1275" s="35" t="s">
        <v>1589</v>
      </c>
      <c r="R1275" s="53">
        <v>5</v>
      </c>
      <c r="S1275" s="53">
        <v>0.64</v>
      </c>
    </row>
    <row r="1276" spans="1:19" x14ac:dyDescent="0.3">
      <c r="A1276" s="35" t="s">
        <v>1587</v>
      </c>
      <c r="B1276" s="35" t="s">
        <v>10</v>
      </c>
      <c r="C1276" s="35" t="s">
        <v>1950</v>
      </c>
      <c r="D1276" s="37">
        <v>609.07977859334574</v>
      </c>
      <c r="E1276" s="39" t="s">
        <v>1950</v>
      </c>
      <c r="F1276" s="37">
        <v>608.16166295650078</v>
      </c>
      <c r="G1276" s="35" t="s">
        <v>1950</v>
      </c>
      <c r="H1276" s="37">
        <v>585.31460200950607</v>
      </c>
      <c r="I1276" s="37" t="s">
        <v>1950</v>
      </c>
      <c r="J1276" s="35">
        <v>1999</v>
      </c>
      <c r="K1276" s="35" t="s">
        <v>1950</v>
      </c>
      <c r="L1276" s="35" t="s">
        <v>1950</v>
      </c>
      <c r="M1276" s="36">
        <v>16621</v>
      </c>
      <c r="N1276" s="52">
        <v>14934</v>
      </c>
      <c r="O1276" s="38">
        <v>0.8985018951928283</v>
      </c>
      <c r="P1276" s="35">
        <v>0</v>
      </c>
      <c r="Q1276" s="35" t="s">
        <v>1590</v>
      </c>
      <c r="R1276" s="53">
        <v>0</v>
      </c>
      <c r="S1276" s="53">
        <v>0</v>
      </c>
    </row>
    <row r="1277" spans="1:19" x14ac:dyDescent="0.3">
      <c r="A1277" s="35" t="s">
        <v>1587</v>
      </c>
      <c r="B1277" s="35" t="s">
        <v>10</v>
      </c>
      <c r="C1277" s="35" t="s">
        <v>1950</v>
      </c>
      <c r="D1277" s="37">
        <v>475.77840554500671</v>
      </c>
      <c r="E1277" s="39" t="s">
        <v>1950</v>
      </c>
      <c r="F1277" s="37">
        <v>481.32274833689632</v>
      </c>
      <c r="G1277" s="35" t="s">
        <v>1950</v>
      </c>
      <c r="H1277" s="37">
        <v>477.69147269323207</v>
      </c>
      <c r="I1277" s="37" t="s">
        <v>1950</v>
      </c>
      <c r="J1277" s="35">
        <v>2013</v>
      </c>
      <c r="K1277" s="35" t="s">
        <v>21</v>
      </c>
      <c r="L1277" s="35" t="s">
        <v>1818</v>
      </c>
      <c r="M1277" s="36">
        <v>75311</v>
      </c>
      <c r="N1277" s="52">
        <v>51860</v>
      </c>
      <c r="O1277" s="38">
        <v>0.68861122545179321</v>
      </c>
      <c r="P1277" s="35">
        <v>0</v>
      </c>
      <c r="Q1277" s="35" t="s">
        <v>1589</v>
      </c>
      <c r="R1277" s="53">
        <v>9</v>
      </c>
      <c r="S1277" s="53">
        <v>0.68</v>
      </c>
    </row>
    <row r="1278" spans="1:19" x14ac:dyDescent="0.3">
      <c r="A1278" s="35" t="s">
        <v>1587</v>
      </c>
      <c r="B1278" s="35" t="s">
        <v>10</v>
      </c>
      <c r="C1278" s="35" t="s">
        <v>1950</v>
      </c>
      <c r="D1278" s="37">
        <v>509.43146516738267</v>
      </c>
      <c r="E1278" s="39" t="s">
        <v>1950</v>
      </c>
      <c r="F1278" s="37">
        <v>362.60433947696635</v>
      </c>
      <c r="G1278" s="35" t="s">
        <v>1950</v>
      </c>
      <c r="H1278" s="37">
        <v>371.08604913586601</v>
      </c>
      <c r="I1278" s="37" t="s">
        <v>1950</v>
      </c>
      <c r="J1278" s="35">
        <v>2013</v>
      </c>
      <c r="K1278" s="35" t="s">
        <v>21</v>
      </c>
      <c r="L1278" s="35" t="s">
        <v>1603</v>
      </c>
      <c r="M1278" s="36">
        <v>71921</v>
      </c>
      <c r="N1278" s="52">
        <v>60916</v>
      </c>
      <c r="O1278" s="38">
        <v>0.84698488619457457</v>
      </c>
      <c r="P1278" s="35">
        <v>0</v>
      </c>
      <c r="Q1278" s="35" t="s">
        <v>1590</v>
      </c>
      <c r="R1278" s="53">
        <v>0</v>
      </c>
      <c r="S1278" s="53">
        <v>0</v>
      </c>
    </row>
    <row r="1279" spans="1:19" x14ac:dyDescent="0.3">
      <c r="A1279" s="35" t="s">
        <v>1587</v>
      </c>
      <c r="B1279" s="35" t="s">
        <v>10</v>
      </c>
      <c r="C1279" s="35" t="s">
        <v>1950</v>
      </c>
      <c r="D1279" s="37">
        <v>343.47683209051172</v>
      </c>
      <c r="E1279" s="39" t="s">
        <v>1950</v>
      </c>
      <c r="F1279" s="37">
        <v>360.73643610182569</v>
      </c>
      <c r="G1279" s="35" t="s">
        <v>1950</v>
      </c>
      <c r="H1279" s="37">
        <v>349.00575983543325</v>
      </c>
      <c r="I1279" s="37" t="s">
        <v>1950</v>
      </c>
      <c r="J1279" s="35">
        <v>1990</v>
      </c>
      <c r="K1279" s="35" t="s">
        <v>1950</v>
      </c>
      <c r="L1279" s="35" t="s">
        <v>1950</v>
      </c>
      <c r="M1279" s="36">
        <v>19445</v>
      </c>
      <c r="N1279" s="52">
        <v>16623</v>
      </c>
      <c r="O1279" s="38">
        <v>0.85487271792234509</v>
      </c>
      <c r="P1279" s="35">
        <v>0</v>
      </c>
      <c r="Q1279" s="35" t="s">
        <v>1589</v>
      </c>
      <c r="R1279" s="53">
        <v>22</v>
      </c>
      <c r="S1279" s="53">
        <v>0</v>
      </c>
    </row>
    <row r="1280" spans="1:19" x14ac:dyDescent="0.3">
      <c r="A1280" s="35" t="s">
        <v>1587</v>
      </c>
      <c r="B1280" s="35" t="s">
        <v>10</v>
      </c>
      <c r="C1280" s="35" t="s">
        <v>1950</v>
      </c>
      <c r="D1280" s="37">
        <v>309.80862859266603</v>
      </c>
      <c r="E1280" s="39" t="s">
        <v>1950</v>
      </c>
      <c r="F1280" s="37">
        <v>316.99296952428148</v>
      </c>
      <c r="G1280" s="35" t="s">
        <v>1950</v>
      </c>
      <c r="H1280" s="37">
        <v>312.81463701684834</v>
      </c>
      <c r="I1280" s="37" t="s">
        <v>1950</v>
      </c>
      <c r="J1280" s="35">
        <v>2014</v>
      </c>
      <c r="K1280" s="35" t="s">
        <v>19</v>
      </c>
      <c r="L1280" s="35" t="s">
        <v>1818</v>
      </c>
      <c r="M1280" s="36">
        <v>48432</v>
      </c>
      <c r="N1280" s="52">
        <v>38497</v>
      </c>
      <c r="O1280" s="38">
        <v>0.79486703006276838</v>
      </c>
      <c r="P1280" s="35">
        <v>0</v>
      </c>
      <c r="Q1280" s="35" t="s">
        <v>1787</v>
      </c>
      <c r="R1280" s="53">
        <v>0</v>
      </c>
      <c r="S1280" s="53">
        <v>0.65</v>
      </c>
    </row>
    <row r="1281" spans="1:19" x14ac:dyDescent="0.3">
      <c r="A1281" s="35" t="s">
        <v>1587</v>
      </c>
      <c r="B1281" s="35" t="s">
        <v>10</v>
      </c>
      <c r="C1281" s="35" t="s">
        <v>1950</v>
      </c>
      <c r="D1281" s="37">
        <v>308.02382279186401</v>
      </c>
      <c r="E1281" s="39" t="s">
        <v>1950</v>
      </c>
      <c r="F1281" s="37">
        <v>295.13592458437819</v>
      </c>
      <c r="G1281" s="35" t="s">
        <v>1950</v>
      </c>
      <c r="H1281" s="37">
        <v>288.45778768459184</v>
      </c>
      <c r="I1281" s="37" t="s">
        <v>1950</v>
      </c>
      <c r="J1281" s="35">
        <v>1994</v>
      </c>
      <c r="K1281" s="35" t="s">
        <v>1950</v>
      </c>
      <c r="L1281" s="35" t="s">
        <v>1950</v>
      </c>
      <c r="M1281" s="36">
        <v>10767</v>
      </c>
      <c r="N1281" s="52">
        <v>10766</v>
      </c>
      <c r="O1281" s="38">
        <v>0.99990712361846379</v>
      </c>
      <c r="P1281" s="35">
        <v>0</v>
      </c>
      <c r="Q1281" s="35" t="s">
        <v>1787</v>
      </c>
      <c r="R1281" s="53">
        <v>0</v>
      </c>
      <c r="S1281" s="53">
        <v>0</v>
      </c>
    </row>
    <row r="1282" spans="1:19" x14ac:dyDescent="0.3">
      <c r="A1282" s="35" t="s">
        <v>1587</v>
      </c>
      <c r="B1282" s="35" t="s">
        <v>10</v>
      </c>
      <c r="C1282" s="35" t="s">
        <v>1950</v>
      </c>
      <c r="D1282" s="37">
        <v>215.56519975664165</v>
      </c>
      <c r="E1282" s="39" t="s">
        <v>1950</v>
      </c>
      <c r="F1282" s="37">
        <v>223.89768809572095</v>
      </c>
      <c r="G1282" s="35" t="s">
        <v>1950</v>
      </c>
      <c r="H1282" s="37">
        <v>270.94261508821739</v>
      </c>
      <c r="I1282" s="37" t="s">
        <v>1950</v>
      </c>
      <c r="J1282" s="35">
        <v>1988</v>
      </c>
      <c r="K1282" s="35" t="s">
        <v>1950</v>
      </c>
      <c r="L1282" s="35" t="s">
        <v>1950</v>
      </c>
      <c r="M1282" s="36">
        <v>9862</v>
      </c>
      <c r="N1282" s="52">
        <v>6620</v>
      </c>
      <c r="O1282" s="38">
        <v>0.6712634354086392</v>
      </c>
      <c r="P1282" s="35">
        <v>0</v>
      </c>
      <c r="Q1282" s="35" t="s">
        <v>1589</v>
      </c>
      <c r="R1282" s="53">
        <v>26</v>
      </c>
      <c r="S1282" s="53">
        <v>0</v>
      </c>
    </row>
    <row r="1283" spans="1:19" x14ac:dyDescent="0.3">
      <c r="A1283" s="35" t="s">
        <v>1587</v>
      </c>
      <c r="B1283" s="35" t="s">
        <v>10</v>
      </c>
      <c r="C1283" s="35" t="s">
        <v>1950</v>
      </c>
      <c r="D1283" s="37">
        <v>228.4381287887453</v>
      </c>
      <c r="E1283" s="39" t="s">
        <v>1950</v>
      </c>
      <c r="F1283" s="37">
        <v>245.08294178199705</v>
      </c>
      <c r="G1283" s="35" t="s">
        <v>1950</v>
      </c>
      <c r="H1283" s="37">
        <v>254.19838499370925</v>
      </c>
      <c r="I1283" s="37" t="s">
        <v>1950</v>
      </c>
      <c r="J1283" s="35">
        <v>2018</v>
      </c>
      <c r="K1283" s="35" t="s">
        <v>19</v>
      </c>
      <c r="L1283" s="35" t="s">
        <v>1598</v>
      </c>
      <c r="M1283" s="36">
        <v>43715</v>
      </c>
      <c r="N1283" s="52">
        <v>31292</v>
      </c>
      <c r="O1283" s="38">
        <v>0.71581836898089901</v>
      </c>
      <c r="P1283" s="35">
        <v>0</v>
      </c>
      <c r="Q1283" s="35" t="s">
        <v>1589</v>
      </c>
      <c r="R1283" s="53">
        <v>5</v>
      </c>
      <c r="S1283" s="53">
        <v>0.57999999999999996</v>
      </c>
    </row>
    <row r="1284" spans="1:19" x14ac:dyDescent="0.3">
      <c r="A1284" s="35" t="s">
        <v>1587</v>
      </c>
      <c r="B1284" s="35" t="s">
        <v>10</v>
      </c>
      <c r="C1284" s="35" t="s">
        <v>1950</v>
      </c>
      <c r="D1284" s="37">
        <v>213.53782519161894</v>
      </c>
      <c r="E1284" s="39" t="s">
        <v>1950</v>
      </c>
      <c r="F1284" s="37">
        <v>228.74859125427048</v>
      </c>
      <c r="G1284" s="35" t="s">
        <v>1950</v>
      </c>
      <c r="H1284" s="37">
        <v>224.13432206140067</v>
      </c>
      <c r="I1284" s="37" t="s">
        <v>1950</v>
      </c>
      <c r="J1284" s="35">
        <v>1997</v>
      </c>
      <c r="K1284" s="35" t="s">
        <v>1950</v>
      </c>
      <c r="L1284" s="35" t="s">
        <v>1950</v>
      </c>
      <c r="M1284" s="36">
        <v>13558.16</v>
      </c>
      <c r="N1284" s="52">
        <v>9848</v>
      </c>
      <c r="O1284" s="38">
        <v>0.72635224838768686</v>
      </c>
      <c r="P1284" s="35">
        <v>0</v>
      </c>
      <c r="Q1284" s="35" t="s">
        <v>1589</v>
      </c>
      <c r="R1284" s="53">
        <v>13</v>
      </c>
      <c r="S1284" s="53">
        <v>0</v>
      </c>
    </row>
    <row r="1285" spans="1:19" x14ac:dyDescent="0.3">
      <c r="A1285" s="35" t="s">
        <v>1587</v>
      </c>
      <c r="B1285" s="35" t="s">
        <v>10</v>
      </c>
      <c r="C1285" s="35" t="s">
        <v>1950</v>
      </c>
      <c r="D1285" s="35">
        <v>0</v>
      </c>
      <c r="E1285" s="39" t="s">
        <v>1950</v>
      </c>
      <c r="F1285" s="37">
        <v>0</v>
      </c>
      <c r="G1285" s="35" t="s">
        <v>1950</v>
      </c>
      <c r="H1285" s="37">
        <v>0</v>
      </c>
      <c r="I1285" s="37" t="s">
        <v>1950</v>
      </c>
      <c r="J1285" s="35">
        <v>2014</v>
      </c>
      <c r="K1285" s="35" t="s">
        <v>1950</v>
      </c>
      <c r="L1285" s="35" t="s">
        <v>1950</v>
      </c>
      <c r="M1285" s="36">
        <v>1276</v>
      </c>
      <c r="N1285" s="52">
        <v>155</v>
      </c>
      <c r="O1285" s="38">
        <v>0.12147335423197492</v>
      </c>
      <c r="P1285" s="35">
        <v>18</v>
      </c>
      <c r="Q1285" s="35" t="s">
        <v>1590</v>
      </c>
      <c r="R1285" s="53">
        <v>0</v>
      </c>
      <c r="S1285" s="53">
        <v>0</v>
      </c>
    </row>
    <row r="1286" spans="1:19" x14ac:dyDescent="0.3">
      <c r="A1286" s="35" t="s">
        <v>1587</v>
      </c>
      <c r="B1286" s="35" t="s">
        <v>10</v>
      </c>
      <c r="C1286" s="35" t="s">
        <v>1950</v>
      </c>
      <c r="D1286" s="35">
        <v>0</v>
      </c>
      <c r="E1286" s="39" t="s">
        <v>1950</v>
      </c>
      <c r="F1286" s="37">
        <v>0</v>
      </c>
      <c r="G1286" s="35" t="s">
        <v>1950</v>
      </c>
      <c r="H1286" s="37">
        <v>0</v>
      </c>
      <c r="I1286" s="37" t="s">
        <v>1950</v>
      </c>
      <c r="J1286" s="35">
        <v>2018</v>
      </c>
      <c r="K1286" s="35" t="s">
        <v>21</v>
      </c>
      <c r="L1286" s="35" t="s">
        <v>1818</v>
      </c>
      <c r="M1286" s="36">
        <v>34317</v>
      </c>
      <c r="N1286" s="52">
        <v>29632</v>
      </c>
      <c r="O1286" s="38">
        <v>0.86347874231430488</v>
      </c>
      <c r="P1286" s="35">
        <v>0</v>
      </c>
      <c r="Q1286" s="35" t="s">
        <v>1589</v>
      </c>
      <c r="R1286" s="53">
        <v>5</v>
      </c>
      <c r="S1286" s="53">
        <v>0</v>
      </c>
    </row>
    <row r="1287" spans="1:19" x14ac:dyDescent="0.3">
      <c r="A1287" s="35" t="s">
        <v>1587</v>
      </c>
      <c r="B1287" s="35" t="s">
        <v>10</v>
      </c>
      <c r="C1287" s="35" t="s">
        <v>1950</v>
      </c>
      <c r="D1287" s="35">
        <v>0</v>
      </c>
      <c r="E1287" s="39" t="s">
        <v>1950</v>
      </c>
      <c r="F1287" s="37">
        <v>0</v>
      </c>
      <c r="G1287" s="35" t="s">
        <v>1950</v>
      </c>
      <c r="H1287" s="37">
        <v>0</v>
      </c>
      <c r="I1287" s="37" t="s">
        <v>1950</v>
      </c>
      <c r="J1287" s="35">
        <v>2014</v>
      </c>
      <c r="K1287" s="35" t="s">
        <v>1950</v>
      </c>
      <c r="L1287" s="35" t="s">
        <v>1950</v>
      </c>
      <c r="M1287" s="36">
        <v>1276</v>
      </c>
      <c r="N1287" s="52">
        <v>970</v>
      </c>
      <c r="O1287" s="38">
        <v>0.7601880877742947</v>
      </c>
      <c r="P1287" s="35">
        <v>24</v>
      </c>
      <c r="Q1287" s="35" t="s">
        <v>1590</v>
      </c>
      <c r="R1287" s="53">
        <v>0</v>
      </c>
      <c r="S1287" s="53">
        <v>0</v>
      </c>
    </row>
    <row r="1288" spans="1:19" x14ac:dyDescent="0.3">
      <c r="A1288" s="35" t="s">
        <v>1587</v>
      </c>
      <c r="B1288" s="35" t="s">
        <v>10</v>
      </c>
      <c r="C1288" s="35" t="s">
        <v>1950</v>
      </c>
      <c r="D1288" s="35">
        <v>0</v>
      </c>
      <c r="E1288" s="39" t="s">
        <v>1950</v>
      </c>
      <c r="F1288" s="37">
        <v>0</v>
      </c>
      <c r="G1288" s="35" t="s">
        <v>1950</v>
      </c>
      <c r="H1288" s="37">
        <v>0</v>
      </c>
      <c r="I1288" s="37" t="s">
        <v>1950</v>
      </c>
      <c r="J1288" s="35">
        <v>2003</v>
      </c>
      <c r="K1288" s="35" t="s">
        <v>1950</v>
      </c>
      <c r="L1288" s="35" t="s">
        <v>1950</v>
      </c>
      <c r="M1288" s="36">
        <v>9753</v>
      </c>
      <c r="N1288" s="52">
        <v>6000</v>
      </c>
      <c r="O1288" s="38">
        <v>0.61519532451553371</v>
      </c>
      <c r="P1288" s="35">
        <v>94</v>
      </c>
      <c r="Q1288" s="35" t="s">
        <v>1590</v>
      </c>
      <c r="R1288" s="53">
        <v>0</v>
      </c>
      <c r="S1288" s="53">
        <v>0</v>
      </c>
    </row>
    <row r="1289" spans="1:19" x14ac:dyDescent="0.3">
      <c r="A1289" s="35" t="s">
        <v>1587</v>
      </c>
      <c r="B1289" s="35" t="s">
        <v>11</v>
      </c>
      <c r="C1289" s="35" t="s">
        <v>1950</v>
      </c>
      <c r="D1289" s="37">
        <v>220.48234971428573</v>
      </c>
      <c r="E1289" s="39" t="s">
        <v>1950</v>
      </c>
      <c r="F1289" s="37">
        <v>227.459136</v>
      </c>
      <c r="G1289" s="35" t="s">
        <v>1950</v>
      </c>
      <c r="H1289" s="37">
        <v>230.94277714285715</v>
      </c>
      <c r="I1289" s="37" t="s">
        <v>1950</v>
      </c>
      <c r="J1289" s="35">
        <v>2017</v>
      </c>
      <c r="K1289" s="35" t="s">
        <v>1950</v>
      </c>
      <c r="L1289" s="35" t="s">
        <v>1950</v>
      </c>
      <c r="M1289" s="36">
        <v>8750</v>
      </c>
      <c r="N1289" s="52">
        <v>6610</v>
      </c>
      <c r="O1289" s="38">
        <v>0.75542857142857145</v>
      </c>
      <c r="P1289" s="35">
        <v>0</v>
      </c>
      <c r="Q1289" s="35" t="s">
        <v>1589</v>
      </c>
      <c r="R1289" s="53">
        <v>4</v>
      </c>
      <c r="S1289" s="53">
        <v>0.48</v>
      </c>
    </row>
    <row r="1290" spans="1:19" x14ac:dyDescent="0.3">
      <c r="A1290" s="35" t="s">
        <v>1587</v>
      </c>
      <c r="B1290" s="35" t="s">
        <v>11</v>
      </c>
      <c r="C1290" s="35" t="s">
        <v>1950</v>
      </c>
      <c r="D1290" s="37">
        <v>218.17587325216653</v>
      </c>
      <c r="E1290" s="39" t="s">
        <v>1950</v>
      </c>
      <c r="F1290" s="37">
        <v>213.22624807273115</v>
      </c>
      <c r="G1290" s="35" t="s">
        <v>1950</v>
      </c>
      <c r="H1290" s="37">
        <v>203.7330799085544</v>
      </c>
      <c r="I1290" s="37" t="s">
        <v>1950</v>
      </c>
      <c r="J1290" s="35">
        <v>1999</v>
      </c>
      <c r="K1290" s="35" t="s">
        <v>1950</v>
      </c>
      <c r="L1290" s="35" t="s">
        <v>1950</v>
      </c>
      <c r="M1290" s="36">
        <v>18809</v>
      </c>
      <c r="N1290" s="52">
        <v>15000</v>
      </c>
      <c r="O1290" s="38">
        <v>0.79749056302833754</v>
      </c>
      <c r="P1290" s="35">
        <v>0</v>
      </c>
      <c r="Q1290" s="35" t="s">
        <v>1589</v>
      </c>
      <c r="R1290" s="53">
        <v>8</v>
      </c>
      <c r="S1290" s="53">
        <v>0</v>
      </c>
    </row>
    <row r="1291" spans="1:19" x14ac:dyDescent="0.3">
      <c r="A1291" s="35" t="s">
        <v>1587</v>
      </c>
      <c r="B1291" s="35" t="s">
        <v>11</v>
      </c>
      <c r="C1291" s="35" t="s">
        <v>1950</v>
      </c>
      <c r="D1291" s="37">
        <v>177.30636576155368</v>
      </c>
      <c r="E1291" s="39" t="s">
        <v>1950</v>
      </c>
      <c r="F1291" s="37">
        <v>180.52057183959721</v>
      </c>
      <c r="G1291" s="35" t="s">
        <v>1950</v>
      </c>
      <c r="H1291" s="37">
        <v>180.91586944794102</v>
      </c>
      <c r="I1291" s="37" t="s">
        <v>1950</v>
      </c>
      <c r="J1291" s="35">
        <v>1991</v>
      </c>
      <c r="K1291" s="35" t="s">
        <v>1950</v>
      </c>
      <c r="L1291" s="35" t="s">
        <v>1950</v>
      </c>
      <c r="M1291" s="36">
        <v>5561</v>
      </c>
      <c r="N1291" s="52">
        <v>2120</v>
      </c>
      <c r="O1291" s="38">
        <v>0.38122639812983278</v>
      </c>
      <c r="P1291" s="35">
        <v>0</v>
      </c>
      <c r="Q1291" s="35" t="s">
        <v>28</v>
      </c>
      <c r="R1291" s="53">
        <v>0</v>
      </c>
      <c r="S1291" s="53">
        <v>0</v>
      </c>
    </row>
    <row r="1292" spans="1:19" x14ac:dyDescent="0.3">
      <c r="A1292" s="35" t="s">
        <v>1587</v>
      </c>
      <c r="B1292" s="35" t="s">
        <v>11</v>
      </c>
      <c r="C1292" s="35" t="s">
        <v>1950</v>
      </c>
      <c r="D1292" s="37">
        <v>160.96744130710661</v>
      </c>
      <c r="E1292" s="39" t="s">
        <v>1950</v>
      </c>
      <c r="F1292" s="37">
        <v>174.18174175126902</v>
      </c>
      <c r="G1292" s="35" t="s">
        <v>1950</v>
      </c>
      <c r="H1292" s="37">
        <v>176.7503807106599</v>
      </c>
      <c r="I1292" s="37" t="s">
        <v>1950</v>
      </c>
      <c r="J1292" s="35">
        <v>1993</v>
      </c>
      <c r="K1292" s="35" t="s">
        <v>1950</v>
      </c>
      <c r="L1292" s="35" t="s">
        <v>1950</v>
      </c>
      <c r="M1292" s="36">
        <v>6304</v>
      </c>
      <c r="N1292" s="52">
        <v>3206</v>
      </c>
      <c r="O1292" s="38">
        <v>0.50856598984771573</v>
      </c>
      <c r="P1292" s="35">
        <v>0</v>
      </c>
      <c r="Q1292" s="35" t="s">
        <v>28</v>
      </c>
      <c r="R1292" s="53">
        <v>0</v>
      </c>
      <c r="S1292" s="53">
        <v>0</v>
      </c>
    </row>
    <row r="1293" spans="1:19" x14ac:dyDescent="0.3">
      <c r="A1293" s="35" t="s">
        <v>1587</v>
      </c>
      <c r="B1293" s="35" t="s">
        <v>11</v>
      </c>
      <c r="C1293" s="35" t="s">
        <v>1950</v>
      </c>
      <c r="D1293" s="37">
        <v>154.14767525035765</v>
      </c>
      <c r="E1293" s="39" t="s">
        <v>1950</v>
      </c>
      <c r="F1293" s="37">
        <v>150.90185979971386</v>
      </c>
      <c r="G1293" s="35" t="s">
        <v>1950</v>
      </c>
      <c r="H1293" s="37">
        <v>160.4963340486409</v>
      </c>
      <c r="I1293" s="37" t="s">
        <v>1950</v>
      </c>
      <c r="J1293" s="35">
        <v>1990</v>
      </c>
      <c r="K1293" s="35" t="s">
        <v>1950</v>
      </c>
      <c r="L1293" s="35" t="s">
        <v>1950</v>
      </c>
      <c r="M1293" s="36">
        <v>5592</v>
      </c>
      <c r="N1293" s="52">
        <v>5592</v>
      </c>
      <c r="O1293" s="38">
        <v>1</v>
      </c>
      <c r="P1293" s="35">
        <v>0</v>
      </c>
      <c r="Q1293" s="35" t="s">
        <v>28</v>
      </c>
      <c r="R1293" s="53">
        <v>0</v>
      </c>
      <c r="S1293" s="53">
        <v>0</v>
      </c>
    </row>
    <row r="1294" spans="1:19" x14ac:dyDescent="0.3">
      <c r="A1294" s="35" t="s">
        <v>1587</v>
      </c>
      <c r="B1294" s="35" t="s">
        <v>11</v>
      </c>
      <c r="C1294" s="35" t="s">
        <v>1950</v>
      </c>
      <c r="D1294" s="37">
        <v>188.59593150169363</v>
      </c>
      <c r="E1294" s="39" t="s">
        <v>1950</v>
      </c>
      <c r="F1294" s="37">
        <v>167.6189273616861</v>
      </c>
      <c r="G1294" s="35" t="s">
        <v>1950</v>
      </c>
      <c r="H1294" s="37">
        <v>158.47191945803539</v>
      </c>
      <c r="I1294" s="37" t="s">
        <v>1950</v>
      </c>
      <c r="J1294" s="35">
        <v>2012</v>
      </c>
      <c r="K1294" s="35" t="s">
        <v>19</v>
      </c>
      <c r="L1294" s="35" t="s">
        <v>1599</v>
      </c>
      <c r="M1294" s="36">
        <v>5314</v>
      </c>
      <c r="N1294" s="52">
        <v>3864</v>
      </c>
      <c r="O1294" s="38">
        <v>0.72713586751975912</v>
      </c>
      <c r="P1294" s="35">
        <v>0</v>
      </c>
      <c r="Q1294" s="35" t="s">
        <v>1589</v>
      </c>
      <c r="R1294" s="53">
        <v>0</v>
      </c>
      <c r="S1294" s="53">
        <v>0.53100000000000003</v>
      </c>
    </row>
    <row r="1295" spans="1:19" x14ac:dyDescent="0.3">
      <c r="A1295" s="35" t="s">
        <v>1587</v>
      </c>
      <c r="B1295" s="35" t="s">
        <v>11</v>
      </c>
      <c r="C1295" s="35" t="s">
        <v>1950</v>
      </c>
      <c r="D1295" s="37">
        <v>158.39464536243182</v>
      </c>
      <c r="E1295" s="39" t="s">
        <v>1950</v>
      </c>
      <c r="F1295" s="37">
        <v>160.87248636009352</v>
      </c>
      <c r="G1295" s="35" t="s">
        <v>1950</v>
      </c>
      <c r="H1295" s="37">
        <v>155.53267342166797</v>
      </c>
      <c r="I1295" s="37" t="s">
        <v>1950</v>
      </c>
      <c r="J1295" s="35">
        <v>1997</v>
      </c>
      <c r="K1295" s="35" t="s">
        <v>1950</v>
      </c>
      <c r="L1295" s="35" t="s">
        <v>1950</v>
      </c>
      <c r="M1295" s="36">
        <v>6415</v>
      </c>
      <c r="N1295" s="52">
        <v>2925</v>
      </c>
      <c r="O1295" s="38">
        <v>0.455962587685113</v>
      </c>
      <c r="P1295" s="35">
        <v>0</v>
      </c>
      <c r="Q1295" s="35" t="s">
        <v>28</v>
      </c>
      <c r="R1295" s="53">
        <v>0</v>
      </c>
      <c r="S1295" s="53">
        <v>0</v>
      </c>
    </row>
    <row r="1296" spans="1:19" x14ac:dyDescent="0.3">
      <c r="A1296" s="35" t="s">
        <v>1587</v>
      </c>
      <c r="B1296" s="35" t="s">
        <v>11</v>
      </c>
      <c r="C1296" s="35" t="s">
        <v>1950</v>
      </c>
      <c r="D1296" s="37">
        <v>151.73366764814133</v>
      </c>
      <c r="E1296" s="39" t="s">
        <v>1950</v>
      </c>
      <c r="F1296" s="37">
        <v>151.38215863084284</v>
      </c>
      <c r="G1296" s="35" t="s">
        <v>1950</v>
      </c>
      <c r="H1296" s="37">
        <v>141.34851858667648</v>
      </c>
      <c r="I1296" s="37" t="s">
        <v>1950</v>
      </c>
      <c r="J1296" s="35">
        <v>1997</v>
      </c>
      <c r="K1296" s="35" t="s">
        <v>1950</v>
      </c>
      <c r="L1296" s="35" t="s">
        <v>1950</v>
      </c>
      <c r="M1296" s="36">
        <v>5434</v>
      </c>
      <c r="N1296" s="52">
        <v>2200</v>
      </c>
      <c r="O1296" s="38">
        <v>0.40485829959514169</v>
      </c>
      <c r="P1296" s="35">
        <v>0</v>
      </c>
      <c r="Q1296" s="35" t="s">
        <v>28</v>
      </c>
      <c r="R1296" s="53">
        <v>0</v>
      </c>
      <c r="S1296" s="53">
        <v>0</v>
      </c>
    </row>
    <row r="1297" spans="1:19" x14ac:dyDescent="0.3">
      <c r="A1297" s="35" t="s">
        <v>1587</v>
      </c>
      <c r="B1297" s="35" t="s">
        <v>11</v>
      </c>
      <c r="C1297" s="35" t="s">
        <v>1950</v>
      </c>
      <c r="D1297" s="37">
        <v>127.76282899799908</v>
      </c>
      <c r="E1297" s="39" t="s">
        <v>1950</v>
      </c>
      <c r="F1297" s="37">
        <v>139.29475142373403</v>
      </c>
      <c r="G1297" s="35" t="s">
        <v>1950</v>
      </c>
      <c r="H1297" s="37">
        <v>138.52725873480068</v>
      </c>
      <c r="I1297" s="37" t="s">
        <v>1950</v>
      </c>
      <c r="J1297" s="35">
        <v>1991</v>
      </c>
      <c r="K1297" s="35" t="s">
        <v>1950</v>
      </c>
      <c r="L1297" s="35" t="s">
        <v>1950</v>
      </c>
      <c r="M1297" s="36">
        <v>6497</v>
      </c>
      <c r="N1297" s="52">
        <v>2806</v>
      </c>
      <c r="O1297" s="38">
        <v>0.4318916422964445</v>
      </c>
      <c r="P1297" s="35">
        <v>0</v>
      </c>
      <c r="Q1297" s="35" t="s">
        <v>28</v>
      </c>
      <c r="R1297" s="53">
        <v>0</v>
      </c>
      <c r="S1297" s="53">
        <v>0</v>
      </c>
    </row>
    <row r="1298" spans="1:19" x14ac:dyDescent="0.3">
      <c r="A1298" s="35" t="s">
        <v>1587</v>
      </c>
      <c r="B1298" s="35" t="s">
        <v>11</v>
      </c>
      <c r="C1298" s="35" t="s">
        <v>1950</v>
      </c>
      <c r="D1298" s="37">
        <v>136.39158967741938</v>
      </c>
      <c r="E1298" s="39" t="s">
        <v>1950</v>
      </c>
      <c r="F1298" s="37">
        <v>138.83195999999998</v>
      </c>
      <c r="G1298" s="35" t="s">
        <v>1950</v>
      </c>
      <c r="H1298" s="37">
        <v>137.43043741935483</v>
      </c>
      <c r="I1298" s="37" t="s">
        <v>1950</v>
      </c>
      <c r="J1298" s="35">
        <v>2017</v>
      </c>
      <c r="K1298" s="35" t="s">
        <v>19</v>
      </c>
      <c r="L1298" s="35" t="s">
        <v>1609</v>
      </c>
      <c r="M1298" s="36">
        <v>7750</v>
      </c>
      <c r="N1298" s="52">
        <v>4306</v>
      </c>
      <c r="O1298" s="38">
        <v>0.55561290322580648</v>
      </c>
      <c r="P1298" s="35">
        <v>0</v>
      </c>
      <c r="Q1298" s="35" t="s">
        <v>1589</v>
      </c>
      <c r="R1298" s="53">
        <v>5</v>
      </c>
      <c r="S1298" s="53">
        <v>0.61499999999999999</v>
      </c>
    </row>
    <row r="1299" spans="1:19" x14ac:dyDescent="0.3">
      <c r="A1299" s="35" t="s">
        <v>1587</v>
      </c>
      <c r="B1299" s="35" t="s">
        <v>11</v>
      </c>
      <c r="C1299" s="35" t="s">
        <v>1950</v>
      </c>
      <c r="D1299" s="37">
        <v>131.65495722578675</v>
      </c>
      <c r="E1299" s="39" t="s">
        <v>1950</v>
      </c>
      <c r="F1299" s="37">
        <v>138.97574091047969</v>
      </c>
      <c r="G1299" s="35" t="s">
        <v>1950</v>
      </c>
      <c r="H1299" s="37">
        <v>128.44775435380384</v>
      </c>
      <c r="I1299" s="37" t="s">
        <v>1950</v>
      </c>
      <c r="J1299" s="35">
        <v>2013</v>
      </c>
      <c r="K1299" s="35" t="s">
        <v>1950</v>
      </c>
      <c r="L1299" s="35" t="s">
        <v>1950</v>
      </c>
      <c r="M1299" s="36">
        <v>6546</v>
      </c>
      <c r="N1299" s="52">
        <v>3462</v>
      </c>
      <c r="O1299" s="38">
        <v>0.52887259395050412</v>
      </c>
      <c r="P1299" s="35">
        <v>0</v>
      </c>
      <c r="Q1299" s="35" t="s">
        <v>28</v>
      </c>
      <c r="R1299" s="53">
        <v>0</v>
      </c>
      <c r="S1299" s="53">
        <v>0</v>
      </c>
    </row>
    <row r="1300" spans="1:19" x14ac:dyDescent="0.3">
      <c r="A1300" s="35" t="s">
        <v>1587</v>
      </c>
      <c r="B1300" s="35" t="s">
        <v>1593</v>
      </c>
      <c r="C1300" s="35" t="s">
        <v>1950</v>
      </c>
      <c r="D1300" s="37">
        <v>192.89766322050698</v>
      </c>
      <c r="E1300" s="39" t="s">
        <v>1950</v>
      </c>
      <c r="F1300" s="37">
        <v>190.05460982863619</v>
      </c>
      <c r="G1300" s="35" t="s">
        <v>1950</v>
      </c>
      <c r="H1300" s="37">
        <v>192.46011896331964</v>
      </c>
      <c r="I1300" s="37" t="s">
        <v>1950</v>
      </c>
      <c r="J1300" s="35">
        <v>2005</v>
      </c>
      <c r="K1300" s="35" t="s">
        <v>1950</v>
      </c>
      <c r="L1300" s="35" t="s">
        <v>1950</v>
      </c>
      <c r="M1300" s="36">
        <v>14122</v>
      </c>
      <c r="N1300" s="52">
        <v>8276</v>
      </c>
      <c r="O1300" s="38">
        <v>0.58603597224189208</v>
      </c>
      <c r="P1300" s="35">
        <v>0</v>
      </c>
      <c r="Q1300" s="35" t="s">
        <v>1590</v>
      </c>
      <c r="R1300" s="53">
        <v>0</v>
      </c>
      <c r="S1300" s="53">
        <v>0</v>
      </c>
    </row>
    <row r="1301" spans="1:19" x14ac:dyDescent="0.3">
      <c r="A1301" s="35" t="s">
        <v>1587</v>
      </c>
      <c r="B1301" s="35" t="s">
        <v>1593</v>
      </c>
      <c r="C1301" s="35" t="s">
        <v>1950</v>
      </c>
      <c r="D1301" s="37">
        <v>176.36573373012001</v>
      </c>
      <c r="E1301" s="39" t="s">
        <v>1950</v>
      </c>
      <c r="F1301" s="37">
        <v>178.2747760757147</v>
      </c>
      <c r="G1301" s="35" t="s">
        <v>1950</v>
      </c>
      <c r="H1301" s="37">
        <v>185.04708947214363</v>
      </c>
      <c r="I1301" s="37" t="s">
        <v>1950</v>
      </c>
      <c r="J1301" s="35">
        <v>2008</v>
      </c>
      <c r="K1301" s="35" t="s">
        <v>1950</v>
      </c>
      <c r="L1301" s="35" t="s">
        <v>1950</v>
      </c>
      <c r="M1301" s="36">
        <v>20498</v>
      </c>
      <c r="N1301" s="52">
        <v>8156</v>
      </c>
      <c r="O1301" s="38">
        <v>0.39789247731485999</v>
      </c>
      <c r="P1301" s="35">
        <v>0</v>
      </c>
      <c r="Q1301" s="35" t="s">
        <v>1590</v>
      </c>
      <c r="R1301" s="53">
        <v>0</v>
      </c>
      <c r="S1301" s="53">
        <v>0</v>
      </c>
    </row>
    <row r="1302" spans="1:19" x14ac:dyDescent="0.3">
      <c r="A1302" s="35" t="s">
        <v>1587</v>
      </c>
      <c r="B1302" s="35" t="s">
        <v>1593</v>
      </c>
      <c r="C1302" s="35" t="s">
        <v>1950</v>
      </c>
      <c r="D1302" s="37">
        <v>157.12339324763988</v>
      </c>
      <c r="E1302" s="39" t="s">
        <v>1950</v>
      </c>
      <c r="F1302" s="37">
        <v>159.1665599943108</v>
      </c>
      <c r="G1302" s="35" t="s">
        <v>1950</v>
      </c>
      <c r="H1302" s="37">
        <v>165.25436023254574</v>
      </c>
      <c r="I1302" s="37" t="s">
        <v>1950</v>
      </c>
      <c r="J1302" s="35">
        <v>2015</v>
      </c>
      <c r="K1302" s="35" t="s">
        <v>19</v>
      </c>
      <c r="L1302" s="35" t="s">
        <v>1783</v>
      </c>
      <c r="M1302" s="36">
        <v>56247</v>
      </c>
      <c r="N1302" s="52">
        <v>24121</v>
      </c>
      <c r="O1302" s="38">
        <v>0.42884064927907267</v>
      </c>
      <c r="P1302" s="35">
        <v>0</v>
      </c>
      <c r="Q1302" s="35" t="s">
        <v>1589</v>
      </c>
      <c r="R1302" s="53">
        <v>7</v>
      </c>
      <c r="S1302" s="53">
        <v>0.59</v>
      </c>
    </row>
    <row r="1303" spans="1:19" x14ac:dyDescent="0.3">
      <c r="A1303" s="35" t="s">
        <v>1587</v>
      </c>
      <c r="B1303" s="35" t="s">
        <v>1593</v>
      </c>
      <c r="C1303" s="35" t="s">
        <v>1950</v>
      </c>
      <c r="D1303" s="37">
        <v>156.70465000800897</v>
      </c>
      <c r="E1303" s="39" t="s">
        <v>1950</v>
      </c>
      <c r="F1303" s="37">
        <v>153.42123978856318</v>
      </c>
      <c r="G1303" s="35" t="s">
        <v>1950</v>
      </c>
      <c r="H1303" s="37">
        <v>152.05247477174436</v>
      </c>
      <c r="I1303" s="37" t="s">
        <v>1950</v>
      </c>
      <c r="J1303" s="35">
        <v>2014</v>
      </c>
      <c r="K1303" s="35" t="s">
        <v>1950</v>
      </c>
      <c r="L1303" s="35" t="s">
        <v>1950</v>
      </c>
      <c r="M1303" s="36">
        <v>6243</v>
      </c>
      <c r="N1303" s="52">
        <v>970</v>
      </c>
      <c r="O1303" s="38">
        <v>0.15537401890116931</v>
      </c>
      <c r="P1303" s="35">
        <v>0</v>
      </c>
      <c r="Q1303" s="35" t="s">
        <v>28</v>
      </c>
      <c r="R1303" s="53">
        <v>0</v>
      </c>
      <c r="S1303" s="53">
        <v>0.42</v>
      </c>
    </row>
    <row r="1304" spans="1:19" x14ac:dyDescent="0.3">
      <c r="A1304" s="35" t="s">
        <v>1587</v>
      </c>
      <c r="B1304" s="35" t="s">
        <v>1593</v>
      </c>
      <c r="C1304" s="35" t="s">
        <v>1950</v>
      </c>
      <c r="D1304" s="37">
        <v>144.44648678853676</v>
      </c>
      <c r="E1304" s="39" t="s">
        <v>1950</v>
      </c>
      <c r="F1304" s="37">
        <v>142.38569968867247</v>
      </c>
      <c r="G1304" s="35" t="s">
        <v>1950</v>
      </c>
      <c r="H1304" s="37">
        <v>148.74756765386763</v>
      </c>
      <c r="I1304" s="37" t="s">
        <v>1950</v>
      </c>
      <c r="J1304" s="35">
        <v>1996</v>
      </c>
      <c r="K1304" s="35" t="s">
        <v>1950</v>
      </c>
      <c r="L1304" s="35" t="s">
        <v>1950</v>
      </c>
      <c r="M1304" s="36">
        <v>12527</v>
      </c>
      <c r="N1304" s="52">
        <v>3700</v>
      </c>
      <c r="O1304" s="38">
        <v>0.29536201804103135</v>
      </c>
      <c r="P1304" s="35">
        <v>0</v>
      </c>
      <c r="Q1304" s="35" t="s">
        <v>28</v>
      </c>
      <c r="R1304" s="53">
        <v>0</v>
      </c>
      <c r="S1304" s="53">
        <v>0</v>
      </c>
    </row>
    <row r="1305" spans="1:19" x14ac:dyDescent="0.3">
      <c r="A1305" s="35" t="s">
        <v>1587</v>
      </c>
      <c r="B1305" s="35" t="s">
        <v>1593</v>
      </c>
      <c r="C1305" s="35" t="s">
        <v>1950</v>
      </c>
      <c r="D1305" s="37">
        <v>143.14698335644937</v>
      </c>
      <c r="E1305" s="39" t="s">
        <v>1950</v>
      </c>
      <c r="F1305" s="37">
        <v>129.17241678224687</v>
      </c>
      <c r="G1305" s="35" t="s">
        <v>1950</v>
      </c>
      <c r="H1305" s="37">
        <v>134.12987170596392</v>
      </c>
      <c r="I1305" s="37" t="s">
        <v>1950</v>
      </c>
      <c r="J1305" s="35">
        <v>2015</v>
      </c>
      <c r="K1305" s="35" t="s">
        <v>1950</v>
      </c>
      <c r="L1305" s="35" t="s">
        <v>1950</v>
      </c>
      <c r="M1305" s="36">
        <v>8652</v>
      </c>
      <c r="N1305" s="52">
        <v>1225</v>
      </c>
      <c r="O1305" s="38">
        <v>0.14158576051779936</v>
      </c>
      <c r="P1305" s="35">
        <v>0</v>
      </c>
      <c r="Q1305" s="35" t="s">
        <v>28</v>
      </c>
      <c r="R1305" s="53">
        <v>0</v>
      </c>
      <c r="S1305" s="53">
        <v>0</v>
      </c>
    </row>
    <row r="1306" spans="1:19" x14ac:dyDescent="0.3">
      <c r="A1306" s="35" t="s">
        <v>1587</v>
      </c>
      <c r="B1306" s="35" t="s">
        <v>1593</v>
      </c>
      <c r="C1306" s="35" t="s">
        <v>1950</v>
      </c>
      <c r="D1306" s="37">
        <v>133.62152727272726</v>
      </c>
      <c r="E1306" s="39" t="s">
        <v>1950</v>
      </c>
      <c r="F1306" s="37">
        <v>129.47189090909092</v>
      </c>
      <c r="G1306" s="35" t="s">
        <v>1950</v>
      </c>
      <c r="H1306" s="37">
        <v>133.16493636363637</v>
      </c>
      <c r="I1306" s="37" t="s">
        <v>1950</v>
      </c>
      <c r="J1306" s="35">
        <v>2016</v>
      </c>
      <c r="K1306" s="35" t="s">
        <v>1950</v>
      </c>
      <c r="L1306" s="35" t="s">
        <v>1950</v>
      </c>
      <c r="M1306" s="36">
        <v>5500</v>
      </c>
      <c r="N1306" s="52">
        <v>593</v>
      </c>
      <c r="O1306" s="38">
        <v>0.10781818181818181</v>
      </c>
      <c r="P1306" s="35">
        <v>0</v>
      </c>
      <c r="Q1306" s="35" t="s">
        <v>28</v>
      </c>
      <c r="R1306" s="53">
        <v>0</v>
      </c>
      <c r="S1306" s="53">
        <v>0</v>
      </c>
    </row>
    <row r="1307" spans="1:19" x14ac:dyDescent="0.3">
      <c r="A1307" s="35" t="s">
        <v>1587</v>
      </c>
      <c r="B1307" s="35" t="s">
        <v>1593</v>
      </c>
      <c r="C1307" s="35" t="s">
        <v>1950</v>
      </c>
      <c r="D1307" s="37">
        <v>123.29465993623803</v>
      </c>
      <c r="E1307" s="39" t="s">
        <v>1950</v>
      </c>
      <c r="F1307" s="37">
        <v>125.40903028692881</v>
      </c>
      <c r="G1307" s="35" t="s">
        <v>1950</v>
      </c>
      <c r="H1307" s="37">
        <v>129.86062699256112</v>
      </c>
      <c r="I1307" s="37" t="s">
        <v>1950</v>
      </c>
      <c r="J1307" s="35">
        <v>2017</v>
      </c>
      <c r="K1307" s="35" t="s">
        <v>1950</v>
      </c>
      <c r="L1307" s="35" t="s">
        <v>1950</v>
      </c>
      <c r="M1307" s="36">
        <v>7528</v>
      </c>
      <c r="N1307" s="52">
        <v>1138</v>
      </c>
      <c r="O1307" s="38">
        <v>0.15116896918172157</v>
      </c>
      <c r="P1307" s="35">
        <v>0</v>
      </c>
      <c r="Q1307" s="35" t="s">
        <v>28</v>
      </c>
      <c r="R1307" s="53">
        <v>0</v>
      </c>
      <c r="S1307" s="53">
        <v>0</v>
      </c>
    </row>
    <row r="1308" spans="1:19" x14ac:dyDescent="0.3">
      <c r="A1308" s="35" t="s">
        <v>1587</v>
      </c>
      <c r="B1308" s="35" t="s">
        <v>1593</v>
      </c>
      <c r="C1308" s="35" t="s">
        <v>1950</v>
      </c>
      <c r="D1308" s="37">
        <v>115.72306738962045</v>
      </c>
      <c r="E1308" s="39" t="s">
        <v>1950</v>
      </c>
      <c r="F1308" s="37">
        <v>115.74163439194423</v>
      </c>
      <c r="G1308" s="35" t="s">
        <v>1950</v>
      </c>
      <c r="H1308" s="37">
        <v>128.15346243222308</v>
      </c>
      <c r="I1308" s="37" t="s">
        <v>1950</v>
      </c>
      <c r="J1308" s="35">
        <v>1998</v>
      </c>
      <c r="K1308" s="35" t="s">
        <v>1950</v>
      </c>
      <c r="L1308" s="35" t="s">
        <v>1950</v>
      </c>
      <c r="M1308" s="36">
        <v>6455</v>
      </c>
      <c r="N1308" s="52">
        <v>3000</v>
      </c>
      <c r="O1308" s="38">
        <v>0.46475600309837334</v>
      </c>
      <c r="P1308" s="35">
        <v>0</v>
      </c>
      <c r="Q1308" s="35" t="s">
        <v>28</v>
      </c>
      <c r="R1308" s="53">
        <v>0</v>
      </c>
      <c r="S1308" s="53">
        <v>0</v>
      </c>
    </row>
    <row r="1309" spans="1:19" x14ac:dyDescent="0.3">
      <c r="A1309" s="35" t="s">
        <v>1587</v>
      </c>
      <c r="B1309" s="35" t="s">
        <v>1593</v>
      </c>
      <c r="C1309" s="35" t="s">
        <v>1950</v>
      </c>
      <c r="D1309" s="37">
        <v>137.53589875275128</v>
      </c>
      <c r="E1309" s="39" t="s">
        <v>1950</v>
      </c>
      <c r="F1309" s="37">
        <v>127.20500366837858</v>
      </c>
      <c r="G1309" s="35" t="s">
        <v>1950</v>
      </c>
      <c r="H1309" s="37">
        <v>120.02286867204695</v>
      </c>
      <c r="I1309" s="37" t="s">
        <v>1950</v>
      </c>
      <c r="J1309" s="35">
        <v>2017</v>
      </c>
      <c r="K1309" s="35" t="s">
        <v>1950</v>
      </c>
      <c r="L1309" s="35" t="s">
        <v>1950</v>
      </c>
      <c r="M1309" s="36">
        <v>8178</v>
      </c>
      <c r="N1309" s="52">
        <v>9998</v>
      </c>
      <c r="O1309" s="38">
        <v>1.2225483003179261</v>
      </c>
      <c r="P1309" s="35">
        <v>0</v>
      </c>
      <c r="Q1309" s="35" t="s">
        <v>28</v>
      </c>
      <c r="R1309" s="53">
        <v>0</v>
      </c>
      <c r="S1309" s="53">
        <v>0</v>
      </c>
    </row>
    <row r="1310" spans="1:19" x14ac:dyDescent="0.3">
      <c r="A1310" s="35" t="s">
        <v>1587</v>
      </c>
      <c r="B1310" s="35" t="s">
        <v>1593</v>
      </c>
      <c r="C1310" s="35" t="s">
        <v>1950</v>
      </c>
      <c r="D1310" s="37">
        <v>116.99320831500221</v>
      </c>
      <c r="E1310" s="39" t="s">
        <v>1950</v>
      </c>
      <c r="F1310" s="37">
        <v>115.28346898372196</v>
      </c>
      <c r="G1310" s="35" t="s">
        <v>1950</v>
      </c>
      <c r="H1310" s="37">
        <v>118.33717553893534</v>
      </c>
      <c r="I1310" s="37" t="s">
        <v>1950</v>
      </c>
      <c r="J1310" s="35">
        <v>2013</v>
      </c>
      <c r="K1310" s="35" t="s">
        <v>1950</v>
      </c>
      <c r="L1310" s="35" t="s">
        <v>1950</v>
      </c>
      <c r="M1310" s="36">
        <v>9092</v>
      </c>
      <c r="N1310" s="52">
        <v>1198</v>
      </c>
      <c r="O1310" s="38">
        <v>0.1317641882974043</v>
      </c>
      <c r="P1310" s="35">
        <v>0</v>
      </c>
      <c r="Q1310" s="35" t="s">
        <v>28</v>
      </c>
      <c r="R1310" s="53">
        <v>0</v>
      </c>
      <c r="S1310" s="53">
        <v>0</v>
      </c>
    </row>
    <row r="1311" spans="1:19" x14ac:dyDescent="0.3">
      <c r="A1311" s="35" t="s">
        <v>1587</v>
      </c>
      <c r="B1311" s="35" t="s">
        <v>1593</v>
      </c>
      <c r="C1311" s="35" t="s">
        <v>1950</v>
      </c>
      <c r="D1311" s="37">
        <v>116.33220073503675</v>
      </c>
      <c r="E1311" s="39" t="s">
        <v>1950</v>
      </c>
      <c r="F1311" s="37">
        <v>115.29214341967098</v>
      </c>
      <c r="G1311" s="35" t="s">
        <v>1950</v>
      </c>
      <c r="H1311" s="37">
        <v>117.48027957647882</v>
      </c>
      <c r="I1311" s="37" t="s">
        <v>1950</v>
      </c>
      <c r="J1311" s="35">
        <v>2017</v>
      </c>
      <c r="K1311" s="35" t="s">
        <v>1950</v>
      </c>
      <c r="L1311" s="35" t="s">
        <v>1950</v>
      </c>
      <c r="M1311" s="36">
        <v>22856</v>
      </c>
      <c r="N1311" s="52">
        <v>13713</v>
      </c>
      <c r="O1311" s="38">
        <v>0.59997374868743436</v>
      </c>
      <c r="P1311" s="35">
        <v>0</v>
      </c>
      <c r="Q1311" s="35" t="s">
        <v>28</v>
      </c>
      <c r="R1311" s="53">
        <v>0</v>
      </c>
      <c r="S1311" s="53">
        <v>0</v>
      </c>
    </row>
    <row r="1312" spans="1:19" x14ac:dyDescent="0.3">
      <c r="A1312" s="35" t="s">
        <v>1587</v>
      </c>
      <c r="B1312" s="35" t="s">
        <v>1593</v>
      </c>
      <c r="C1312" s="35" t="s">
        <v>1950</v>
      </c>
      <c r="D1312" s="37">
        <v>110.36618250710453</v>
      </c>
      <c r="E1312" s="39" t="s">
        <v>1950</v>
      </c>
      <c r="F1312" s="37">
        <v>110.72058414903695</v>
      </c>
      <c r="G1312" s="35" t="s">
        <v>1950</v>
      </c>
      <c r="H1312" s="37">
        <v>111.20919482159773</v>
      </c>
      <c r="I1312" s="37" t="s">
        <v>1950</v>
      </c>
      <c r="J1312" s="35">
        <v>2013</v>
      </c>
      <c r="K1312" s="35" t="s">
        <v>1950</v>
      </c>
      <c r="L1312" s="35" t="s">
        <v>1950</v>
      </c>
      <c r="M1312" s="36">
        <v>6334</v>
      </c>
      <c r="N1312" s="52">
        <v>441</v>
      </c>
      <c r="O1312" s="38">
        <v>6.9624250078939062E-2</v>
      </c>
      <c r="P1312" s="35">
        <v>0</v>
      </c>
      <c r="Q1312" s="35" t="s">
        <v>28</v>
      </c>
      <c r="R1312" s="53">
        <v>0</v>
      </c>
      <c r="S1312" s="53">
        <v>0</v>
      </c>
    </row>
    <row r="1313" spans="1:19" x14ac:dyDescent="0.3">
      <c r="A1313" s="35" t="s">
        <v>1587</v>
      </c>
      <c r="B1313" s="35" t="s">
        <v>1593</v>
      </c>
      <c r="C1313" s="35" t="s">
        <v>1950</v>
      </c>
      <c r="D1313" s="37">
        <v>105.78327939233819</v>
      </c>
      <c r="E1313" s="39" t="s">
        <v>1950</v>
      </c>
      <c r="F1313" s="37">
        <v>100.32585535006605</v>
      </c>
      <c r="G1313" s="35" t="s">
        <v>1950</v>
      </c>
      <c r="H1313" s="37">
        <v>109.72876486129459</v>
      </c>
      <c r="I1313" s="37" t="s">
        <v>1950</v>
      </c>
      <c r="J1313" s="35">
        <v>1986</v>
      </c>
      <c r="K1313" s="35" t="s">
        <v>1950</v>
      </c>
      <c r="L1313" s="35" t="s">
        <v>1950</v>
      </c>
      <c r="M1313" s="36">
        <v>6056</v>
      </c>
      <c r="N1313" s="52">
        <v>1602</v>
      </c>
      <c r="O1313" s="38">
        <v>0.26453104359313079</v>
      </c>
      <c r="P1313" s="35">
        <v>0</v>
      </c>
      <c r="Q1313" s="35" t="s">
        <v>28</v>
      </c>
      <c r="R1313" s="53">
        <v>0</v>
      </c>
      <c r="S1313" s="53">
        <v>0</v>
      </c>
    </row>
    <row r="1314" spans="1:19" x14ac:dyDescent="0.3">
      <c r="A1314" s="35" t="s">
        <v>1587</v>
      </c>
      <c r="B1314" s="35" t="s">
        <v>1593</v>
      </c>
      <c r="C1314" s="35" t="s">
        <v>1950</v>
      </c>
      <c r="D1314" s="37">
        <v>105.01573149035171</v>
      </c>
      <c r="E1314" s="39" t="s">
        <v>1950</v>
      </c>
      <c r="F1314" s="37">
        <v>106.96936499247298</v>
      </c>
      <c r="G1314" s="35" t="s">
        <v>1950</v>
      </c>
      <c r="H1314" s="37">
        <v>107.74414260298343</v>
      </c>
      <c r="I1314" s="37" t="s">
        <v>1950</v>
      </c>
      <c r="J1314" s="35">
        <v>2015</v>
      </c>
      <c r="K1314" s="35" t="s">
        <v>1950</v>
      </c>
      <c r="L1314" s="35" t="s">
        <v>1950</v>
      </c>
      <c r="M1314" s="36">
        <v>7307</v>
      </c>
      <c r="N1314" s="52">
        <v>632</v>
      </c>
      <c r="O1314" s="38">
        <v>8.6492404543588336E-2</v>
      </c>
      <c r="P1314" s="35">
        <v>0</v>
      </c>
      <c r="Q1314" s="35" t="s">
        <v>28</v>
      </c>
      <c r="R1314" s="53">
        <v>0</v>
      </c>
      <c r="S1314" s="53">
        <v>0</v>
      </c>
    </row>
    <row r="1315" spans="1:19" x14ac:dyDescent="0.3">
      <c r="A1315" s="35" t="s">
        <v>1587</v>
      </c>
      <c r="B1315" s="35" t="s">
        <v>1593</v>
      </c>
      <c r="C1315" s="35" t="s">
        <v>1950</v>
      </c>
      <c r="D1315" s="37">
        <v>92.885765116279075</v>
      </c>
      <c r="E1315" s="39" t="s">
        <v>1950</v>
      </c>
      <c r="F1315" s="37">
        <v>92.82715348837209</v>
      </c>
      <c r="G1315" s="35" t="s">
        <v>1950</v>
      </c>
      <c r="H1315" s="37">
        <v>94.422976744186045</v>
      </c>
      <c r="I1315" s="37" t="s">
        <v>1950</v>
      </c>
      <c r="J1315" s="35">
        <v>2016</v>
      </c>
      <c r="K1315" s="35" t="s">
        <v>1950</v>
      </c>
      <c r="L1315" s="35" t="s">
        <v>1950</v>
      </c>
      <c r="M1315" s="36">
        <v>12900</v>
      </c>
      <c r="N1315" s="52">
        <v>1489</v>
      </c>
      <c r="O1315" s="38">
        <v>0.11542635658914728</v>
      </c>
      <c r="P1315" s="35">
        <v>0</v>
      </c>
      <c r="Q1315" s="35" t="s">
        <v>28</v>
      </c>
      <c r="R1315" s="53">
        <v>0</v>
      </c>
      <c r="S1315" s="53">
        <v>0</v>
      </c>
    </row>
    <row r="1316" spans="1:19" x14ac:dyDescent="0.3">
      <c r="A1316" s="35" t="s">
        <v>1587</v>
      </c>
      <c r="B1316" s="35" t="s">
        <v>1593</v>
      </c>
      <c r="C1316" s="35" t="s">
        <v>1950</v>
      </c>
      <c r="D1316" s="37">
        <v>97.171476045416796</v>
      </c>
      <c r="E1316" s="39" t="s">
        <v>1950</v>
      </c>
      <c r="F1316" s="37">
        <v>87.80527554693991</v>
      </c>
      <c r="G1316" s="35" t="s">
        <v>1950</v>
      </c>
      <c r="H1316" s="37">
        <v>92.550772639158126</v>
      </c>
      <c r="I1316" s="37" t="s">
        <v>1950</v>
      </c>
      <c r="J1316" s="35">
        <v>2018</v>
      </c>
      <c r="K1316" s="35" t="s">
        <v>1950</v>
      </c>
      <c r="L1316" s="35" t="s">
        <v>1950</v>
      </c>
      <c r="M1316" s="36">
        <v>10833</v>
      </c>
      <c r="N1316" s="52">
        <v>1164</v>
      </c>
      <c r="O1316" s="38">
        <v>0.10744945998338411</v>
      </c>
      <c r="P1316" s="35">
        <v>0</v>
      </c>
      <c r="Q1316" s="35" t="s">
        <v>28</v>
      </c>
      <c r="R1316" s="53">
        <v>0</v>
      </c>
      <c r="S1316" s="53">
        <v>0</v>
      </c>
    </row>
    <row r="1317" spans="1:19" x14ac:dyDescent="0.3">
      <c r="A1317" s="35" t="s">
        <v>1587</v>
      </c>
      <c r="B1317" s="35" t="s">
        <v>1593</v>
      </c>
      <c r="C1317" s="35" t="s">
        <v>1950</v>
      </c>
      <c r="D1317" s="37">
        <v>91.766457423580789</v>
      </c>
      <c r="E1317" s="39" t="s">
        <v>1950</v>
      </c>
      <c r="F1317" s="37">
        <v>87.765665938864629</v>
      </c>
      <c r="G1317" s="35" t="s">
        <v>1950</v>
      </c>
      <c r="H1317" s="37">
        <v>88.996271834061133</v>
      </c>
      <c r="I1317" s="37" t="s">
        <v>1950</v>
      </c>
      <c r="J1317" s="35">
        <v>2016</v>
      </c>
      <c r="K1317" s="35" t="s">
        <v>1950</v>
      </c>
      <c r="L1317" s="35" t="s">
        <v>1950</v>
      </c>
      <c r="M1317" s="36">
        <v>10992</v>
      </c>
      <c r="N1317" s="52">
        <v>1</v>
      </c>
      <c r="O1317" s="38">
        <v>9.097525473071325E-5</v>
      </c>
      <c r="P1317" s="35">
        <v>0</v>
      </c>
      <c r="Q1317" s="35" t="s">
        <v>1590</v>
      </c>
      <c r="R1317" s="53">
        <v>0</v>
      </c>
      <c r="S1317" s="53">
        <v>0</v>
      </c>
    </row>
    <row r="1318" spans="1:19" x14ac:dyDescent="0.3">
      <c r="A1318" s="35" t="s">
        <v>1587</v>
      </c>
      <c r="B1318" s="35" t="s">
        <v>1593</v>
      </c>
      <c r="C1318" s="35" t="s">
        <v>1950</v>
      </c>
      <c r="D1318" s="37">
        <v>100.16543645907589</v>
      </c>
      <c r="E1318" s="39" t="s">
        <v>1950</v>
      </c>
      <c r="F1318" s="37">
        <v>97.27451558550969</v>
      </c>
      <c r="G1318" s="35" t="s">
        <v>1950</v>
      </c>
      <c r="H1318" s="37">
        <v>88.374716479813358</v>
      </c>
      <c r="I1318" s="37" t="s">
        <v>1950</v>
      </c>
      <c r="J1318" s="35">
        <v>1996</v>
      </c>
      <c r="K1318" s="35" t="s">
        <v>1950</v>
      </c>
      <c r="L1318" s="35" t="s">
        <v>1950</v>
      </c>
      <c r="M1318" s="36">
        <v>15431</v>
      </c>
      <c r="N1318" s="52">
        <v>1416</v>
      </c>
      <c r="O1318" s="38">
        <v>9.1763333549348708E-2</v>
      </c>
      <c r="P1318" s="35">
        <v>0</v>
      </c>
      <c r="Q1318" s="35" t="s">
        <v>28</v>
      </c>
      <c r="R1318" s="53">
        <v>0</v>
      </c>
      <c r="S1318" s="53">
        <v>0</v>
      </c>
    </row>
    <row r="1319" spans="1:19" x14ac:dyDescent="0.3">
      <c r="A1319" s="35" t="s">
        <v>1587</v>
      </c>
      <c r="B1319" s="35" t="s">
        <v>1593</v>
      </c>
      <c r="C1319" s="35" t="s">
        <v>1950</v>
      </c>
      <c r="D1319" s="37">
        <v>92.229668067226882</v>
      </c>
      <c r="E1319" s="39" t="s">
        <v>1950</v>
      </c>
      <c r="F1319" s="37">
        <v>90.073436974789914</v>
      </c>
      <c r="G1319" s="35" t="s">
        <v>1950</v>
      </c>
      <c r="H1319" s="37">
        <v>87.857977941176472</v>
      </c>
      <c r="I1319" s="37" t="s">
        <v>1950</v>
      </c>
      <c r="J1319" s="35">
        <v>2016</v>
      </c>
      <c r="K1319" s="35" t="s">
        <v>1950</v>
      </c>
      <c r="L1319" s="35" t="s">
        <v>1950</v>
      </c>
      <c r="M1319" s="36">
        <v>9520</v>
      </c>
      <c r="N1319" s="52">
        <v>1900</v>
      </c>
      <c r="O1319" s="38">
        <v>0.19957983193277312</v>
      </c>
      <c r="P1319" s="35">
        <v>0</v>
      </c>
      <c r="Q1319" s="35" t="s">
        <v>28</v>
      </c>
      <c r="R1319" s="53">
        <v>0</v>
      </c>
      <c r="S1319" s="53">
        <v>0</v>
      </c>
    </row>
    <row r="1320" spans="1:19" x14ac:dyDescent="0.3">
      <c r="A1320" s="35" t="s">
        <v>1587</v>
      </c>
      <c r="B1320" s="35" t="s">
        <v>1593</v>
      </c>
      <c r="C1320" s="35" t="s">
        <v>1950</v>
      </c>
      <c r="D1320" s="37">
        <v>78.229808422791081</v>
      </c>
      <c r="E1320" s="39" t="s">
        <v>1950</v>
      </c>
      <c r="F1320" s="37">
        <v>85.770257638315442</v>
      </c>
      <c r="G1320" s="35" t="s">
        <v>1950</v>
      </c>
      <c r="H1320" s="37">
        <v>87.843919075144512</v>
      </c>
      <c r="I1320" s="37" t="s">
        <v>1950</v>
      </c>
      <c r="J1320" s="35">
        <v>1997</v>
      </c>
      <c r="K1320" s="35" t="s">
        <v>1950</v>
      </c>
      <c r="L1320" s="35" t="s">
        <v>1950</v>
      </c>
      <c r="M1320" s="36">
        <v>12110</v>
      </c>
      <c r="N1320" s="52">
        <v>1699</v>
      </c>
      <c r="O1320" s="38">
        <v>0.1402972749793559</v>
      </c>
      <c r="P1320" s="35">
        <v>0</v>
      </c>
      <c r="Q1320" s="35" t="s">
        <v>28</v>
      </c>
      <c r="R1320" s="53">
        <v>0</v>
      </c>
      <c r="S1320" s="53">
        <v>0</v>
      </c>
    </row>
    <row r="1321" spans="1:19" x14ac:dyDescent="0.3">
      <c r="A1321" s="35" t="s">
        <v>1587</v>
      </c>
      <c r="B1321" s="35" t="s">
        <v>1593</v>
      </c>
      <c r="C1321" s="35" t="s">
        <v>1950</v>
      </c>
      <c r="D1321" s="37">
        <v>90.235388888888878</v>
      </c>
      <c r="E1321" s="39" t="s">
        <v>1950</v>
      </c>
      <c r="F1321" s="37">
        <v>91.319074074074081</v>
      </c>
      <c r="G1321" s="35" t="s">
        <v>1950</v>
      </c>
      <c r="H1321" s="37">
        <v>87.489703703703711</v>
      </c>
      <c r="I1321" s="37" t="s">
        <v>1950</v>
      </c>
      <c r="J1321" s="35">
        <v>1997</v>
      </c>
      <c r="K1321" s="35" t="s">
        <v>1950</v>
      </c>
      <c r="L1321" s="35" t="s">
        <v>1950</v>
      </c>
      <c r="M1321" s="36">
        <v>5400</v>
      </c>
      <c r="N1321" s="52">
        <v>700</v>
      </c>
      <c r="O1321" s="38">
        <v>0.12962962962962962</v>
      </c>
      <c r="P1321" s="35">
        <v>0</v>
      </c>
      <c r="Q1321" s="35" t="s">
        <v>28</v>
      </c>
      <c r="R1321" s="53">
        <v>0</v>
      </c>
      <c r="S1321" s="53">
        <v>0</v>
      </c>
    </row>
    <row r="1322" spans="1:19" x14ac:dyDescent="0.3">
      <c r="A1322" s="35" t="s">
        <v>1587</v>
      </c>
      <c r="B1322" s="35" t="s">
        <v>1593</v>
      </c>
      <c r="C1322" s="35" t="s">
        <v>1950</v>
      </c>
      <c r="D1322" s="37">
        <v>81.666694972826093</v>
      </c>
      <c r="E1322" s="39" t="s">
        <v>1950</v>
      </c>
      <c r="F1322" s="37">
        <v>84.479551630434784</v>
      </c>
      <c r="G1322" s="35" t="s">
        <v>1950</v>
      </c>
      <c r="H1322" s="37">
        <v>85.273494112318843</v>
      </c>
      <c r="I1322" s="37" t="s">
        <v>1950</v>
      </c>
      <c r="J1322" s="35">
        <v>2001</v>
      </c>
      <c r="K1322" s="35" t="s">
        <v>1950</v>
      </c>
      <c r="L1322" s="35" t="s">
        <v>1950</v>
      </c>
      <c r="M1322" s="36">
        <v>8832</v>
      </c>
      <c r="N1322" s="52">
        <v>1297</v>
      </c>
      <c r="O1322" s="38">
        <v>0.14685235507246377</v>
      </c>
      <c r="P1322" s="35">
        <v>0</v>
      </c>
      <c r="Q1322" s="35" t="s">
        <v>28</v>
      </c>
      <c r="R1322" s="53">
        <v>0</v>
      </c>
      <c r="S1322" s="53">
        <v>0</v>
      </c>
    </row>
    <row r="1323" spans="1:19" x14ac:dyDescent="0.3">
      <c r="A1323" s="35" t="s">
        <v>1587</v>
      </c>
      <c r="B1323" s="35" t="s">
        <v>1593</v>
      </c>
      <c r="C1323" s="35" t="s">
        <v>1950</v>
      </c>
      <c r="D1323" s="37">
        <v>85.07209655172413</v>
      </c>
      <c r="E1323" s="39" t="s">
        <v>1950</v>
      </c>
      <c r="F1323" s="37">
        <v>83.59142068965518</v>
      </c>
      <c r="G1323" s="35" t="s">
        <v>1950</v>
      </c>
      <c r="H1323" s="37">
        <v>84.683703448275864</v>
      </c>
      <c r="I1323" s="37" t="s">
        <v>1950</v>
      </c>
      <c r="J1323" s="35">
        <v>2001</v>
      </c>
      <c r="K1323" s="35" t="s">
        <v>1950</v>
      </c>
      <c r="L1323" s="35" t="s">
        <v>1950</v>
      </c>
      <c r="M1323" s="36">
        <v>7250</v>
      </c>
      <c r="N1323" s="52">
        <v>1421</v>
      </c>
      <c r="O1323" s="38">
        <v>0.19600000000000001</v>
      </c>
      <c r="P1323" s="35">
        <v>0</v>
      </c>
      <c r="Q1323" s="35" t="s">
        <v>28</v>
      </c>
      <c r="R1323" s="53">
        <v>0</v>
      </c>
      <c r="S1323" s="53">
        <v>0</v>
      </c>
    </row>
    <row r="1324" spans="1:19" x14ac:dyDescent="0.3">
      <c r="A1324" s="35" t="s">
        <v>1587</v>
      </c>
      <c r="B1324" s="35" t="s">
        <v>1593</v>
      </c>
      <c r="C1324" s="35" t="s">
        <v>1950</v>
      </c>
      <c r="D1324" s="37">
        <v>77.592523675290337</v>
      </c>
      <c r="E1324" s="39" t="s">
        <v>1950</v>
      </c>
      <c r="F1324" s="37">
        <v>77.789166501648239</v>
      </c>
      <c r="G1324" s="35" t="s">
        <v>1950</v>
      </c>
      <c r="H1324" s="37">
        <v>83.868079010821319</v>
      </c>
      <c r="I1324" s="37" t="s">
        <v>1950</v>
      </c>
      <c r="J1324" s="35">
        <v>1993</v>
      </c>
      <c r="K1324" s="35" t="s">
        <v>1950</v>
      </c>
      <c r="L1324" s="35" t="s">
        <v>1950</v>
      </c>
      <c r="M1324" s="36">
        <v>171698</v>
      </c>
      <c r="N1324" s="52">
        <v>31200</v>
      </c>
      <c r="O1324" s="38">
        <v>0.18171440552598167</v>
      </c>
      <c r="P1324" s="35">
        <v>0</v>
      </c>
      <c r="Q1324" s="35" t="s">
        <v>1590</v>
      </c>
      <c r="R1324" s="53">
        <v>0</v>
      </c>
      <c r="S1324" s="53">
        <v>0</v>
      </c>
    </row>
    <row r="1325" spans="1:19" x14ac:dyDescent="0.3">
      <c r="A1325" s="35" t="s">
        <v>1587</v>
      </c>
      <c r="B1325" s="35" t="s">
        <v>1593</v>
      </c>
      <c r="C1325" s="35" t="s">
        <v>1950</v>
      </c>
      <c r="D1325" s="37">
        <v>90.744937802349682</v>
      </c>
      <c r="E1325" s="39" t="s">
        <v>1950</v>
      </c>
      <c r="F1325" s="37">
        <v>84.849136143745682</v>
      </c>
      <c r="G1325" s="35" t="s">
        <v>1950</v>
      </c>
      <c r="H1325" s="37">
        <v>82.703178991015889</v>
      </c>
      <c r="I1325" s="37" t="s">
        <v>1950</v>
      </c>
      <c r="J1325" s="35">
        <v>2002</v>
      </c>
      <c r="K1325" s="35" t="s">
        <v>1950</v>
      </c>
      <c r="L1325" s="35" t="s">
        <v>1950</v>
      </c>
      <c r="M1325" s="36">
        <v>5788</v>
      </c>
      <c r="N1325" s="52">
        <v>1007</v>
      </c>
      <c r="O1325" s="38">
        <v>0.17398064961990325</v>
      </c>
      <c r="P1325" s="35">
        <v>0</v>
      </c>
      <c r="Q1325" s="35" t="s">
        <v>28</v>
      </c>
      <c r="R1325" s="53">
        <v>0</v>
      </c>
      <c r="S1325" s="53">
        <v>0</v>
      </c>
    </row>
    <row r="1326" spans="1:19" x14ac:dyDescent="0.3">
      <c r="A1326" s="35" t="s">
        <v>1587</v>
      </c>
      <c r="B1326" s="35" t="s">
        <v>1593</v>
      </c>
      <c r="C1326" s="35" t="s">
        <v>1950</v>
      </c>
      <c r="D1326" s="35">
        <v>0</v>
      </c>
      <c r="E1326" s="39" t="s">
        <v>1950</v>
      </c>
      <c r="F1326" s="37">
        <v>32.608695652173914</v>
      </c>
      <c r="G1326" s="35" t="s">
        <v>1950</v>
      </c>
      <c r="H1326" s="37">
        <v>81.120069104520582</v>
      </c>
      <c r="I1326" s="37" t="s">
        <v>1950</v>
      </c>
      <c r="J1326" s="35">
        <v>2021</v>
      </c>
      <c r="K1326" s="35" t="s">
        <v>1950</v>
      </c>
      <c r="L1326" s="35" t="s">
        <v>1950</v>
      </c>
      <c r="M1326" s="36">
        <v>6946</v>
      </c>
      <c r="N1326" s="52">
        <v>556</v>
      </c>
      <c r="O1326" s="38">
        <v>8.0046069680391588E-2</v>
      </c>
      <c r="P1326" s="35">
        <v>0</v>
      </c>
      <c r="Q1326" s="35" t="s">
        <v>28</v>
      </c>
      <c r="R1326" s="53">
        <v>0</v>
      </c>
      <c r="S1326" s="53">
        <v>0</v>
      </c>
    </row>
    <row r="1327" spans="1:19" x14ac:dyDescent="0.3">
      <c r="A1327" s="35" t="s">
        <v>1587</v>
      </c>
      <c r="B1327" s="35" t="s">
        <v>1593</v>
      </c>
      <c r="C1327" s="35" t="s">
        <v>1950</v>
      </c>
      <c r="D1327" s="37">
        <v>79.669693128752499</v>
      </c>
      <c r="E1327" s="39" t="s">
        <v>1950</v>
      </c>
      <c r="F1327" s="37">
        <v>77.292655103402268</v>
      </c>
      <c r="G1327" s="35" t="s">
        <v>1950</v>
      </c>
      <c r="H1327" s="37">
        <v>79.699269513008673</v>
      </c>
      <c r="I1327" s="37" t="s">
        <v>1950</v>
      </c>
      <c r="J1327" s="35">
        <v>2017</v>
      </c>
      <c r="K1327" s="35" t="s">
        <v>1950</v>
      </c>
      <c r="L1327" s="35" t="s">
        <v>1950</v>
      </c>
      <c r="M1327" s="36">
        <v>8994</v>
      </c>
      <c r="N1327" s="52">
        <v>900</v>
      </c>
      <c r="O1327" s="38">
        <v>0.1000667111407605</v>
      </c>
      <c r="P1327" s="35">
        <v>0</v>
      </c>
      <c r="Q1327" s="35" t="s">
        <v>28</v>
      </c>
      <c r="R1327" s="53">
        <v>0</v>
      </c>
      <c r="S1327" s="53">
        <v>0</v>
      </c>
    </row>
    <row r="1328" spans="1:19" x14ac:dyDescent="0.3">
      <c r="A1328" s="35" t="s">
        <v>1587</v>
      </c>
      <c r="B1328" s="35" t="s">
        <v>1593</v>
      </c>
      <c r="C1328" s="35" t="s">
        <v>1950</v>
      </c>
      <c r="D1328" s="37">
        <v>84.373362445414841</v>
      </c>
      <c r="E1328" s="39" t="s">
        <v>1950</v>
      </c>
      <c r="F1328" s="37">
        <v>79.126637554585159</v>
      </c>
      <c r="G1328" s="35" t="s">
        <v>1950</v>
      </c>
      <c r="H1328" s="37">
        <v>78.613537117903931</v>
      </c>
      <c r="I1328" s="37" t="s">
        <v>1950</v>
      </c>
      <c r="J1328" s="35">
        <v>2014</v>
      </c>
      <c r="K1328" s="35" t="s">
        <v>1950</v>
      </c>
      <c r="L1328" s="35" t="s">
        <v>1950</v>
      </c>
      <c r="M1328" s="36">
        <v>6870</v>
      </c>
      <c r="N1328" s="52">
        <v>680</v>
      </c>
      <c r="O1328" s="38">
        <v>9.8981077147016011E-2</v>
      </c>
      <c r="P1328" s="35">
        <v>0</v>
      </c>
      <c r="Q1328" s="35" t="s">
        <v>28</v>
      </c>
      <c r="R1328" s="53">
        <v>0</v>
      </c>
      <c r="S1328" s="53">
        <v>0</v>
      </c>
    </row>
    <row r="1329" spans="1:19" x14ac:dyDescent="0.3">
      <c r="A1329" s="35" t="s">
        <v>1587</v>
      </c>
      <c r="B1329" s="35" t="s">
        <v>1593</v>
      </c>
      <c r="C1329" s="35" t="s">
        <v>1950</v>
      </c>
      <c r="D1329" s="37">
        <v>93.707419667366395</v>
      </c>
      <c r="E1329" s="39" t="s">
        <v>1950</v>
      </c>
      <c r="F1329" s="37">
        <v>81.041345067011136</v>
      </c>
      <c r="G1329" s="35" t="s">
        <v>1950</v>
      </c>
      <c r="H1329" s="37">
        <v>78.335278540287419</v>
      </c>
      <c r="I1329" s="37" t="s">
        <v>1950</v>
      </c>
      <c r="J1329" s="35">
        <v>2012</v>
      </c>
      <c r="K1329" s="35" t="s">
        <v>1950</v>
      </c>
      <c r="L1329" s="35" t="s">
        <v>1950</v>
      </c>
      <c r="M1329" s="36">
        <v>6193</v>
      </c>
      <c r="N1329" s="52">
        <v>1000</v>
      </c>
      <c r="O1329" s="38">
        <v>0.16147263038914905</v>
      </c>
      <c r="P1329" s="35">
        <v>0</v>
      </c>
      <c r="Q1329" s="35" t="s">
        <v>28</v>
      </c>
      <c r="R1329" s="53">
        <v>0</v>
      </c>
      <c r="S1329" s="53">
        <v>0</v>
      </c>
    </row>
    <row r="1330" spans="1:19" x14ac:dyDescent="0.3">
      <c r="A1330" s="35" t="s">
        <v>1587</v>
      </c>
      <c r="B1330" s="35" t="s">
        <v>1593</v>
      </c>
      <c r="C1330" s="35" t="s">
        <v>1950</v>
      </c>
      <c r="D1330" s="37">
        <v>73.334184032171891</v>
      </c>
      <c r="E1330" s="39" t="s">
        <v>1950</v>
      </c>
      <c r="F1330" s="37">
        <v>83.127548581231196</v>
      </c>
      <c r="G1330" s="35" t="s">
        <v>1950</v>
      </c>
      <c r="H1330" s="37">
        <v>76.893058016254685</v>
      </c>
      <c r="I1330" s="37" t="s">
        <v>1950</v>
      </c>
      <c r="J1330" s="35">
        <v>2019</v>
      </c>
      <c r="K1330" s="35" t="s">
        <v>1950</v>
      </c>
      <c r="L1330" s="35" t="s">
        <v>1950</v>
      </c>
      <c r="M1330" s="36">
        <v>8534.16</v>
      </c>
      <c r="N1330" s="52">
        <v>2837</v>
      </c>
      <c r="O1330" s="38">
        <v>0.33242873346644547</v>
      </c>
      <c r="P1330" s="35">
        <v>0</v>
      </c>
      <c r="Q1330" s="35" t="s">
        <v>28</v>
      </c>
      <c r="R1330" s="53">
        <v>0</v>
      </c>
      <c r="S1330" s="53">
        <v>0</v>
      </c>
    </row>
    <row r="1331" spans="1:19" x14ac:dyDescent="0.3">
      <c r="A1331" s="35" t="s">
        <v>1587</v>
      </c>
      <c r="B1331" s="35" t="s">
        <v>1593</v>
      </c>
      <c r="C1331" s="35" t="s">
        <v>1950</v>
      </c>
      <c r="D1331" s="37">
        <v>71.328231821194052</v>
      </c>
      <c r="E1331" s="39" t="s">
        <v>1950</v>
      </c>
      <c r="F1331" s="37">
        <v>74.626343755647923</v>
      </c>
      <c r="G1331" s="35" t="s">
        <v>1950</v>
      </c>
      <c r="H1331" s="37">
        <v>76.484891860955472</v>
      </c>
      <c r="I1331" s="37" t="s">
        <v>1950</v>
      </c>
      <c r="J1331" s="35">
        <v>2018</v>
      </c>
      <c r="K1331" s="35" t="s">
        <v>1950</v>
      </c>
      <c r="L1331" s="35" t="s">
        <v>1950</v>
      </c>
      <c r="M1331" s="36">
        <v>16599</v>
      </c>
      <c r="N1331" s="52">
        <v>1853</v>
      </c>
      <c r="O1331" s="38">
        <v>0.11163323091752515</v>
      </c>
      <c r="P1331" s="35">
        <v>0</v>
      </c>
      <c r="Q1331" s="35" t="s">
        <v>28</v>
      </c>
      <c r="R1331" s="53">
        <v>0</v>
      </c>
      <c r="S1331" s="53">
        <v>0.68</v>
      </c>
    </row>
    <row r="1332" spans="1:19" x14ac:dyDescent="0.3">
      <c r="A1332" s="35" t="s">
        <v>1587</v>
      </c>
      <c r="B1332" s="35" t="s">
        <v>1593</v>
      </c>
      <c r="C1332" s="35" t="s">
        <v>1950</v>
      </c>
      <c r="D1332" s="35">
        <v>0</v>
      </c>
      <c r="E1332" s="39" t="s">
        <v>1950</v>
      </c>
      <c r="F1332" s="37">
        <v>74.667853054183325</v>
      </c>
      <c r="G1332" s="35" t="s">
        <v>1950</v>
      </c>
      <c r="H1332" s="37">
        <v>75.147264173135738</v>
      </c>
      <c r="I1332" s="37" t="s">
        <v>1950</v>
      </c>
      <c r="J1332" s="35">
        <v>2021</v>
      </c>
      <c r="K1332" s="35" t="s">
        <v>1950</v>
      </c>
      <c r="L1332" s="35" t="s">
        <v>1950</v>
      </c>
      <c r="M1332" s="36">
        <v>12753</v>
      </c>
      <c r="N1332" s="52">
        <v>2810</v>
      </c>
      <c r="O1332" s="38">
        <v>0.22034031208343136</v>
      </c>
      <c r="P1332" s="35">
        <v>0</v>
      </c>
      <c r="Q1332" s="35" t="s">
        <v>28</v>
      </c>
      <c r="R1332" s="53">
        <v>0</v>
      </c>
      <c r="S1332" s="53">
        <v>0.83</v>
      </c>
    </row>
    <row r="1333" spans="1:19" x14ac:dyDescent="0.3">
      <c r="A1333" s="35" t="s">
        <v>1587</v>
      </c>
      <c r="B1333" s="35" t="s">
        <v>1593</v>
      </c>
      <c r="C1333" s="35" t="s">
        <v>1950</v>
      </c>
      <c r="D1333" s="37">
        <v>89.2363218832309</v>
      </c>
      <c r="E1333" s="39" t="s">
        <v>1950</v>
      </c>
      <c r="F1333" s="37">
        <v>78.235792361720812</v>
      </c>
      <c r="G1333" s="35" t="s">
        <v>1950</v>
      </c>
      <c r="H1333" s="37">
        <v>74.841288410886733</v>
      </c>
      <c r="I1333" s="37" t="s">
        <v>1950</v>
      </c>
      <c r="J1333" s="35">
        <v>2003</v>
      </c>
      <c r="K1333" s="35" t="s">
        <v>1950</v>
      </c>
      <c r="L1333" s="35" t="s">
        <v>1950</v>
      </c>
      <c r="M1333" s="36">
        <v>18224</v>
      </c>
      <c r="N1333" s="52">
        <v>680</v>
      </c>
      <c r="O1333" s="38">
        <v>3.7313432835820892E-2</v>
      </c>
      <c r="P1333" s="35">
        <v>0</v>
      </c>
      <c r="Q1333" s="35" t="s">
        <v>28</v>
      </c>
      <c r="R1333" s="53">
        <v>0</v>
      </c>
      <c r="S1333" s="53">
        <v>0</v>
      </c>
    </row>
    <row r="1334" spans="1:19" x14ac:dyDescent="0.3">
      <c r="A1334" s="35" t="s">
        <v>1587</v>
      </c>
      <c r="B1334" s="35" t="s">
        <v>1593</v>
      </c>
      <c r="C1334" s="35" t="s">
        <v>1950</v>
      </c>
      <c r="D1334" s="37">
        <v>75.843590631929047</v>
      </c>
      <c r="E1334" s="39" t="s">
        <v>1950</v>
      </c>
      <c r="F1334" s="37">
        <v>79.445378325942343</v>
      </c>
      <c r="G1334" s="35" t="s">
        <v>1950</v>
      </c>
      <c r="H1334" s="37">
        <v>74.190264689578711</v>
      </c>
      <c r="I1334" s="37" t="s">
        <v>1950</v>
      </c>
      <c r="J1334" s="35">
        <v>1999</v>
      </c>
      <c r="K1334" s="35" t="s">
        <v>1950</v>
      </c>
      <c r="L1334" s="35" t="s">
        <v>1950</v>
      </c>
      <c r="M1334" s="36">
        <v>7216</v>
      </c>
      <c r="N1334" s="52">
        <v>586</v>
      </c>
      <c r="O1334" s="38">
        <v>8.1208425720620842E-2</v>
      </c>
      <c r="P1334" s="35">
        <v>0</v>
      </c>
      <c r="Q1334" s="35" t="s">
        <v>28</v>
      </c>
      <c r="R1334" s="53">
        <v>0</v>
      </c>
      <c r="S1334" s="53">
        <v>0</v>
      </c>
    </row>
    <row r="1335" spans="1:19" x14ac:dyDescent="0.3">
      <c r="A1335" s="35" t="s">
        <v>1587</v>
      </c>
      <c r="B1335" s="35" t="s">
        <v>1593</v>
      </c>
      <c r="C1335" s="35" t="s">
        <v>1950</v>
      </c>
      <c r="D1335" s="37">
        <v>74.503759064673673</v>
      </c>
      <c r="E1335" s="39" t="s">
        <v>1950</v>
      </c>
      <c r="F1335" s="37">
        <v>69.98207784519758</v>
      </c>
      <c r="G1335" s="35" t="s">
        <v>1950</v>
      </c>
      <c r="H1335" s="37">
        <v>70.063741305313016</v>
      </c>
      <c r="I1335" s="37" t="s">
        <v>1950</v>
      </c>
      <c r="J1335" s="35">
        <v>2014</v>
      </c>
      <c r="K1335" s="35" t="s">
        <v>1950</v>
      </c>
      <c r="L1335" s="35" t="s">
        <v>1950</v>
      </c>
      <c r="M1335" s="36">
        <v>6757</v>
      </c>
      <c r="N1335" s="52">
        <v>389</v>
      </c>
      <c r="O1335" s="38">
        <v>5.7569927482610625E-2</v>
      </c>
      <c r="P1335" s="35">
        <v>0</v>
      </c>
      <c r="Q1335" s="35" t="s">
        <v>28</v>
      </c>
      <c r="R1335" s="53">
        <v>0</v>
      </c>
      <c r="S1335" s="53">
        <v>0</v>
      </c>
    </row>
    <row r="1336" spans="1:19" x14ac:dyDescent="0.3">
      <c r="A1336" s="35" t="s">
        <v>1587</v>
      </c>
      <c r="B1336" s="35" t="s">
        <v>1593</v>
      </c>
      <c r="C1336" s="35" t="s">
        <v>1950</v>
      </c>
      <c r="D1336" s="37">
        <v>64.308520903237508</v>
      </c>
      <c r="E1336" s="39" t="s">
        <v>1950</v>
      </c>
      <c r="F1336" s="37">
        <v>67.197409993651945</v>
      </c>
      <c r="G1336" s="35" t="s">
        <v>1950</v>
      </c>
      <c r="H1336" s="37">
        <v>69.487253106012503</v>
      </c>
      <c r="I1336" s="37" t="s">
        <v>1950</v>
      </c>
      <c r="J1336" s="35">
        <v>2017</v>
      </c>
      <c r="K1336" s="35" t="s">
        <v>1950</v>
      </c>
      <c r="L1336" s="35" t="s">
        <v>1950</v>
      </c>
      <c r="M1336" s="36">
        <v>22054</v>
      </c>
      <c r="N1336" s="52">
        <v>3010</v>
      </c>
      <c r="O1336" s="38">
        <v>0.13648317765484719</v>
      </c>
      <c r="P1336" s="35">
        <v>0</v>
      </c>
      <c r="Q1336" s="35" t="s">
        <v>28</v>
      </c>
      <c r="R1336" s="53">
        <v>0</v>
      </c>
      <c r="S1336" s="53">
        <v>0</v>
      </c>
    </row>
    <row r="1337" spans="1:19" x14ac:dyDescent="0.3">
      <c r="A1337" s="35" t="s">
        <v>1587</v>
      </c>
      <c r="B1337" s="35" t="s">
        <v>1593</v>
      </c>
      <c r="C1337" s="35" t="s">
        <v>1950</v>
      </c>
      <c r="D1337" s="35">
        <v>0</v>
      </c>
      <c r="E1337" s="39" t="s">
        <v>1950</v>
      </c>
      <c r="F1337" s="37">
        <v>2.970440845377297</v>
      </c>
      <c r="G1337" s="35" t="s">
        <v>1950</v>
      </c>
      <c r="H1337" s="37">
        <v>45.338190137264874</v>
      </c>
      <c r="I1337" s="37" t="s">
        <v>1950</v>
      </c>
      <c r="J1337" s="35">
        <v>2021</v>
      </c>
      <c r="K1337" s="35" t="s">
        <v>1950</v>
      </c>
      <c r="L1337" s="35" t="s">
        <v>1950</v>
      </c>
      <c r="M1337" s="36">
        <v>13769</v>
      </c>
      <c r="N1337" s="52">
        <v>1459</v>
      </c>
      <c r="O1337" s="38">
        <v>0.10596266976541506</v>
      </c>
      <c r="P1337" s="35">
        <v>0</v>
      </c>
      <c r="Q1337" s="35" t="s">
        <v>28</v>
      </c>
      <c r="R1337" s="53">
        <v>0</v>
      </c>
      <c r="S1337" s="53">
        <v>0</v>
      </c>
    </row>
    <row r="1338" spans="1:19" x14ac:dyDescent="0.3">
      <c r="A1338" s="35" t="s">
        <v>1587</v>
      </c>
      <c r="B1338" s="35" t="s">
        <v>1593</v>
      </c>
      <c r="C1338" s="35" t="s">
        <v>1950</v>
      </c>
      <c r="D1338" s="37">
        <v>35.726030610675281</v>
      </c>
      <c r="E1338" s="39" t="s">
        <v>1950</v>
      </c>
      <c r="F1338" s="37">
        <v>35.346873557914165</v>
      </c>
      <c r="G1338" s="35" t="s">
        <v>1950</v>
      </c>
      <c r="H1338" s="37">
        <v>34.656537455776032</v>
      </c>
      <c r="I1338" s="37" t="s">
        <v>1950</v>
      </c>
      <c r="J1338" s="35">
        <v>1939</v>
      </c>
      <c r="K1338" s="35" t="s">
        <v>1950</v>
      </c>
      <c r="L1338" s="35" t="s">
        <v>1950</v>
      </c>
      <c r="M1338" s="36">
        <v>13002</v>
      </c>
      <c r="N1338" s="52">
        <v>360</v>
      </c>
      <c r="O1338" s="38">
        <v>2.7688047992616521E-2</v>
      </c>
      <c r="P1338" s="35">
        <v>0</v>
      </c>
      <c r="Q1338" s="35" t="s">
        <v>28</v>
      </c>
      <c r="R1338" s="53">
        <v>0</v>
      </c>
      <c r="S1338" s="53">
        <v>0</v>
      </c>
    </row>
    <row r="1339" spans="1:19" x14ac:dyDescent="0.3">
      <c r="A1339" s="35" t="s">
        <v>1587</v>
      </c>
      <c r="B1339" s="35" t="s">
        <v>1593</v>
      </c>
      <c r="C1339" s="35" t="s">
        <v>1950</v>
      </c>
      <c r="D1339" s="35">
        <v>0</v>
      </c>
      <c r="E1339" s="39" t="s">
        <v>1950</v>
      </c>
      <c r="F1339" s="37">
        <v>0</v>
      </c>
      <c r="G1339" s="35" t="s">
        <v>1950</v>
      </c>
      <c r="H1339" s="37">
        <v>24.044414481441592</v>
      </c>
      <c r="I1339" s="37" t="s">
        <v>1950</v>
      </c>
      <c r="J1339" s="35">
        <v>2022</v>
      </c>
      <c r="K1339" s="35" t="s">
        <v>25</v>
      </c>
      <c r="L1339" s="35" t="s">
        <v>1875</v>
      </c>
      <c r="M1339" s="36">
        <v>11169.33</v>
      </c>
      <c r="N1339" s="52">
        <v>500</v>
      </c>
      <c r="O1339" s="38">
        <v>4.4765442510875768E-2</v>
      </c>
      <c r="P1339" s="35">
        <v>0</v>
      </c>
      <c r="Q1339" s="35" t="s">
        <v>28</v>
      </c>
      <c r="R1339" s="53">
        <v>0</v>
      </c>
      <c r="S1339" s="53">
        <v>0</v>
      </c>
    </row>
    <row r="1340" spans="1:19" x14ac:dyDescent="0.3">
      <c r="A1340" s="1" t="s">
        <v>82</v>
      </c>
      <c r="B1340" s="1" t="s">
        <v>110</v>
      </c>
      <c r="C1340" s="35" t="s">
        <v>1950</v>
      </c>
      <c r="D1340" s="8">
        <v>123.45335005144032</v>
      </c>
      <c r="E1340" s="39" t="s">
        <v>1950</v>
      </c>
      <c r="F1340" s="8">
        <v>130.13077117626887</v>
      </c>
      <c r="G1340" s="35" t="s">
        <v>1950</v>
      </c>
      <c r="H1340" s="8">
        <v>184.68191915294923</v>
      </c>
      <c r="I1340" s="37" t="s">
        <v>1950</v>
      </c>
      <c r="J1340" s="1">
        <v>2016</v>
      </c>
      <c r="K1340" s="35" t="s">
        <v>1950</v>
      </c>
      <c r="L1340" s="35" t="s">
        <v>1950</v>
      </c>
      <c r="M1340" s="6">
        <v>23328</v>
      </c>
      <c r="N1340" s="54">
        <v>1441453</v>
      </c>
      <c r="O1340" s="21">
        <v>61.790680727023322</v>
      </c>
      <c r="P1340" s="1">
        <v>0</v>
      </c>
      <c r="Q1340" s="1" t="s">
        <v>1589</v>
      </c>
      <c r="R1340" s="55">
        <v>6</v>
      </c>
      <c r="S1340" s="55">
        <v>0.60699999999999998</v>
      </c>
    </row>
    <row r="1341" spans="1:19" x14ac:dyDescent="0.3">
      <c r="A1341" s="1" t="s">
        <v>82</v>
      </c>
      <c r="B1341" s="1" t="s">
        <v>110</v>
      </c>
      <c r="C1341" s="35" t="s">
        <v>1950</v>
      </c>
      <c r="D1341" s="8">
        <v>159.37647770534551</v>
      </c>
      <c r="E1341" s="39" t="s">
        <v>1950</v>
      </c>
      <c r="F1341" s="8">
        <v>164.01719217731423</v>
      </c>
      <c r="G1341" s="35" t="s">
        <v>1950</v>
      </c>
      <c r="H1341" s="8">
        <v>182.94126101694917</v>
      </c>
      <c r="I1341" s="37" t="s">
        <v>1950</v>
      </c>
      <c r="J1341" s="1">
        <v>2014</v>
      </c>
      <c r="K1341" s="35" t="s">
        <v>1950</v>
      </c>
      <c r="L1341" s="35" t="s">
        <v>1950</v>
      </c>
      <c r="M1341" s="6">
        <v>19175</v>
      </c>
      <c r="N1341" s="54">
        <v>16699</v>
      </c>
      <c r="O1341" s="21">
        <v>0.87087353324641459</v>
      </c>
      <c r="P1341" s="1">
        <v>0</v>
      </c>
      <c r="Q1341" s="1" t="s">
        <v>1589</v>
      </c>
      <c r="R1341" s="55">
        <v>20</v>
      </c>
      <c r="S1341" s="53">
        <v>0</v>
      </c>
    </row>
    <row r="1342" spans="1:19" x14ac:dyDescent="0.3">
      <c r="A1342" s="1" t="s">
        <v>82</v>
      </c>
      <c r="B1342" s="1" t="s">
        <v>110</v>
      </c>
      <c r="C1342" s="35" t="s">
        <v>1950</v>
      </c>
      <c r="D1342" s="8">
        <v>166.81403425612791</v>
      </c>
      <c r="E1342" s="39" t="s">
        <v>1950</v>
      </c>
      <c r="F1342" s="8">
        <v>174.41539429186076</v>
      </c>
      <c r="G1342" s="35" t="s">
        <v>1950</v>
      </c>
      <c r="H1342" s="8">
        <v>180.09409952325825</v>
      </c>
      <c r="I1342" s="37" t="s">
        <v>1950</v>
      </c>
      <c r="J1342" s="1">
        <v>2014</v>
      </c>
      <c r="K1342" s="1" t="s">
        <v>21</v>
      </c>
      <c r="L1342" s="1" t="s">
        <v>1783</v>
      </c>
      <c r="M1342" s="6">
        <v>100637</v>
      </c>
      <c r="N1342" s="54">
        <v>54191</v>
      </c>
      <c r="O1342" s="21">
        <v>0.53847988314437034</v>
      </c>
      <c r="P1342" s="1">
        <v>0</v>
      </c>
      <c r="Q1342" s="1" t="s">
        <v>1589</v>
      </c>
      <c r="R1342" s="55">
        <v>7</v>
      </c>
      <c r="S1342" s="55">
        <v>0.65</v>
      </c>
    </row>
    <row r="1343" spans="1:19" x14ac:dyDescent="0.3">
      <c r="A1343" s="1" t="s">
        <v>82</v>
      </c>
      <c r="B1343" s="1" t="s">
        <v>110</v>
      </c>
      <c r="C1343" s="35" t="s">
        <v>1950</v>
      </c>
      <c r="D1343" s="8">
        <v>146.74902154513003</v>
      </c>
      <c r="E1343" s="39" t="s">
        <v>1950</v>
      </c>
      <c r="F1343" s="8">
        <v>144.10236486486485</v>
      </c>
      <c r="G1343" s="35" t="s">
        <v>1950</v>
      </c>
      <c r="H1343" s="8">
        <v>161.41688551759307</v>
      </c>
      <c r="I1343" s="37" t="s">
        <v>1950</v>
      </c>
      <c r="J1343" s="1">
        <v>1999</v>
      </c>
      <c r="K1343" s="35" t="s">
        <v>1950</v>
      </c>
      <c r="L1343" s="35" t="s">
        <v>1950</v>
      </c>
      <c r="M1343" s="6">
        <v>78440</v>
      </c>
      <c r="N1343" s="54">
        <v>74944</v>
      </c>
      <c r="O1343" s="21">
        <v>0.95543090260071395</v>
      </c>
      <c r="P1343" s="1">
        <v>0</v>
      </c>
      <c r="Q1343" s="1" t="s">
        <v>1589</v>
      </c>
      <c r="R1343" s="55">
        <v>7</v>
      </c>
      <c r="S1343" s="55">
        <v>0.63200000000000001</v>
      </c>
    </row>
    <row r="1344" spans="1:19" x14ac:dyDescent="0.3">
      <c r="A1344" s="1" t="s">
        <v>82</v>
      </c>
      <c r="B1344" s="1" t="s">
        <v>110</v>
      </c>
      <c r="C1344" s="35" t="s">
        <v>1950</v>
      </c>
      <c r="D1344" s="8">
        <v>107.13225678227168</v>
      </c>
      <c r="E1344" s="39" t="s">
        <v>1950</v>
      </c>
      <c r="F1344" s="8">
        <v>125.34228957567325</v>
      </c>
      <c r="G1344" s="35" t="s">
        <v>1950</v>
      </c>
      <c r="H1344" s="8">
        <v>131.91843386664016</v>
      </c>
      <c r="I1344" s="37" t="s">
        <v>1950</v>
      </c>
      <c r="J1344" s="1">
        <v>1988</v>
      </c>
      <c r="K1344" s="35" t="s">
        <v>1950</v>
      </c>
      <c r="L1344" s="35" t="s">
        <v>1950</v>
      </c>
      <c r="M1344" s="6">
        <v>10063</v>
      </c>
      <c r="N1344" s="54">
        <v>1503</v>
      </c>
      <c r="O1344" s="21">
        <v>0.14935903806022061</v>
      </c>
      <c r="P1344" s="1">
        <v>0</v>
      </c>
      <c r="Q1344" s="1" t="s">
        <v>1787</v>
      </c>
      <c r="R1344" s="53">
        <v>0</v>
      </c>
      <c r="S1344" s="53">
        <v>0</v>
      </c>
    </row>
    <row r="1345" spans="1:19" x14ac:dyDescent="0.3">
      <c r="A1345" s="1" t="s">
        <v>82</v>
      </c>
      <c r="B1345" s="1" t="s">
        <v>110</v>
      </c>
      <c r="C1345" s="35" t="s">
        <v>1950</v>
      </c>
      <c r="D1345" s="8">
        <v>105.54457049425085</v>
      </c>
      <c r="E1345" s="39" t="s">
        <v>1950</v>
      </c>
      <c r="F1345" s="8">
        <v>110.03095391858247</v>
      </c>
      <c r="G1345" s="35" t="s">
        <v>1950</v>
      </c>
      <c r="H1345" s="8">
        <v>123.57458819239032</v>
      </c>
      <c r="I1345" s="37" t="s">
        <v>1950</v>
      </c>
      <c r="J1345" s="1">
        <v>2005</v>
      </c>
      <c r="K1345" s="1" t="s">
        <v>19</v>
      </c>
      <c r="L1345" s="1" t="s">
        <v>1601</v>
      </c>
      <c r="M1345" s="6">
        <v>102750</v>
      </c>
      <c r="N1345" s="54">
        <v>69060</v>
      </c>
      <c r="O1345" s="21">
        <v>0.67211678832116784</v>
      </c>
      <c r="P1345" s="1">
        <v>0</v>
      </c>
      <c r="Q1345" s="1" t="s">
        <v>1589</v>
      </c>
      <c r="R1345" s="55">
        <v>7</v>
      </c>
      <c r="S1345" s="55">
        <v>0.53</v>
      </c>
    </row>
    <row r="1346" spans="1:19" x14ac:dyDescent="0.3">
      <c r="A1346" s="1" t="s">
        <v>82</v>
      </c>
      <c r="B1346" s="1" t="s">
        <v>110</v>
      </c>
      <c r="C1346" s="35" t="s">
        <v>1950</v>
      </c>
      <c r="D1346" s="8">
        <v>94.251534328358218</v>
      </c>
      <c r="E1346" s="39" t="s">
        <v>1950</v>
      </c>
      <c r="F1346" s="8">
        <v>93.93304626865671</v>
      </c>
      <c r="G1346" s="35" t="s">
        <v>1950</v>
      </c>
      <c r="H1346" s="8">
        <v>93.597762686567165</v>
      </c>
      <c r="I1346" s="37" t="s">
        <v>1950</v>
      </c>
      <c r="J1346" s="1">
        <v>2015</v>
      </c>
      <c r="K1346" s="1" t="s">
        <v>19</v>
      </c>
      <c r="L1346" s="1" t="s">
        <v>1600</v>
      </c>
      <c r="M1346" s="6">
        <v>20100</v>
      </c>
      <c r="N1346" s="54">
        <v>9769</v>
      </c>
      <c r="O1346" s="21">
        <v>0.48601990049751242</v>
      </c>
      <c r="P1346" s="1">
        <v>0</v>
      </c>
      <c r="Q1346" s="1" t="s">
        <v>1589</v>
      </c>
      <c r="R1346" s="55">
        <v>6</v>
      </c>
      <c r="S1346" s="55">
        <v>0.63600000000000001</v>
      </c>
    </row>
    <row r="1347" spans="1:19" x14ac:dyDescent="0.3">
      <c r="A1347" s="1" t="s">
        <v>82</v>
      </c>
      <c r="B1347" s="1" t="s">
        <v>110</v>
      </c>
      <c r="C1347" s="35" t="s">
        <v>1950</v>
      </c>
      <c r="D1347" s="8">
        <v>77.831165381319622</v>
      </c>
      <c r="E1347" s="39" t="s">
        <v>1950</v>
      </c>
      <c r="F1347" s="8">
        <v>76.817917737789202</v>
      </c>
      <c r="G1347" s="35" t="s">
        <v>1950</v>
      </c>
      <c r="H1347" s="8">
        <v>74.436409597257935</v>
      </c>
      <c r="I1347" s="37" t="s">
        <v>1950</v>
      </c>
      <c r="J1347" s="1">
        <v>2014</v>
      </c>
      <c r="K1347" s="1" t="s">
        <v>19</v>
      </c>
      <c r="L1347" s="1" t="s">
        <v>1600</v>
      </c>
      <c r="M1347" s="6">
        <v>11670</v>
      </c>
      <c r="N1347" s="54">
        <v>6113</v>
      </c>
      <c r="O1347" s="21">
        <v>0.52382176520994006</v>
      </c>
      <c r="P1347" s="1">
        <v>0</v>
      </c>
      <c r="Q1347" s="1" t="s">
        <v>1589</v>
      </c>
      <c r="R1347" s="55">
        <v>9</v>
      </c>
      <c r="S1347" s="55">
        <v>0.56999999999999995</v>
      </c>
    </row>
    <row r="1348" spans="1:19" x14ac:dyDescent="0.3">
      <c r="A1348" s="1" t="s">
        <v>82</v>
      </c>
      <c r="B1348" s="1" t="s">
        <v>110</v>
      </c>
      <c r="C1348" s="35" t="s">
        <v>1950</v>
      </c>
      <c r="D1348" s="8">
        <v>70.43980179701596</v>
      </c>
      <c r="E1348" s="39" t="s">
        <v>1950</v>
      </c>
      <c r="F1348" s="8">
        <v>71.433463697896158</v>
      </c>
      <c r="G1348" s="35" t="s">
        <v>1950</v>
      </c>
      <c r="H1348" s="8">
        <v>72.23878696842857</v>
      </c>
      <c r="I1348" s="37" t="s">
        <v>1950</v>
      </c>
      <c r="J1348" s="1">
        <v>2000</v>
      </c>
      <c r="K1348" s="1" t="s">
        <v>19</v>
      </c>
      <c r="L1348" s="1" t="s">
        <v>1601</v>
      </c>
      <c r="M1348" s="6">
        <v>109181</v>
      </c>
      <c r="N1348" s="54">
        <v>60000</v>
      </c>
      <c r="O1348" s="21">
        <v>0.54954616645753385</v>
      </c>
      <c r="P1348" s="1">
        <v>0</v>
      </c>
      <c r="Q1348" s="1" t="s">
        <v>1589</v>
      </c>
      <c r="R1348" s="55">
        <v>7</v>
      </c>
      <c r="S1348" s="55">
        <v>0.6</v>
      </c>
    </row>
    <row r="1349" spans="1:19" x14ac:dyDescent="0.3">
      <c r="A1349" s="1" t="s">
        <v>82</v>
      </c>
      <c r="B1349" s="1" t="s">
        <v>110</v>
      </c>
      <c r="C1349" s="35" t="s">
        <v>1950</v>
      </c>
      <c r="D1349" s="8">
        <v>52.806706130728159</v>
      </c>
      <c r="E1349" s="39" t="s">
        <v>1950</v>
      </c>
      <c r="F1349" s="8">
        <v>53.74137310096453</v>
      </c>
      <c r="G1349" s="35" t="s">
        <v>1950</v>
      </c>
      <c r="H1349" s="8">
        <v>62.80813014861117</v>
      </c>
      <c r="I1349" s="37" t="s">
        <v>1950</v>
      </c>
      <c r="J1349" s="1">
        <v>2015</v>
      </c>
      <c r="K1349" s="35" t="s">
        <v>1950</v>
      </c>
      <c r="L1349" s="35" t="s">
        <v>1950</v>
      </c>
      <c r="M1349" s="6">
        <v>24157</v>
      </c>
      <c r="N1349" s="54">
        <v>7907</v>
      </c>
      <c r="O1349" s="21">
        <v>0.32731713375005173</v>
      </c>
      <c r="P1349" s="1">
        <v>0</v>
      </c>
      <c r="Q1349" s="1" t="s">
        <v>28</v>
      </c>
      <c r="R1349" s="53">
        <v>0</v>
      </c>
      <c r="S1349" s="55">
        <v>0.73</v>
      </c>
    </row>
    <row r="1350" spans="1:19" x14ac:dyDescent="0.3">
      <c r="A1350" s="1" t="s">
        <v>82</v>
      </c>
      <c r="B1350" s="1" t="s">
        <v>1591</v>
      </c>
      <c r="C1350" s="35" t="s">
        <v>1950</v>
      </c>
      <c r="D1350" s="8">
        <v>136.03858883583072</v>
      </c>
      <c r="E1350" s="39" t="s">
        <v>1950</v>
      </c>
      <c r="F1350" s="8">
        <v>168.30824962950766</v>
      </c>
      <c r="G1350" s="35" t="s">
        <v>1950</v>
      </c>
      <c r="H1350" s="8">
        <v>144.85991272847028</v>
      </c>
      <c r="I1350" s="37" t="s">
        <v>1950</v>
      </c>
      <c r="J1350" s="1">
        <v>1995</v>
      </c>
      <c r="K1350" s="35" t="s">
        <v>1950</v>
      </c>
      <c r="L1350" s="1" t="s">
        <v>1818</v>
      </c>
      <c r="M1350" s="6">
        <v>266291</v>
      </c>
      <c r="N1350" s="54">
        <v>4500</v>
      </c>
      <c r="O1350" s="21">
        <v>0.74098468631648284</v>
      </c>
      <c r="P1350" s="1">
        <v>0</v>
      </c>
      <c r="Q1350" s="1" t="s">
        <v>28</v>
      </c>
      <c r="R1350" s="53">
        <v>0</v>
      </c>
      <c r="S1350" s="53">
        <v>0</v>
      </c>
    </row>
    <row r="1351" spans="1:19" x14ac:dyDescent="0.3">
      <c r="A1351" s="1" t="s">
        <v>82</v>
      </c>
      <c r="B1351" s="1" t="s">
        <v>1591</v>
      </c>
      <c r="C1351" s="35" t="s">
        <v>1950</v>
      </c>
      <c r="D1351" s="8">
        <v>117.88431093252829</v>
      </c>
      <c r="E1351" s="39" t="s">
        <v>1950</v>
      </c>
      <c r="F1351" s="8">
        <v>121.96434721602142</v>
      </c>
      <c r="G1351" s="35" t="s">
        <v>1950</v>
      </c>
      <c r="H1351" s="8">
        <v>126.45799406141265</v>
      </c>
      <c r="I1351" s="37" t="s">
        <v>1950</v>
      </c>
      <c r="J1351" s="1">
        <v>1998</v>
      </c>
      <c r="K1351" s="1" t="s">
        <v>19</v>
      </c>
      <c r="L1351" s="1" t="s">
        <v>1597</v>
      </c>
      <c r="M1351" s="6">
        <v>29128</v>
      </c>
      <c r="N1351" s="54">
        <v>170816</v>
      </c>
      <c r="O1351" s="21">
        <v>0.64146366193374915</v>
      </c>
      <c r="P1351" s="1">
        <v>0</v>
      </c>
      <c r="Q1351" s="1" t="s">
        <v>1589</v>
      </c>
      <c r="R1351" s="55">
        <v>4</v>
      </c>
      <c r="S1351" s="55">
        <v>0.65</v>
      </c>
    </row>
    <row r="1352" spans="1:19" x14ac:dyDescent="0.3">
      <c r="A1352" s="1" t="s">
        <v>82</v>
      </c>
      <c r="B1352" s="1" t="s">
        <v>1591</v>
      </c>
      <c r="C1352" s="35" t="s">
        <v>1950</v>
      </c>
      <c r="D1352" s="8">
        <v>125.4801886296418</v>
      </c>
      <c r="E1352" s="39" t="s">
        <v>1950</v>
      </c>
      <c r="F1352" s="8">
        <v>127.63009749151057</v>
      </c>
      <c r="G1352" s="35" t="s">
        <v>1950</v>
      </c>
      <c r="H1352" s="8">
        <v>123.29580698871726</v>
      </c>
      <c r="I1352" s="37" t="s">
        <v>1950</v>
      </c>
      <c r="J1352" s="1">
        <v>2004</v>
      </c>
      <c r="K1352" s="1" t="s">
        <v>25</v>
      </c>
      <c r="L1352" s="1" t="s">
        <v>1818</v>
      </c>
      <c r="M1352" s="6">
        <v>97876</v>
      </c>
      <c r="N1352" s="54">
        <v>20000</v>
      </c>
      <c r="O1352" s="21">
        <v>0.68662455369404007</v>
      </c>
      <c r="P1352" s="1">
        <v>0</v>
      </c>
      <c r="Q1352" s="1" t="s">
        <v>1589</v>
      </c>
      <c r="R1352" s="55">
        <v>1</v>
      </c>
      <c r="S1352" s="55">
        <v>0.65</v>
      </c>
    </row>
    <row r="1353" spans="1:19" x14ac:dyDescent="0.3">
      <c r="A1353" s="1" t="s">
        <v>82</v>
      </c>
      <c r="B1353" s="1" t="s">
        <v>1591</v>
      </c>
      <c r="C1353" s="35" t="s">
        <v>1950</v>
      </c>
      <c r="D1353" s="8">
        <v>91.006648653414302</v>
      </c>
      <c r="E1353" s="39" t="s">
        <v>1950</v>
      </c>
      <c r="F1353" s="8">
        <v>95.151565441523488</v>
      </c>
      <c r="G1353" s="35" t="s">
        <v>1950</v>
      </c>
      <c r="H1353" s="8">
        <v>100.42314893087371</v>
      </c>
      <c r="I1353" s="37" t="s">
        <v>1950</v>
      </c>
      <c r="J1353" s="1">
        <v>2012</v>
      </c>
      <c r="K1353" s="1" t="s">
        <v>19</v>
      </c>
      <c r="L1353" s="1" t="s">
        <v>1875</v>
      </c>
      <c r="M1353" s="6">
        <v>357964</v>
      </c>
      <c r="N1353" s="54">
        <v>131450</v>
      </c>
      <c r="O1353" s="21">
        <v>0.68172035203634462</v>
      </c>
      <c r="P1353" s="1">
        <v>0</v>
      </c>
      <c r="Q1353" s="1" t="s">
        <v>1589</v>
      </c>
      <c r="R1353" s="55">
        <v>10</v>
      </c>
      <c r="S1353" s="55">
        <v>0.6</v>
      </c>
    </row>
    <row r="1354" spans="1:19" x14ac:dyDescent="0.3">
      <c r="A1354" s="1" t="s">
        <v>82</v>
      </c>
      <c r="B1354" s="1" t="s">
        <v>1591</v>
      </c>
      <c r="C1354" s="35" t="s">
        <v>1950</v>
      </c>
      <c r="D1354" s="8">
        <v>101.97585511392207</v>
      </c>
      <c r="E1354" s="39" t="s">
        <v>1950</v>
      </c>
      <c r="F1354" s="8">
        <v>102.17000312880624</v>
      </c>
      <c r="G1354" s="35" t="s">
        <v>1950</v>
      </c>
      <c r="H1354" s="8">
        <v>94.390752980746669</v>
      </c>
      <c r="I1354" s="37" t="s">
        <v>1950</v>
      </c>
      <c r="J1354" s="1">
        <v>1995</v>
      </c>
      <c r="K1354" s="1" t="s">
        <v>19</v>
      </c>
      <c r="L1354" s="1" t="s">
        <v>1599</v>
      </c>
      <c r="M1354" s="6">
        <v>256082</v>
      </c>
      <c r="N1354" s="54">
        <v>190744</v>
      </c>
      <c r="O1354" s="21">
        <v>0.53285805276508247</v>
      </c>
      <c r="P1354" s="1">
        <v>0</v>
      </c>
      <c r="Q1354" s="1" t="s">
        <v>1589</v>
      </c>
      <c r="R1354" s="55">
        <v>1</v>
      </c>
      <c r="S1354" s="53">
        <v>0</v>
      </c>
    </row>
    <row r="1355" spans="1:19" x14ac:dyDescent="0.3">
      <c r="A1355" s="1" t="s">
        <v>82</v>
      </c>
      <c r="B1355" s="1" t="s">
        <v>1591</v>
      </c>
      <c r="C1355" s="35" t="s">
        <v>1950</v>
      </c>
      <c r="D1355" s="8">
        <v>107</v>
      </c>
      <c r="E1355" s="39" t="s">
        <v>1950</v>
      </c>
      <c r="F1355" s="8">
        <v>98</v>
      </c>
      <c r="G1355" s="35" t="s">
        <v>1950</v>
      </c>
      <c r="H1355" s="8">
        <v>94</v>
      </c>
      <c r="I1355" s="37" t="s">
        <v>1950</v>
      </c>
      <c r="J1355" s="1">
        <v>2005</v>
      </c>
      <c r="K1355" s="1" t="s">
        <v>19</v>
      </c>
      <c r="L1355" s="1" t="s">
        <v>1818</v>
      </c>
      <c r="M1355" s="6">
        <v>130424</v>
      </c>
      <c r="N1355" s="54">
        <v>8098</v>
      </c>
      <c r="O1355" s="21">
        <v>3.1622683359236493E-2</v>
      </c>
      <c r="P1355" s="1">
        <v>0</v>
      </c>
      <c r="Q1355" s="1" t="s">
        <v>1589</v>
      </c>
      <c r="R1355" s="53">
        <v>0</v>
      </c>
      <c r="S1355" s="53">
        <v>0</v>
      </c>
    </row>
    <row r="1356" spans="1:19" x14ac:dyDescent="0.3">
      <c r="A1356" s="1" t="s">
        <v>82</v>
      </c>
      <c r="B1356" s="1" t="s">
        <v>1591</v>
      </c>
      <c r="C1356" s="35" t="s">
        <v>1950</v>
      </c>
      <c r="D1356" s="8">
        <v>75.42998604551309</v>
      </c>
      <c r="E1356" s="39" t="s">
        <v>1950</v>
      </c>
      <c r="F1356" s="8">
        <v>74.679399497025088</v>
      </c>
      <c r="G1356" s="35" t="s">
        <v>1950</v>
      </c>
      <c r="H1356" s="8">
        <v>76.528614365454217</v>
      </c>
      <c r="I1356" s="37" t="s">
        <v>1950</v>
      </c>
      <c r="J1356" s="1">
        <v>2004</v>
      </c>
      <c r="K1356" s="1" t="s">
        <v>19</v>
      </c>
      <c r="L1356" s="1" t="s">
        <v>1924</v>
      </c>
      <c r="M1356" s="6">
        <v>364287</v>
      </c>
      <c r="N1356" s="54">
        <v>71430</v>
      </c>
      <c r="O1356" s="21">
        <v>0.54767527448935782</v>
      </c>
      <c r="P1356" s="1">
        <v>0</v>
      </c>
      <c r="Q1356" s="1" t="s">
        <v>1589</v>
      </c>
      <c r="R1356" s="55">
        <v>5</v>
      </c>
      <c r="S1356" s="55">
        <v>0.57399999999999995</v>
      </c>
    </row>
    <row r="1357" spans="1:19" x14ac:dyDescent="0.3">
      <c r="A1357" s="1" t="s">
        <v>82</v>
      </c>
      <c r="B1357" s="1" t="s">
        <v>1591</v>
      </c>
      <c r="C1357" s="35" t="s">
        <v>1950</v>
      </c>
      <c r="D1357" s="8">
        <v>60.877858705680765</v>
      </c>
      <c r="E1357" s="39" t="s">
        <v>1950</v>
      </c>
      <c r="F1357" s="8">
        <v>59.239277975484384</v>
      </c>
      <c r="G1357" s="35" t="s">
        <v>1950</v>
      </c>
      <c r="H1357" s="8">
        <v>62.617447212336899</v>
      </c>
      <c r="I1357" s="37" t="s">
        <v>1950</v>
      </c>
      <c r="J1357" s="1">
        <v>1963</v>
      </c>
      <c r="K1357" s="1" t="s">
        <v>21</v>
      </c>
      <c r="L1357" s="1" t="s">
        <v>1599</v>
      </c>
      <c r="M1357" s="6">
        <v>4930</v>
      </c>
      <c r="N1357" s="54">
        <v>154343</v>
      </c>
      <c r="O1357" s="21">
        <v>0.42368517130723854</v>
      </c>
      <c r="P1357" s="1">
        <v>0</v>
      </c>
      <c r="Q1357" s="1" t="s">
        <v>1589</v>
      </c>
      <c r="R1357" s="55">
        <v>7</v>
      </c>
      <c r="S1357" s="55">
        <v>0.7</v>
      </c>
    </row>
    <row r="1358" spans="1:19" x14ac:dyDescent="0.3">
      <c r="A1358" s="1" t="s">
        <v>82</v>
      </c>
      <c r="B1358" s="1" t="s">
        <v>1591</v>
      </c>
      <c r="C1358" s="35" t="s">
        <v>1950</v>
      </c>
      <c r="D1358" s="35">
        <v>0</v>
      </c>
      <c r="E1358" s="39" t="s">
        <v>1950</v>
      </c>
      <c r="F1358" s="37">
        <v>0</v>
      </c>
      <c r="G1358" s="35" t="s">
        <v>1950</v>
      </c>
      <c r="H1358" s="37">
        <v>0</v>
      </c>
      <c r="I1358" s="37" t="s">
        <v>1950</v>
      </c>
      <c r="J1358" s="1">
        <v>2004</v>
      </c>
      <c r="K1358" s="1" t="s">
        <v>21</v>
      </c>
      <c r="L1358" s="1" t="s">
        <v>1601</v>
      </c>
      <c r="M1358" s="6">
        <v>11587</v>
      </c>
      <c r="N1358" s="54">
        <v>2053</v>
      </c>
      <c r="O1358" s="21">
        <v>0.41643002028397563</v>
      </c>
      <c r="P1358" s="1">
        <v>0</v>
      </c>
      <c r="Q1358" s="1" t="s">
        <v>28</v>
      </c>
      <c r="R1358" s="53">
        <v>0</v>
      </c>
      <c r="S1358" s="53">
        <v>0</v>
      </c>
    </row>
    <row r="1359" spans="1:19" x14ac:dyDescent="0.3">
      <c r="A1359" s="1" t="s">
        <v>82</v>
      </c>
      <c r="B1359" s="1" t="s">
        <v>1591</v>
      </c>
      <c r="C1359" s="35" t="s">
        <v>1950</v>
      </c>
      <c r="D1359" s="35">
        <v>0</v>
      </c>
      <c r="E1359" s="39" t="s">
        <v>1950</v>
      </c>
      <c r="F1359" s="37">
        <v>0</v>
      </c>
      <c r="G1359" s="35" t="s">
        <v>1950</v>
      </c>
      <c r="H1359" s="37">
        <v>0</v>
      </c>
      <c r="I1359" s="37" t="s">
        <v>1950</v>
      </c>
      <c r="J1359" s="1">
        <v>2004</v>
      </c>
      <c r="K1359" s="1" t="s">
        <v>19</v>
      </c>
      <c r="L1359" s="1" t="s">
        <v>1600</v>
      </c>
      <c r="M1359" s="6">
        <v>25000</v>
      </c>
      <c r="N1359" s="54">
        <v>6305</v>
      </c>
      <c r="O1359" s="21">
        <v>0.54414429964615518</v>
      </c>
      <c r="P1359" s="1">
        <v>0</v>
      </c>
      <c r="Q1359" s="1" t="s">
        <v>1589</v>
      </c>
      <c r="R1359" s="55">
        <v>7</v>
      </c>
      <c r="S1359" s="53">
        <v>0</v>
      </c>
    </row>
    <row r="1360" spans="1:19" x14ac:dyDescent="0.3">
      <c r="A1360" s="1" t="s">
        <v>82</v>
      </c>
      <c r="B1360" s="1" t="s">
        <v>86</v>
      </c>
      <c r="C1360" s="35" t="s">
        <v>1950</v>
      </c>
      <c r="D1360" s="8">
        <v>102.73756</v>
      </c>
      <c r="E1360" s="39" t="s">
        <v>1950</v>
      </c>
      <c r="F1360" s="8">
        <v>78.802880000000002</v>
      </c>
      <c r="G1360" s="35" t="s">
        <v>1950</v>
      </c>
      <c r="H1360" s="8">
        <v>212.91983999999999</v>
      </c>
      <c r="I1360" s="37" t="s">
        <v>1950</v>
      </c>
      <c r="J1360" s="1">
        <v>2005</v>
      </c>
      <c r="K1360" s="1" t="s">
        <v>21</v>
      </c>
      <c r="L1360" s="35" t="s">
        <v>1950</v>
      </c>
      <c r="M1360" s="6">
        <v>9642</v>
      </c>
      <c r="N1360" s="54">
        <v>19000</v>
      </c>
      <c r="O1360" s="21">
        <v>0.76</v>
      </c>
      <c r="P1360" s="1">
        <v>0</v>
      </c>
      <c r="Q1360" s="1" t="s">
        <v>28</v>
      </c>
      <c r="R1360" s="53">
        <v>0</v>
      </c>
      <c r="S1360" s="53">
        <v>0</v>
      </c>
    </row>
    <row r="1361" spans="1:19" x14ac:dyDescent="0.3">
      <c r="A1361" s="1" t="s">
        <v>82</v>
      </c>
      <c r="B1361" s="1" t="s">
        <v>86</v>
      </c>
      <c r="C1361" s="35" t="s">
        <v>1950</v>
      </c>
      <c r="D1361" s="8">
        <v>178.19061501763119</v>
      </c>
      <c r="E1361" s="39" t="s">
        <v>1950</v>
      </c>
      <c r="F1361" s="8">
        <v>197.17819643227548</v>
      </c>
      <c r="G1361" s="35" t="s">
        <v>1950</v>
      </c>
      <c r="H1361" s="8">
        <v>209.50978116573324</v>
      </c>
      <c r="I1361" s="37" t="s">
        <v>1950</v>
      </c>
      <c r="J1361" s="1">
        <v>1998</v>
      </c>
      <c r="K1361" s="35" t="s">
        <v>1950</v>
      </c>
      <c r="L1361" s="1" t="s">
        <v>1601</v>
      </c>
      <c r="M1361" s="6">
        <v>5656</v>
      </c>
      <c r="N1361" s="54">
        <v>9205</v>
      </c>
      <c r="O1361" s="21">
        <v>0.95467745281062022</v>
      </c>
      <c r="P1361" s="1">
        <v>0</v>
      </c>
      <c r="Q1361" s="1" t="s">
        <v>28</v>
      </c>
      <c r="R1361" s="53">
        <v>0</v>
      </c>
      <c r="S1361" s="53">
        <v>0</v>
      </c>
    </row>
    <row r="1362" spans="1:19" x14ac:dyDescent="0.3">
      <c r="A1362" s="1" t="s">
        <v>82</v>
      </c>
      <c r="B1362" s="1" t="s">
        <v>86</v>
      </c>
      <c r="C1362" s="35" t="s">
        <v>1950</v>
      </c>
      <c r="D1362" s="8">
        <v>181.66129773691657</v>
      </c>
      <c r="E1362" s="39" t="s">
        <v>1950</v>
      </c>
      <c r="F1362" s="8">
        <v>175.92546852899574</v>
      </c>
      <c r="G1362" s="35" t="s">
        <v>1950</v>
      </c>
      <c r="H1362" s="8">
        <v>189.05993635077795</v>
      </c>
      <c r="I1362" s="37" t="s">
        <v>1950</v>
      </c>
      <c r="J1362" s="1">
        <v>1976</v>
      </c>
      <c r="K1362" s="1" t="s">
        <v>25</v>
      </c>
      <c r="L1362" s="35" t="s">
        <v>1950</v>
      </c>
      <c r="M1362" s="6">
        <v>5378</v>
      </c>
      <c r="N1362" s="54">
        <v>5656</v>
      </c>
      <c r="O1362" s="21">
        <v>1</v>
      </c>
      <c r="P1362" s="1">
        <v>0</v>
      </c>
      <c r="Q1362" s="1" t="s">
        <v>1589</v>
      </c>
      <c r="R1362" s="55">
        <v>8</v>
      </c>
      <c r="S1362" s="55">
        <v>0.56999999999999995</v>
      </c>
    </row>
    <row r="1363" spans="1:19" x14ac:dyDescent="0.3">
      <c r="A1363" s="1" t="s">
        <v>82</v>
      </c>
      <c r="B1363" s="1" t="s">
        <v>86</v>
      </c>
      <c r="C1363" s="35" t="s">
        <v>1950</v>
      </c>
      <c r="D1363" s="8">
        <v>138.88248419486797</v>
      </c>
      <c r="E1363" s="39" t="s">
        <v>1950</v>
      </c>
      <c r="F1363" s="8">
        <v>143.85552249907028</v>
      </c>
      <c r="G1363" s="35" t="s">
        <v>1950</v>
      </c>
      <c r="H1363" s="8">
        <v>172.03421346225363</v>
      </c>
      <c r="I1363" s="37" t="s">
        <v>1950</v>
      </c>
      <c r="J1363" s="1">
        <v>2014</v>
      </c>
      <c r="K1363" s="35" t="s">
        <v>1950</v>
      </c>
      <c r="L1363" s="1" t="s">
        <v>1601</v>
      </c>
      <c r="M1363" s="6">
        <v>35823</v>
      </c>
      <c r="N1363" s="54">
        <v>5378</v>
      </c>
      <c r="O1363" s="21">
        <v>1</v>
      </c>
      <c r="P1363" s="1">
        <v>5</v>
      </c>
      <c r="Q1363" s="1" t="s">
        <v>28</v>
      </c>
      <c r="R1363" s="53">
        <v>0</v>
      </c>
      <c r="S1363" s="53">
        <v>0</v>
      </c>
    </row>
    <row r="1364" spans="1:19" x14ac:dyDescent="0.3">
      <c r="A1364" s="1" t="s">
        <v>82</v>
      </c>
      <c r="B1364" s="1" t="s">
        <v>86</v>
      </c>
      <c r="C1364" s="35" t="s">
        <v>1950</v>
      </c>
      <c r="D1364" s="8">
        <v>131.92549842280098</v>
      </c>
      <c r="E1364" s="39" t="s">
        <v>1950</v>
      </c>
      <c r="F1364" s="8">
        <v>158.03261033414287</v>
      </c>
      <c r="G1364" s="35" t="s">
        <v>1950</v>
      </c>
      <c r="H1364" s="8">
        <v>146.20882673142953</v>
      </c>
      <c r="I1364" s="37" t="s">
        <v>1950</v>
      </c>
      <c r="J1364" s="1">
        <v>2007</v>
      </c>
      <c r="K1364" s="1" t="s">
        <v>25</v>
      </c>
      <c r="L1364" s="1" t="s">
        <v>1818</v>
      </c>
      <c r="M1364" s="6">
        <v>29577</v>
      </c>
      <c r="N1364" s="54">
        <v>20823</v>
      </c>
      <c r="O1364" s="21">
        <v>0.58127460011724308</v>
      </c>
      <c r="P1364" s="1">
        <v>0</v>
      </c>
      <c r="Q1364" s="1" t="s">
        <v>1589</v>
      </c>
      <c r="R1364" s="55">
        <v>12</v>
      </c>
      <c r="S1364" s="55">
        <v>1.06</v>
      </c>
    </row>
    <row r="1365" spans="1:19" x14ac:dyDescent="0.3">
      <c r="A1365" s="1" t="s">
        <v>82</v>
      </c>
      <c r="B1365" s="1" t="s">
        <v>86</v>
      </c>
      <c r="C1365" s="35" t="s">
        <v>1950</v>
      </c>
      <c r="D1365" s="8">
        <v>131.40616458734829</v>
      </c>
      <c r="E1365" s="39" t="s">
        <v>1950</v>
      </c>
      <c r="F1365" s="8">
        <v>136.64798661121819</v>
      </c>
      <c r="G1365" s="35" t="s">
        <v>1950</v>
      </c>
      <c r="H1365" s="8">
        <v>143.59943976738683</v>
      </c>
      <c r="I1365" s="37" t="s">
        <v>1950</v>
      </c>
      <c r="J1365" s="1">
        <v>2013</v>
      </c>
      <c r="K1365" s="1" t="s">
        <v>19</v>
      </c>
      <c r="L1365" s="1" t="s">
        <v>1599</v>
      </c>
      <c r="M1365" s="6">
        <v>29887</v>
      </c>
      <c r="N1365" s="54">
        <v>202800</v>
      </c>
      <c r="O1365" s="21">
        <v>6.8566791763870576</v>
      </c>
      <c r="P1365" s="1">
        <v>0</v>
      </c>
      <c r="Q1365" s="1" t="s">
        <v>1589</v>
      </c>
      <c r="R1365" s="55">
        <v>10</v>
      </c>
      <c r="S1365" s="53">
        <v>0</v>
      </c>
    </row>
    <row r="1366" spans="1:19" x14ac:dyDescent="0.3">
      <c r="A1366" s="1" t="s">
        <v>82</v>
      </c>
      <c r="B1366" s="1" t="s">
        <v>86</v>
      </c>
      <c r="C1366" s="35" t="s">
        <v>1950</v>
      </c>
      <c r="D1366" s="8">
        <v>129.7822548265132</v>
      </c>
      <c r="E1366" s="39" t="s">
        <v>1950</v>
      </c>
      <c r="F1366" s="8">
        <v>137.89487904440057</v>
      </c>
      <c r="G1366" s="35" t="s">
        <v>1950</v>
      </c>
      <c r="H1366" s="8">
        <v>132.63517582895574</v>
      </c>
      <c r="I1366" s="37" t="s">
        <v>1950</v>
      </c>
      <c r="J1366" s="1">
        <v>1999</v>
      </c>
      <c r="K1366" s="1" t="s">
        <v>19</v>
      </c>
      <c r="L1366" s="35" t="s">
        <v>1950</v>
      </c>
      <c r="M1366" s="6">
        <v>6600</v>
      </c>
      <c r="N1366" s="54">
        <v>15862</v>
      </c>
      <c r="O1366" s="21">
        <v>0.53073242546926758</v>
      </c>
      <c r="P1366" s="1">
        <v>133</v>
      </c>
      <c r="Q1366" s="1" t="s">
        <v>1589</v>
      </c>
      <c r="R1366" s="55">
        <v>8</v>
      </c>
      <c r="S1366" s="55">
        <v>0.52</v>
      </c>
    </row>
    <row r="1367" spans="1:19" x14ac:dyDescent="0.3">
      <c r="A1367" s="1" t="s">
        <v>82</v>
      </c>
      <c r="B1367" s="1" t="s">
        <v>86</v>
      </c>
      <c r="C1367" s="35" t="s">
        <v>1950</v>
      </c>
      <c r="D1367" s="8">
        <v>109.6641212121212</v>
      </c>
      <c r="E1367" s="39" t="s">
        <v>1950</v>
      </c>
      <c r="F1367" s="8">
        <v>116.38490606060606</v>
      </c>
      <c r="G1367" s="35" t="s">
        <v>1950</v>
      </c>
      <c r="H1367" s="8">
        <v>115.04555151515152</v>
      </c>
      <c r="I1367" s="37" t="s">
        <v>1950</v>
      </c>
      <c r="J1367" s="1">
        <v>2013</v>
      </c>
      <c r="K1367" s="35" t="s">
        <v>1950</v>
      </c>
      <c r="L1367" s="35" t="s">
        <v>1950</v>
      </c>
      <c r="M1367" s="6">
        <v>9384</v>
      </c>
      <c r="N1367" s="54">
        <v>7000</v>
      </c>
      <c r="O1367" s="21">
        <v>1.0606060606060606</v>
      </c>
      <c r="P1367" s="1">
        <v>0</v>
      </c>
      <c r="Q1367" s="1" t="s">
        <v>28</v>
      </c>
      <c r="R1367" s="53">
        <v>0</v>
      </c>
      <c r="S1367" s="53">
        <v>0</v>
      </c>
    </row>
    <row r="1368" spans="1:19" x14ac:dyDescent="0.3">
      <c r="A1368" s="1" t="s">
        <v>82</v>
      </c>
      <c r="B1368" s="1" t="s">
        <v>86</v>
      </c>
      <c r="C1368" s="35" t="s">
        <v>1950</v>
      </c>
      <c r="D1368" s="8">
        <v>116.16120524296676</v>
      </c>
      <c r="E1368" s="39" t="s">
        <v>1950</v>
      </c>
      <c r="F1368" s="8">
        <v>127.59899296675191</v>
      </c>
      <c r="G1368" s="35" t="s">
        <v>1950</v>
      </c>
      <c r="H1368" s="8">
        <v>108.45812020460357</v>
      </c>
      <c r="I1368" s="37" t="s">
        <v>1950</v>
      </c>
      <c r="J1368" s="1">
        <v>1951</v>
      </c>
      <c r="K1368" s="35" t="s">
        <v>1950</v>
      </c>
      <c r="L1368" s="35" t="s">
        <v>1950</v>
      </c>
      <c r="M1368" s="6">
        <v>10430</v>
      </c>
      <c r="N1368" s="54">
        <v>9384</v>
      </c>
      <c r="O1368" s="21">
        <v>1</v>
      </c>
      <c r="P1368" s="1">
        <v>0</v>
      </c>
      <c r="Q1368" s="1" t="s">
        <v>1821</v>
      </c>
      <c r="R1368" s="53">
        <v>0</v>
      </c>
      <c r="S1368" s="53">
        <v>0</v>
      </c>
    </row>
    <row r="1369" spans="1:19" x14ac:dyDescent="0.3">
      <c r="A1369" s="1" t="s">
        <v>82</v>
      </c>
      <c r="B1369" s="1" t="s">
        <v>86</v>
      </c>
      <c r="C1369" s="35" t="s">
        <v>1950</v>
      </c>
      <c r="D1369" s="8">
        <v>88.522550335570472</v>
      </c>
      <c r="E1369" s="39" t="s">
        <v>1950</v>
      </c>
      <c r="F1369" s="8">
        <v>87.591860019175456</v>
      </c>
      <c r="G1369" s="35" t="s">
        <v>1950</v>
      </c>
      <c r="H1369" s="8">
        <v>90.016581975071901</v>
      </c>
      <c r="I1369" s="37" t="s">
        <v>1950</v>
      </c>
      <c r="J1369" s="1">
        <v>2006</v>
      </c>
      <c r="K1369" s="35" t="s">
        <v>1950</v>
      </c>
      <c r="L1369" s="35" t="s">
        <v>1950</v>
      </c>
      <c r="M1369" s="6">
        <v>5570</v>
      </c>
      <c r="N1369" s="54">
        <v>7273</v>
      </c>
      <c r="O1369" s="21">
        <v>0.69731543624161074</v>
      </c>
      <c r="P1369" s="1">
        <v>138</v>
      </c>
      <c r="Q1369" s="1" t="s">
        <v>28</v>
      </c>
      <c r="R1369" s="53">
        <v>0</v>
      </c>
      <c r="S1369" s="53">
        <v>0</v>
      </c>
    </row>
    <row r="1370" spans="1:19" x14ac:dyDescent="0.3">
      <c r="A1370" s="1" t="s">
        <v>82</v>
      </c>
      <c r="B1370" s="1" t="s">
        <v>86</v>
      </c>
      <c r="C1370" s="35" t="s">
        <v>1950</v>
      </c>
      <c r="D1370" s="8">
        <v>91.74069120287254</v>
      </c>
      <c r="E1370" s="39" t="s">
        <v>1950</v>
      </c>
      <c r="F1370" s="8">
        <v>85.235565529622974</v>
      </c>
      <c r="G1370" s="35" t="s">
        <v>1950</v>
      </c>
      <c r="H1370" s="8">
        <v>80.165915619389594</v>
      </c>
      <c r="I1370" s="37" t="s">
        <v>1950</v>
      </c>
      <c r="J1370" s="1">
        <v>1995</v>
      </c>
      <c r="K1370" s="35" t="s">
        <v>1950</v>
      </c>
      <c r="L1370" s="35" t="s">
        <v>1950</v>
      </c>
      <c r="M1370" s="6">
        <v>9093.4</v>
      </c>
      <c r="N1370" s="54">
        <v>2785</v>
      </c>
      <c r="O1370" s="21">
        <v>0.5</v>
      </c>
      <c r="P1370" s="1">
        <v>0</v>
      </c>
      <c r="Q1370" s="1" t="s">
        <v>28</v>
      </c>
      <c r="R1370" s="53">
        <v>0</v>
      </c>
      <c r="S1370" s="53">
        <v>0</v>
      </c>
    </row>
    <row r="1371" spans="1:19" x14ac:dyDescent="0.3">
      <c r="A1371" s="1" t="s">
        <v>82</v>
      </c>
      <c r="B1371" s="1" t="s">
        <v>86</v>
      </c>
      <c r="C1371" s="35" t="s">
        <v>1950</v>
      </c>
      <c r="D1371" s="35">
        <v>0</v>
      </c>
      <c r="E1371" s="39" t="s">
        <v>1950</v>
      </c>
      <c r="F1371" s="37">
        <v>0</v>
      </c>
      <c r="G1371" s="35" t="s">
        <v>1950</v>
      </c>
      <c r="H1371" s="8">
        <v>76.209292453867633</v>
      </c>
      <c r="I1371" s="37" t="s">
        <v>1950</v>
      </c>
      <c r="J1371" s="1">
        <v>2022</v>
      </c>
      <c r="K1371" s="35" t="s">
        <v>1950</v>
      </c>
      <c r="L1371" s="35" t="s">
        <v>1950</v>
      </c>
      <c r="M1371" s="6">
        <v>7778</v>
      </c>
      <c r="N1371" s="54">
        <v>7867</v>
      </c>
      <c r="O1371" s="21">
        <v>0.86513295357072162</v>
      </c>
      <c r="P1371" s="1">
        <v>0</v>
      </c>
      <c r="Q1371" s="1" t="s">
        <v>1590</v>
      </c>
      <c r="R1371" s="53">
        <v>0</v>
      </c>
      <c r="S1371" s="53">
        <v>0</v>
      </c>
    </row>
    <row r="1372" spans="1:19" x14ac:dyDescent="0.3">
      <c r="A1372" s="1" t="s">
        <v>82</v>
      </c>
      <c r="B1372" s="1" t="s">
        <v>86</v>
      </c>
      <c r="C1372" s="35" t="s">
        <v>1950</v>
      </c>
      <c r="D1372" s="8">
        <v>65.527144510156859</v>
      </c>
      <c r="E1372" s="39" t="s">
        <v>1950</v>
      </c>
      <c r="F1372" s="8">
        <v>60.324002314219598</v>
      </c>
      <c r="G1372" s="35" t="s">
        <v>1950</v>
      </c>
      <c r="H1372" s="8">
        <v>69.384372589354598</v>
      </c>
      <c r="I1372" s="37" t="s">
        <v>1950</v>
      </c>
      <c r="J1372" s="1">
        <v>2006</v>
      </c>
      <c r="K1372" s="35" t="s">
        <v>1950</v>
      </c>
      <c r="L1372" s="1" t="s">
        <v>1783</v>
      </c>
      <c r="M1372" s="6">
        <v>77641</v>
      </c>
      <c r="N1372" s="54">
        <v>7778</v>
      </c>
      <c r="O1372" s="21">
        <v>1</v>
      </c>
      <c r="P1372" s="1">
        <v>0</v>
      </c>
      <c r="Q1372" s="1" t="s">
        <v>28</v>
      </c>
      <c r="R1372" s="53">
        <v>0</v>
      </c>
      <c r="S1372" s="53">
        <v>0</v>
      </c>
    </row>
    <row r="1373" spans="1:19" x14ac:dyDescent="0.3">
      <c r="A1373" s="1" t="s">
        <v>82</v>
      </c>
      <c r="B1373" s="1" t="s">
        <v>86</v>
      </c>
      <c r="C1373" s="35" t="s">
        <v>1950</v>
      </c>
      <c r="D1373" s="8">
        <v>62.068327301296996</v>
      </c>
      <c r="E1373" s="39" t="s">
        <v>1950</v>
      </c>
      <c r="F1373" s="8">
        <v>68.254124753673963</v>
      </c>
      <c r="G1373" s="35" t="s">
        <v>1950</v>
      </c>
      <c r="H1373" s="8">
        <v>66.594026352056261</v>
      </c>
      <c r="I1373" s="37" t="s">
        <v>1950</v>
      </c>
      <c r="J1373" s="1">
        <v>2011</v>
      </c>
      <c r="K1373" s="1" t="s">
        <v>19</v>
      </c>
      <c r="L1373" s="1" t="s">
        <v>1783</v>
      </c>
      <c r="M1373" s="6">
        <v>87829</v>
      </c>
      <c r="N1373" s="54">
        <v>76000</v>
      </c>
      <c r="O1373" s="21">
        <v>0.97886425986270142</v>
      </c>
      <c r="P1373" s="1">
        <v>0</v>
      </c>
      <c r="Q1373" s="1" t="s">
        <v>1589</v>
      </c>
      <c r="R1373" s="55">
        <v>13</v>
      </c>
      <c r="S1373" s="55">
        <v>0.57999999999999996</v>
      </c>
    </row>
    <row r="1374" spans="1:19" x14ac:dyDescent="0.3">
      <c r="A1374" s="1" t="s">
        <v>82</v>
      </c>
      <c r="B1374" s="1" t="s">
        <v>86</v>
      </c>
      <c r="C1374" s="35" t="s">
        <v>1950</v>
      </c>
      <c r="D1374" s="8">
        <v>55.980981566452989</v>
      </c>
      <c r="E1374" s="39" t="s">
        <v>1950</v>
      </c>
      <c r="F1374" s="8">
        <v>59.936474285258853</v>
      </c>
      <c r="G1374" s="35" t="s">
        <v>1950</v>
      </c>
      <c r="H1374" s="8">
        <v>58.284225028179762</v>
      </c>
      <c r="I1374" s="37" t="s">
        <v>1950</v>
      </c>
      <c r="J1374" s="1">
        <v>1900</v>
      </c>
      <c r="K1374" s="1" t="s">
        <v>19</v>
      </c>
      <c r="L1374" s="35" t="s">
        <v>1950</v>
      </c>
      <c r="M1374" s="6">
        <v>25198</v>
      </c>
      <c r="N1374" s="54">
        <v>50000</v>
      </c>
      <c r="O1374" s="21">
        <v>0.56928804836671254</v>
      </c>
      <c r="P1374" s="1">
        <v>0</v>
      </c>
      <c r="Q1374" s="1" t="s">
        <v>1589</v>
      </c>
      <c r="R1374" s="55">
        <v>13</v>
      </c>
      <c r="S1374" s="55">
        <v>0.63</v>
      </c>
    </row>
    <row r="1375" spans="1:19" x14ac:dyDescent="0.3">
      <c r="A1375" s="1" t="s">
        <v>82</v>
      </c>
      <c r="B1375" s="1" t="s">
        <v>86</v>
      </c>
      <c r="C1375" s="35" t="s">
        <v>1950</v>
      </c>
      <c r="D1375" s="8">
        <v>96.217914120168274</v>
      </c>
      <c r="E1375" s="39" t="s">
        <v>1950</v>
      </c>
      <c r="F1375" s="8">
        <v>68.408107786332252</v>
      </c>
      <c r="G1375" s="35" t="s">
        <v>1950</v>
      </c>
      <c r="H1375" s="8">
        <v>57.622533534407495</v>
      </c>
      <c r="I1375" s="37" t="s">
        <v>1950</v>
      </c>
      <c r="J1375" s="1">
        <v>2004</v>
      </c>
      <c r="K1375" s="35" t="s">
        <v>1950</v>
      </c>
      <c r="L1375" s="35" t="s">
        <v>1950</v>
      </c>
      <c r="M1375" s="6">
        <v>10999</v>
      </c>
      <c r="N1375" s="54">
        <v>17782</v>
      </c>
      <c r="O1375" s="21">
        <v>0.70569092785141674</v>
      </c>
      <c r="P1375" s="1">
        <v>0</v>
      </c>
      <c r="Q1375" s="1" t="s">
        <v>1590</v>
      </c>
      <c r="R1375" s="53">
        <v>0</v>
      </c>
      <c r="S1375" s="53">
        <v>0</v>
      </c>
    </row>
    <row r="1376" spans="1:19" x14ac:dyDescent="0.3">
      <c r="A1376" s="1" t="s">
        <v>82</v>
      </c>
      <c r="B1376" s="1" t="s">
        <v>86</v>
      </c>
      <c r="C1376" s="35" t="s">
        <v>1950</v>
      </c>
      <c r="D1376" s="8">
        <v>44.197232475679606</v>
      </c>
      <c r="E1376" s="39" t="s">
        <v>1950</v>
      </c>
      <c r="F1376" s="8">
        <v>42.083251204654971</v>
      </c>
      <c r="G1376" s="35" t="s">
        <v>1950</v>
      </c>
      <c r="H1376" s="8">
        <v>45.320600054550418</v>
      </c>
      <c r="I1376" s="37" t="s">
        <v>1950</v>
      </c>
      <c r="J1376" s="1">
        <v>2012</v>
      </c>
      <c r="K1376" s="35" t="s">
        <v>1950</v>
      </c>
      <c r="L1376" s="35" t="s">
        <v>1950</v>
      </c>
      <c r="M1376" s="6">
        <v>6997</v>
      </c>
      <c r="N1376" s="54">
        <v>4600</v>
      </c>
      <c r="O1376" s="21">
        <v>0.41821983816710612</v>
      </c>
      <c r="P1376" s="1">
        <v>0</v>
      </c>
      <c r="Q1376" s="1" t="s">
        <v>28</v>
      </c>
      <c r="R1376" s="53">
        <v>0</v>
      </c>
      <c r="S1376" s="53">
        <v>0</v>
      </c>
    </row>
    <row r="1377" spans="1:19" x14ac:dyDescent="0.3">
      <c r="A1377" s="1" t="s">
        <v>82</v>
      </c>
      <c r="B1377" s="1" t="s">
        <v>86</v>
      </c>
      <c r="C1377" s="35" t="s">
        <v>1950</v>
      </c>
      <c r="D1377" s="8">
        <v>38.792876947263117</v>
      </c>
      <c r="E1377" s="39" t="s">
        <v>1950</v>
      </c>
      <c r="F1377" s="8">
        <v>36.800245819636991</v>
      </c>
      <c r="G1377" s="35" t="s">
        <v>1950</v>
      </c>
      <c r="H1377" s="8">
        <v>40.601369158210666</v>
      </c>
      <c r="I1377" s="37" t="s">
        <v>1950</v>
      </c>
      <c r="J1377" s="1">
        <v>2003</v>
      </c>
      <c r="K1377" s="35" t="s">
        <v>1950</v>
      </c>
      <c r="L1377" s="1" t="s">
        <v>1601</v>
      </c>
      <c r="M1377" s="6">
        <v>15888</v>
      </c>
      <c r="N1377" s="54">
        <v>3437</v>
      </c>
      <c r="O1377" s="21">
        <v>0.49121051879376876</v>
      </c>
      <c r="P1377" s="1">
        <v>40</v>
      </c>
      <c r="Q1377" s="1" t="s">
        <v>28</v>
      </c>
      <c r="R1377" s="53">
        <v>0</v>
      </c>
      <c r="S1377" s="53">
        <v>0</v>
      </c>
    </row>
    <row r="1378" spans="1:19" x14ac:dyDescent="0.3">
      <c r="A1378" s="1" t="s">
        <v>82</v>
      </c>
      <c r="B1378" s="1" t="s">
        <v>86</v>
      </c>
      <c r="C1378" s="35" t="s">
        <v>1950</v>
      </c>
      <c r="D1378" s="8">
        <v>15.09308912386707</v>
      </c>
      <c r="E1378" s="39" t="s">
        <v>1950</v>
      </c>
      <c r="F1378" s="8">
        <v>20.821223564954682</v>
      </c>
      <c r="G1378" s="35" t="s">
        <v>1950</v>
      </c>
      <c r="H1378" s="8">
        <v>40.580324773413892</v>
      </c>
      <c r="I1378" s="37" t="s">
        <v>1950</v>
      </c>
      <c r="J1378" s="1">
        <v>2019</v>
      </c>
      <c r="K1378" s="1" t="s">
        <v>25</v>
      </c>
      <c r="L1378" s="35" t="s">
        <v>1950</v>
      </c>
      <c r="M1378" s="35">
        <v>0</v>
      </c>
      <c r="N1378" s="54">
        <v>9207</v>
      </c>
      <c r="O1378" s="21">
        <v>0.57949395770392753</v>
      </c>
      <c r="P1378" s="1">
        <v>0</v>
      </c>
      <c r="Q1378" s="1" t="s">
        <v>28</v>
      </c>
      <c r="R1378" s="53">
        <v>0</v>
      </c>
      <c r="S1378" s="53">
        <v>0</v>
      </c>
    </row>
    <row r="1379" spans="1:19" x14ac:dyDescent="0.3">
      <c r="A1379" s="1" t="s">
        <v>56</v>
      </c>
      <c r="B1379" s="1" t="s">
        <v>400</v>
      </c>
      <c r="C1379" s="35" t="s">
        <v>1950</v>
      </c>
      <c r="D1379" s="8">
        <v>122.12228346456693</v>
      </c>
      <c r="E1379" s="39" t="s">
        <v>1950</v>
      </c>
      <c r="F1379" s="8">
        <v>806.92083727034128</v>
      </c>
      <c r="G1379" s="35" t="s">
        <v>1950</v>
      </c>
      <c r="H1379" s="8">
        <v>789.48724146981635</v>
      </c>
      <c r="I1379" s="37" t="s">
        <v>1950</v>
      </c>
      <c r="J1379" s="1">
        <v>1981</v>
      </c>
      <c r="K1379" s="35" t="s">
        <v>1950</v>
      </c>
      <c r="L1379" s="35" t="s">
        <v>1950</v>
      </c>
      <c r="M1379" s="6">
        <v>7620</v>
      </c>
      <c r="N1379" s="54">
        <v>1524</v>
      </c>
      <c r="O1379" s="21">
        <v>0.2</v>
      </c>
      <c r="P1379" s="1">
        <v>0</v>
      </c>
      <c r="Q1379" s="1" t="s">
        <v>28</v>
      </c>
      <c r="R1379" s="53">
        <v>0</v>
      </c>
      <c r="S1379" s="53">
        <v>0</v>
      </c>
    </row>
    <row r="1380" spans="1:19" x14ac:dyDescent="0.3">
      <c r="A1380" s="1" t="s">
        <v>56</v>
      </c>
      <c r="B1380" s="1" t="s">
        <v>400</v>
      </c>
      <c r="C1380" s="35" t="s">
        <v>1950</v>
      </c>
      <c r="D1380" s="8">
        <v>228.03637383953469</v>
      </c>
      <c r="E1380" s="39" t="s">
        <v>1950</v>
      </c>
      <c r="F1380" s="8">
        <v>258.9016893229238</v>
      </c>
      <c r="G1380" s="35" t="s">
        <v>1950</v>
      </c>
      <c r="H1380" s="8">
        <v>255.93654497805389</v>
      </c>
      <c r="I1380" s="37" t="s">
        <v>1950</v>
      </c>
      <c r="J1380" s="1">
        <v>2005</v>
      </c>
      <c r="K1380" s="1" t="s">
        <v>25</v>
      </c>
      <c r="L1380" s="1" t="s">
        <v>1599</v>
      </c>
      <c r="M1380" s="6">
        <v>6148</v>
      </c>
      <c r="N1380" s="54">
        <v>3000</v>
      </c>
      <c r="O1380" s="21">
        <v>0.48796356538711777</v>
      </c>
      <c r="P1380" s="1">
        <v>0</v>
      </c>
      <c r="Q1380" s="1" t="s">
        <v>28</v>
      </c>
      <c r="R1380" s="53">
        <v>0</v>
      </c>
      <c r="S1380" s="53">
        <v>0</v>
      </c>
    </row>
    <row r="1381" spans="1:19" x14ac:dyDescent="0.3">
      <c r="A1381" s="1" t="s">
        <v>56</v>
      </c>
      <c r="B1381" s="1" t="s">
        <v>400</v>
      </c>
      <c r="C1381" s="35" t="s">
        <v>1950</v>
      </c>
      <c r="D1381" s="8">
        <v>224.75166412213741</v>
      </c>
      <c r="E1381" s="39" t="s">
        <v>1950</v>
      </c>
      <c r="F1381" s="8">
        <v>216.50946183206108</v>
      </c>
      <c r="G1381" s="35" t="s">
        <v>1950</v>
      </c>
      <c r="H1381" s="8">
        <v>219.10574809160303</v>
      </c>
      <c r="I1381" s="37" t="s">
        <v>1950</v>
      </c>
      <c r="J1381" s="1">
        <v>1989</v>
      </c>
      <c r="K1381" s="35" t="s">
        <v>1950</v>
      </c>
      <c r="L1381" s="35" t="s">
        <v>1950</v>
      </c>
      <c r="M1381" s="6">
        <v>7860</v>
      </c>
      <c r="N1381" s="54">
        <v>6360</v>
      </c>
      <c r="O1381" s="21">
        <v>0.80916030534351147</v>
      </c>
      <c r="P1381" s="1">
        <v>0</v>
      </c>
      <c r="Q1381" s="1" t="s">
        <v>28</v>
      </c>
      <c r="R1381" s="53">
        <v>0</v>
      </c>
      <c r="S1381" s="53">
        <v>0</v>
      </c>
    </row>
    <row r="1382" spans="1:19" x14ac:dyDescent="0.3">
      <c r="A1382" s="1" t="s">
        <v>56</v>
      </c>
      <c r="B1382" s="1" t="s">
        <v>400</v>
      </c>
      <c r="C1382" s="35" t="s">
        <v>1950</v>
      </c>
      <c r="D1382" s="8">
        <v>246.6981858087459</v>
      </c>
      <c r="E1382" s="39" t="s">
        <v>1950</v>
      </c>
      <c r="F1382" s="8">
        <v>226.02643496138245</v>
      </c>
      <c r="G1382" s="35" t="s">
        <v>1950</v>
      </c>
      <c r="H1382" s="8">
        <v>203.14485747624605</v>
      </c>
      <c r="I1382" s="37" t="s">
        <v>1950</v>
      </c>
      <c r="J1382" s="1">
        <v>2000</v>
      </c>
      <c r="K1382" s="1" t="s">
        <v>25</v>
      </c>
      <c r="L1382" s="1" t="s">
        <v>1599</v>
      </c>
      <c r="M1382" s="6">
        <v>17997</v>
      </c>
      <c r="N1382" s="54">
        <v>15000</v>
      </c>
      <c r="O1382" s="21">
        <v>0.83347224537422904</v>
      </c>
      <c r="P1382" s="1">
        <v>0</v>
      </c>
      <c r="Q1382" s="1" t="s">
        <v>28</v>
      </c>
      <c r="R1382" s="53">
        <v>0</v>
      </c>
      <c r="S1382" s="53">
        <v>0</v>
      </c>
    </row>
    <row r="1383" spans="1:19" x14ac:dyDescent="0.3">
      <c r="A1383" s="1" t="s">
        <v>56</v>
      </c>
      <c r="B1383" s="1" t="s">
        <v>400</v>
      </c>
      <c r="C1383" s="35" t="s">
        <v>1950</v>
      </c>
      <c r="D1383" s="8">
        <v>0</v>
      </c>
      <c r="E1383" s="39" t="s">
        <v>1950</v>
      </c>
      <c r="F1383" s="8">
        <v>0</v>
      </c>
      <c r="G1383" s="35" t="s">
        <v>1950</v>
      </c>
      <c r="H1383" s="8">
        <v>196.02646384663473</v>
      </c>
      <c r="I1383" s="37" t="s">
        <v>1950</v>
      </c>
      <c r="J1383" s="1">
        <v>1999</v>
      </c>
      <c r="K1383" s="1" t="s">
        <v>25</v>
      </c>
      <c r="L1383" s="1" t="s">
        <v>1599</v>
      </c>
      <c r="M1383" s="6">
        <v>9598</v>
      </c>
      <c r="N1383" s="54">
        <v>5730</v>
      </c>
      <c r="O1383" s="21">
        <v>0.59699937486976451</v>
      </c>
      <c r="P1383" s="1">
        <v>0</v>
      </c>
      <c r="Q1383" s="1" t="s">
        <v>1590</v>
      </c>
      <c r="R1383" s="53">
        <v>0</v>
      </c>
      <c r="S1383" s="53">
        <v>0</v>
      </c>
    </row>
    <row r="1384" spans="1:19" x14ac:dyDescent="0.3">
      <c r="A1384" s="1" t="s">
        <v>56</v>
      </c>
      <c r="B1384" s="1" t="s">
        <v>400</v>
      </c>
      <c r="C1384" s="35" t="s">
        <v>1950</v>
      </c>
      <c r="D1384" s="8">
        <v>210.51629054680259</v>
      </c>
      <c r="E1384" s="39" t="s">
        <v>1950</v>
      </c>
      <c r="F1384" s="8">
        <v>196.67252780352177</v>
      </c>
      <c r="G1384" s="35" t="s">
        <v>1950</v>
      </c>
      <c r="H1384" s="8">
        <v>190.95231464318812</v>
      </c>
      <c r="I1384" s="37" t="s">
        <v>1950</v>
      </c>
      <c r="J1384" s="1">
        <v>1986</v>
      </c>
      <c r="K1384" s="1" t="s">
        <v>25</v>
      </c>
      <c r="L1384" s="1" t="s">
        <v>1599</v>
      </c>
      <c r="M1384" s="6">
        <v>8632</v>
      </c>
      <c r="N1384" s="54">
        <v>8632</v>
      </c>
      <c r="O1384" s="21">
        <v>1</v>
      </c>
      <c r="P1384" s="1">
        <v>0</v>
      </c>
      <c r="Q1384" s="1" t="s">
        <v>28</v>
      </c>
      <c r="R1384" s="53">
        <v>0</v>
      </c>
      <c r="S1384" s="53">
        <v>0</v>
      </c>
    </row>
    <row r="1385" spans="1:19" x14ac:dyDescent="0.3">
      <c r="A1385" s="1" t="s">
        <v>56</v>
      </c>
      <c r="B1385" s="1" t="s">
        <v>400</v>
      </c>
      <c r="C1385" s="35" t="s">
        <v>1950</v>
      </c>
      <c r="D1385" s="8">
        <v>192.52478615376918</v>
      </c>
      <c r="E1385" s="39" t="s">
        <v>1950</v>
      </c>
      <c r="F1385" s="8">
        <v>181.90150567755489</v>
      </c>
      <c r="G1385" s="35" t="s">
        <v>1950</v>
      </c>
      <c r="H1385" s="8">
        <v>177.98808213696162</v>
      </c>
      <c r="I1385" s="37" t="s">
        <v>1950</v>
      </c>
      <c r="J1385" s="1">
        <v>2006</v>
      </c>
      <c r="K1385" s="1" t="s">
        <v>19</v>
      </c>
      <c r="L1385" s="1" t="s">
        <v>1601</v>
      </c>
      <c r="M1385" s="6">
        <v>39982</v>
      </c>
      <c r="N1385" s="54">
        <v>13673</v>
      </c>
      <c r="O1385" s="21">
        <v>0.34197889050072533</v>
      </c>
      <c r="P1385" s="1">
        <v>0</v>
      </c>
      <c r="Q1385" s="1" t="s">
        <v>1589</v>
      </c>
      <c r="R1385" s="55">
        <v>2</v>
      </c>
      <c r="S1385" s="55">
        <v>0.62</v>
      </c>
    </row>
    <row r="1386" spans="1:19" x14ac:dyDescent="0.3">
      <c r="A1386" s="1" t="s">
        <v>56</v>
      </c>
      <c r="B1386" s="1" t="s">
        <v>400</v>
      </c>
      <c r="C1386" s="35" t="s">
        <v>1950</v>
      </c>
      <c r="D1386" s="8">
        <v>189.15699061555591</v>
      </c>
      <c r="E1386" s="39" t="s">
        <v>1950</v>
      </c>
      <c r="F1386" s="8">
        <v>165.42613885796086</v>
      </c>
      <c r="G1386" s="35" t="s">
        <v>1950</v>
      </c>
      <c r="H1386" s="8">
        <v>166.90356847463022</v>
      </c>
      <c r="I1386" s="37" t="s">
        <v>1950</v>
      </c>
      <c r="J1386" s="1">
        <v>1987</v>
      </c>
      <c r="K1386" s="1" t="s">
        <v>25</v>
      </c>
      <c r="L1386" s="1" t="s">
        <v>1599</v>
      </c>
      <c r="M1386" s="6">
        <v>12574</v>
      </c>
      <c r="N1386" s="54">
        <v>81731</v>
      </c>
      <c r="O1386" s="21">
        <v>6.5</v>
      </c>
      <c r="P1386" s="1">
        <v>0</v>
      </c>
      <c r="Q1386" s="1" t="s">
        <v>28</v>
      </c>
      <c r="R1386" s="53">
        <v>0</v>
      </c>
      <c r="S1386" s="53">
        <v>0</v>
      </c>
    </row>
    <row r="1387" spans="1:19" x14ac:dyDescent="0.3">
      <c r="A1387" s="1" t="s">
        <v>56</v>
      </c>
      <c r="B1387" s="1" t="s">
        <v>400</v>
      </c>
      <c r="C1387" s="35" t="s">
        <v>1950</v>
      </c>
      <c r="D1387" s="8">
        <v>148.55225985942991</v>
      </c>
      <c r="E1387" s="39" t="s">
        <v>1950</v>
      </c>
      <c r="F1387" s="8">
        <v>138.38011518937913</v>
      </c>
      <c r="G1387" s="35" t="s">
        <v>1950</v>
      </c>
      <c r="H1387" s="8">
        <v>139.2142815306521</v>
      </c>
      <c r="I1387" s="37" t="s">
        <v>1950</v>
      </c>
      <c r="J1387" s="1">
        <v>1985</v>
      </c>
      <c r="K1387" s="1" t="s">
        <v>19</v>
      </c>
      <c r="L1387" s="1" t="s">
        <v>1601</v>
      </c>
      <c r="M1387" s="6">
        <v>20488</v>
      </c>
      <c r="N1387" s="54">
        <v>11088</v>
      </c>
      <c r="O1387" s="21">
        <v>0.54119484576337373</v>
      </c>
      <c r="P1387" s="1">
        <v>0</v>
      </c>
      <c r="Q1387" s="1" t="s">
        <v>1590</v>
      </c>
      <c r="R1387" s="53">
        <v>0</v>
      </c>
      <c r="S1387" s="53">
        <v>0</v>
      </c>
    </row>
    <row r="1388" spans="1:19" x14ac:dyDescent="0.3">
      <c r="A1388" s="1" t="s">
        <v>56</v>
      </c>
      <c r="B1388" s="1" t="s">
        <v>400</v>
      </c>
      <c r="C1388" s="35" t="s">
        <v>1950</v>
      </c>
      <c r="D1388" s="8">
        <v>135.24257161885095</v>
      </c>
      <c r="E1388" s="39" t="s">
        <v>1950</v>
      </c>
      <c r="F1388" s="8">
        <v>129.92911728548899</v>
      </c>
      <c r="G1388" s="35" t="s">
        <v>1950</v>
      </c>
      <c r="H1388" s="8">
        <v>133.28708483684576</v>
      </c>
      <c r="I1388" s="37" t="s">
        <v>1950</v>
      </c>
      <c r="J1388" s="1">
        <v>2020</v>
      </c>
      <c r="K1388" s="1" t="s">
        <v>19</v>
      </c>
      <c r="L1388" s="1" t="s">
        <v>1601</v>
      </c>
      <c r="M1388" s="6">
        <v>19099.72</v>
      </c>
      <c r="N1388" s="54">
        <v>0</v>
      </c>
      <c r="O1388" s="21">
        <v>0</v>
      </c>
      <c r="P1388" s="1">
        <v>0</v>
      </c>
      <c r="Q1388" s="1" t="s">
        <v>1589</v>
      </c>
      <c r="R1388" s="55">
        <v>4</v>
      </c>
      <c r="S1388" s="53">
        <v>0</v>
      </c>
    </row>
    <row r="1389" spans="1:19" x14ac:dyDescent="0.3">
      <c r="A1389" s="1" t="s">
        <v>56</v>
      </c>
      <c r="B1389" s="1" t="s">
        <v>400</v>
      </c>
      <c r="C1389" s="35" t="s">
        <v>1950</v>
      </c>
      <c r="D1389" s="8">
        <v>107.16095326701496</v>
      </c>
      <c r="E1389" s="39" t="s">
        <v>1950</v>
      </c>
      <c r="F1389" s="8">
        <v>103.999499033851</v>
      </c>
      <c r="G1389" s="35" t="s">
        <v>1950</v>
      </c>
      <c r="H1389" s="8">
        <v>97.712016030916772</v>
      </c>
      <c r="I1389" s="37" t="s">
        <v>1950</v>
      </c>
      <c r="J1389" s="1">
        <v>2019</v>
      </c>
      <c r="K1389" s="1" t="s">
        <v>25</v>
      </c>
      <c r="L1389" s="1" t="s">
        <v>1598</v>
      </c>
      <c r="M1389" s="6">
        <v>13973</v>
      </c>
      <c r="N1389" s="54">
        <v>4312</v>
      </c>
      <c r="O1389" s="21">
        <v>0.30859514778501396</v>
      </c>
      <c r="P1389" s="1">
        <v>0</v>
      </c>
      <c r="Q1389" s="1" t="s">
        <v>28</v>
      </c>
      <c r="R1389" s="53">
        <v>0</v>
      </c>
      <c r="S1389" s="53">
        <v>0</v>
      </c>
    </row>
    <row r="1390" spans="1:19" x14ac:dyDescent="0.3">
      <c r="A1390" s="1" t="s">
        <v>56</v>
      </c>
      <c r="B1390" s="1" t="s">
        <v>400</v>
      </c>
      <c r="C1390" s="35" t="s">
        <v>1950</v>
      </c>
      <c r="D1390" s="8">
        <v>80.331161428571434</v>
      </c>
      <c r="E1390" s="39" t="s">
        <v>1950</v>
      </c>
      <c r="F1390" s="8">
        <v>77.755564285714286</v>
      </c>
      <c r="G1390" s="35" t="s">
        <v>1950</v>
      </c>
      <c r="H1390" s="8">
        <v>82.147308571428582</v>
      </c>
      <c r="I1390" s="37" t="s">
        <v>1950</v>
      </c>
      <c r="J1390" s="1">
        <v>2004</v>
      </c>
      <c r="K1390" s="35" t="s">
        <v>1950</v>
      </c>
      <c r="L1390" s="35" t="s">
        <v>1950</v>
      </c>
      <c r="M1390" s="6">
        <v>7000</v>
      </c>
      <c r="N1390" s="54">
        <v>3000</v>
      </c>
      <c r="O1390" s="21">
        <v>0.42857142857142855</v>
      </c>
      <c r="P1390" s="1">
        <v>0</v>
      </c>
      <c r="Q1390" s="1" t="s">
        <v>28</v>
      </c>
      <c r="R1390" s="53">
        <v>0</v>
      </c>
      <c r="S1390" s="53">
        <v>0</v>
      </c>
    </row>
    <row r="1391" spans="1:19" x14ac:dyDescent="0.3">
      <c r="A1391" s="1" t="s">
        <v>56</v>
      </c>
      <c r="B1391" s="1" t="s">
        <v>400</v>
      </c>
      <c r="C1391" s="35" t="s">
        <v>1950</v>
      </c>
      <c r="D1391" s="8">
        <v>68.744871578947368</v>
      </c>
      <c r="E1391" s="39" t="s">
        <v>1950</v>
      </c>
      <c r="F1391" s="8">
        <v>62.907974736842107</v>
      </c>
      <c r="G1391" s="35" t="s">
        <v>1950</v>
      </c>
      <c r="H1391" s="8">
        <v>66.994536842105262</v>
      </c>
      <c r="I1391" s="37" t="s">
        <v>1950</v>
      </c>
      <c r="J1391" s="1">
        <v>2004</v>
      </c>
      <c r="K1391" s="1" t="s">
        <v>25</v>
      </c>
      <c r="L1391" s="1" t="s">
        <v>1599</v>
      </c>
      <c r="M1391" s="6">
        <v>9500</v>
      </c>
      <c r="N1391" s="54">
        <v>3500</v>
      </c>
      <c r="O1391" s="21">
        <v>0.36842105263157893</v>
      </c>
      <c r="P1391" s="1">
        <v>0</v>
      </c>
      <c r="Q1391" s="1" t="s">
        <v>28</v>
      </c>
      <c r="R1391" s="53">
        <v>0</v>
      </c>
      <c r="S1391" s="53">
        <v>0</v>
      </c>
    </row>
    <row r="1392" spans="1:19" x14ac:dyDescent="0.3">
      <c r="A1392" s="1" t="s">
        <v>56</v>
      </c>
      <c r="B1392" s="1" t="s">
        <v>400</v>
      </c>
      <c r="C1392" s="35" t="s">
        <v>1950</v>
      </c>
      <c r="D1392" s="8">
        <v>42.640240290202925</v>
      </c>
      <c r="E1392" s="39" t="s">
        <v>1950</v>
      </c>
      <c r="F1392" s="8">
        <v>37.922335260746237</v>
      </c>
      <c r="G1392" s="35" t="s">
        <v>1950</v>
      </c>
      <c r="H1392" s="8">
        <v>40.661925049094478</v>
      </c>
      <c r="I1392" s="37" t="s">
        <v>1950</v>
      </c>
      <c r="J1392" s="1">
        <v>1992</v>
      </c>
      <c r="K1392" s="1" t="s">
        <v>25</v>
      </c>
      <c r="L1392" s="1" t="s">
        <v>1599</v>
      </c>
      <c r="M1392" s="6">
        <v>36664</v>
      </c>
      <c r="N1392" s="54">
        <v>15000</v>
      </c>
      <c r="O1392" s="21">
        <v>0.4091206633209688</v>
      </c>
      <c r="P1392" s="1">
        <v>0</v>
      </c>
      <c r="Q1392" s="1" t="s">
        <v>28</v>
      </c>
      <c r="R1392" s="53">
        <v>0</v>
      </c>
      <c r="S1392" s="53">
        <v>0</v>
      </c>
    </row>
    <row r="1393" spans="1:19" x14ac:dyDescent="0.3">
      <c r="A1393" s="1" t="s">
        <v>56</v>
      </c>
      <c r="B1393" s="1" t="s">
        <v>400</v>
      </c>
      <c r="C1393" s="35" t="s">
        <v>1950</v>
      </c>
      <c r="D1393" s="8">
        <v>61.530888463351012</v>
      </c>
      <c r="E1393" s="39" t="s">
        <v>1950</v>
      </c>
      <c r="F1393" s="8">
        <v>38.226491613511307</v>
      </c>
      <c r="G1393" s="35" t="s">
        <v>1950</v>
      </c>
      <c r="H1393" s="8">
        <v>33.966308020098367</v>
      </c>
      <c r="I1393" s="37" t="s">
        <v>1950</v>
      </c>
      <c r="J1393" s="1">
        <v>1995</v>
      </c>
      <c r="K1393" s="1" t="s">
        <v>47</v>
      </c>
      <c r="L1393" s="1" t="s">
        <v>1924</v>
      </c>
      <c r="M1393" s="6">
        <v>301318</v>
      </c>
      <c r="N1393" s="54">
        <v>18965</v>
      </c>
      <c r="O1393" s="21">
        <v>6.2940149609382781E-2</v>
      </c>
      <c r="P1393" s="1">
        <v>0</v>
      </c>
      <c r="Q1393" s="1" t="s">
        <v>28</v>
      </c>
      <c r="R1393" s="53">
        <v>0</v>
      </c>
      <c r="S1393" s="53">
        <v>0</v>
      </c>
    </row>
    <row r="1394" spans="1:19" x14ac:dyDescent="0.3">
      <c r="A1394" s="1" t="s">
        <v>56</v>
      </c>
      <c r="B1394" s="1" t="s">
        <v>400</v>
      </c>
      <c r="C1394" s="35" t="s">
        <v>1950</v>
      </c>
      <c r="D1394" s="8">
        <v>15.489218749999999</v>
      </c>
      <c r="E1394" s="39" t="s">
        <v>1950</v>
      </c>
      <c r="F1394" s="8">
        <v>0</v>
      </c>
      <c r="G1394" s="35" t="s">
        <v>1950</v>
      </c>
      <c r="H1394" s="8">
        <v>15.346875000000001</v>
      </c>
      <c r="I1394" s="37" t="s">
        <v>1950</v>
      </c>
      <c r="J1394" s="1">
        <v>2003</v>
      </c>
      <c r="K1394" s="35" t="s">
        <v>1950</v>
      </c>
      <c r="L1394" s="35" t="s">
        <v>1950</v>
      </c>
      <c r="M1394" s="6">
        <v>6400</v>
      </c>
      <c r="N1394" s="54">
        <v>74</v>
      </c>
      <c r="O1394" s="21">
        <v>1.15625E-2</v>
      </c>
      <c r="P1394" s="1">
        <v>0</v>
      </c>
      <c r="Q1394" s="1" t="s">
        <v>28</v>
      </c>
      <c r="R1394" s="53">
        <v>0</v>
      </c>
      <c r="S1394" s="53">
        <v>0</v>
      </c>
    </row>
    <row r="1395" spans="1:19" x14ac:dyDescent="0.3">
      <c r="A1395" s="1" t="s">
        <v>56</v>
      </c>
      <c r="B1395" s="1" t="s">
        <v>13</v>
      </c>
      <c r="C1395" s="35" t="s">
        <v>1950</v>
      </c>
      <c r="D1395" s="8">
        <v>290.04163569861009</v>
      </c>
      <c r="E1395" s="39" t="s">
        <v>1950</v>
      </c>
      <c r="F1395" s="8">
        <v>260.09403072421361</v>
      </c>
      <c r="G1395" s="35" t="s">
        <v>1950</v>
      </c>
      <c r="H1395" s="8">
        <v>333.28968544257498</v>
      </c>
      <c r="I1395" s="37" t="s">
        <v>1950</v>
      </c>
      <c r="J1395" s="1">
        <v>2020</v>
      </c>
      <c r="K1395" s="35" t="s">
        <v>1950</v>
      </c>
      <c r="L1395" s="35" t="s">
        <v>1950</v>
      </c>
      <c r="M1395" s="6">
        <v>6835</v>
      </c>
      <c r="N1395" s="54">
        <v>5326</v>
      </c>
      <c r="O1395" s="21">
        <v>0.77922457937088518</v>
      </c>
      <c r="P1395" s="1">
        <v>0</v>
      </c>
      <c r="Q1395" s="1" t="s">
        <v>28</v>
      </c>
      <c r="R1395" s="53">
        <v>0</v>
      </c>
      <c r="S1395" s="53">
        <v>0</v>
      </c>
    </row>
    <row r="1396" spans="1:19" x14ac:dyDescent="0.3">
      <c r="A1396" s="1" t="s">
        <v>56</v>
      </c>
      <c r="B1396" s="1" t="s">
        <v>13</v>
      </c>
      <c r="C1396" s="35" t="s">
        <v>1950</v>
      </c>
      <c r="D1396" s="8">
        <v>291.48552115384615</v>
      </c>
      <c r="E1396" s="39" t="s">
        <v>1950</v>
      </c>
      <c r="F1396" s="8">
        <v>292.72612884615387</v>
      </c>
      <c r="G1396" s="35" t="s">
        <v>1950</v>
      </c>
      <c r="H1396" s="8">
        <v>243.30413076923077</v>
      </c>
      <c r="I1396" s="37" t="s">
        <v>1950</v>
      </c>
      <c r="J1396" s="1">
        <v>2013</v>
      </c>
      <c r="K1396" s="1" t="s">
        <v>25</v>
      </c>
      <c r="L1396" s="1" t="s">
        <v>1601</v>
      </c>
      <c r="M1396" s="6">
        <v>5200</v>
      </c>
      <c r="N1396" s="54">
        <v>1200</v>
      </c>
      <c r="O1396" s="21">
        <v>0.23076923076923078</v>
      </c>
      <c r="P1396" s="1">
        <v>0</v>
      </c>
      <c r="Q1396" s="1" t="s">
        <v>28</v>
      </c>
      <c r="R1396" s="53">
        <v>0</v>
      </c>
      <c r="S1396" s="53">
        <v>0</v>
      </c>
    </row>
    <row r="1397" spans="1:19" x14ac:dyDescent="0.3">
      <c r="A1397" s="1" t="s">
        <v>56</v>
      </c>
      <c r="B1397" s="1" t="s">
        <v>13</v>
      </c>
      <c r="C1397" s="35" t="s">
        <v>1950</v>
      </c>
      <c r="D1397" s="8">
        <v>202.31192299687825</v>
      </c>
      <c r="E1397" s="39" t="s">
        <v>1950</v>
      </c>
      <c r="F1397" s="8">
        <v>254.01382101977111</v>
      </c>
      <c r="G1397" s="35" t="s">
        <v>1950</v>
      </c>
      <c r="H1397" s="8">
        <v>242.190901144641</v>
      </c>
      <c r="I1397" s="37" t="s">
        <v>1950</v>
      </c>
      <c r="J1397" s="1">
        <v>2015</v>
      </c>
      <c r="K1397" s="35" t="s">
        <v>1950</v>
      </c>
      <c r="L1397" s="35" t="s">
        <v>1950</v>
      </c>
      <c r="M1397" s="6">
        <v>4805</v>
      </c>
      <c r="N1397" s="54">
        <v>1541</v>
      </c>
      <c r="O1397" s="21">
        <v>0.32070759625390216</v>
      </c>
      <c r="P1397" s="1">
        <v>0</v>
      </c>
      <c r="Q1397" s="1" t="s">
        <v>28</v>
      </c>
      <c r="R1397" s="53">
        <v>0</v>
      </c>
      <c r="S1397" s="53">
        <v>0</v>
      </c>
    </row>
    <row r="1398" spans="1:19" x14ac:dyDescent="0.3">
      <c r="A1398" s="1" t="s">
        <v>56</v>
      </c>
      <c r="B1398" s="1" t="s">
        <v>13</v>
      </c>
      <c r="C1398" s="35" t="s">
        <v>1950</v>
      </c>
      <c r="D1398" s="8">
        <v>236.27156549520768</v>
      </c>
      <c r="E1398" s="39" t="s">
        <v>1950</v>
      </c>
      <c r="F1398" s="8">
        <v>231.28686900958468</v>
      </c>
      <c r="G1398" s="35" t="s">
        <v>1950</v>
      </c>
      <c r="H1398" s="8">
        <v>230.02207667731631</v>
      </c>
      <c r="I1398" s="37" t="s">
        <v>1950</v>
      </c>
      <c r="J1398" s="1">
        <v>1999</v>
      </c>
      <c r="K1398" s="35" t="s">
        <v>1950</v>
      </c>
      <c r="L1398" s="35" t="s">
        <v>1950</v>
      </c>
      <c r="M1398" s="6">
        <v>7825</v>
      </c>
      <c r="N1398" s="54">
        <v>7000</v>
      </c>
      <c r="O1398" s="21">
        <v>0.89456869009584661</v>
      </c>
      <c r="P1398" s="1">
        <v>0</v>
      </c>
      <c r="Q1398" s="1" t="s">
        <v>28</v>
      </c>
      <c r="R1398" s="53">
        <v>0</v>
      </c>
      <c r="S1398" s="53">
        <v>0</v>
      </c>
    </row>
    <row r="1399" spans="1:19" x14ac:dyDescent="0.3">
      <c r="A1399" s="1" t="s">
        <v>56</v>
      </c>
      <c r="B1399" s="1" t="s">
        <v>13</v>
      </c>
      <c r="C1399" s="35" t="s">
        <v>1950</v>
      </c>
      <c r="D1399" s="8">
        <v>159.86752827140549</v>
      </c>
      <c r="E1399" s="39" t="s">
        <v>1950</v>
      </c>
      <c r="F1399" s="8">
        <v>152.52665589660742</v>
      </c>
      <c r="G1399" s="35" t="s">
        <v>1950</v>
      </c>
      <c r="H1399" s="8">
        <v>195.46042003231017</v>
      </c>
      <c r="I1399" s="37" t="s">
        <v>1950</v>
      </c>
      <c r="J1399" s="1">
        <v>1956</v>
      </c>
      <c r="K1399" s="35" t="s">
        <v>1950</v>
      </c>
      <c r="L1399" s="35" t="s">
        <v>1950</v>
      </c>
      <c r="M1399" s="6">
        <v>619</v>
      </c>
      <c r="N1399" s="54">
        <v>264</v>
      </c>
      <c r="O1399" s="21">
        <v>0.42649434571890144</v>
      </c>
      <c r="P1399" s="1">
        <v>0</v>
      </c>
      <c r="Q1399" s="1" t="s">
        <v>28</v>
      </c>
      <c r="R1399" s="53">
        <v>0</v>
      </c>
      <c r="S1399" s="53">
        <v>0</v>
      </c>
    </row>
    <row r="1400" spans="1:19" x14ac:dyDescent="0.3">
      <c r="A1400" s="1" t="s">
        <v>56</v>
      </c>
      <c r="B1400" s="1" t="s">
        <v>13</v>
      </c>
      <c r="C1400" s="35" t="s">
        <v>1950</v>
      </c>
      <c r="D1400" s="8">
        <v>170.93314215148189</v>
      </c>
      <c r="E1400" s="39" t="s">
        <v>1950</v>
      </c>
      <c r="F1400" s="8">
        <v>173.12106750823273</v>
      </c>
      <c r="G1400" s="35" t="s">
        <v>1950</v>
      </c>
      <c r="H1400" s="8">
        <v>188.08912047200877</v>
      </c>
      <c r="I1400" s="37" t="s">
        <v>1950</v>
      </c>
      <c r="J1400" s="1">
        <v>2000</v>
      </c>
      <c r="K1400" s="35" t="s">
        <v>1950</v>
      </c>
      <c r="L1400" s="35" t="s">
        <v>1950</v>
      </c>
      <c r="M1400" s="6">
        <v>14576</v>
      </c>
      <c r="N1400" s="54">
        <v>11809</v>
      </c>
      <c r="O1400" s="21">
        <v>0.81016739846322727</v>
      </c>
      <c r="P1400" s="1">
        <v>175</v>
      </c>
      <c r="Q1400" s="1" t="s">
        <v>1589</v>
      </c>
      <c r="R1400" s="55">
        <v>13</v>
      </c>
      <c r="S1400" s="55">
        <v>0.9</v>
      </c>
    </row>
    <row r="1401" spans="1:19" x14ac:dyDescent="0.3">
      <c r="A1401" s="1" t="s">
        <v>56</v>
      </c>
      <c r="B1401" s="1" t="s">
        <v>13</v>
      </c>
      <c r="C1401" s="35" t="s">
        <v>1950</v>
      </c>
      <c r="D1401" s="8">
        <v>175.74971406563651</v>
      </c>
      <c r="E1401" s="39" t="s">
        <v>1950</v>
      </c>
      <c r="F1401" s="8">
        <v>175.06297325054851</v>
      </c>
      <c r="G1401" s="35" t="s">
        <v>1950</v>
      </c>
      <c r="H1401" s="8">
        <v>177.13129265673871</v>
      </c>
      <c r="I1401" s="37" t="s">
        <v>1950</v>
      </c>
      <c r="J1401" s="1">
        <v>2017</v>
      </c>
      <c r="K1401" s="1" t="s">
        <v>19</v>
      </c>
      <c r="L1401" s="1" t="s">
        <v>1599</v>
      </c>
      <c r="M1401" s="6">
        <v>42842</v>
      </c>
      <c r="N1401" s="54">
        <v>16397</v>
      </c>
      <c r="O1401" s="21">
        <v>0.38273189860417345</v>
      </c>
      <c r="P1401" s="1">
        <v>0</v>
      </c>
      <c r="Q1401" s="1" t="s">
        <v>1589</v>
      </c>
      <c r="R1401" s="55">
        <v>6</v>
      </c>
      <c r="S1401" s="55">
        <v>0.56999999999999995</v>
      </c>
    </row>
    <row r="1402" spans="1:19" x14ac:dyDescent="0.3">
      <c r="A1402" s="1" t="s">
        <v>56</v>
      </c>
      <c r="B1402" s="1" t="s">
        <v>13</v>
      </c>
      <c r="C1402" s="35" t="s">
        <v>1950</v>
      </c>
      <c r="D1402" s="8">
        <v>163.32194735006973</v>
      </c>
      <c r="E1402" s="39" t="s">
        <v>1950</v>
      </c>
      <c r="F1402" s="8">
        <v>178.84238319386333</v>
      </c>
      <c r="G1402" s="35" t="s">
        <v>1950</v>
      </c>
      <c r="H1402" s="8">
        <v>163.68913354253834</v>
      </c>
      <c r="I1402" s="37" t="s">
        <v>1950</v>
      </c>
      <c r="J1402" s="1">
        <v>2004</v>
      </c>
      <c r="K1402" s="35" t="s">
        <v>1950</v>
      </c>
      <c r="L1402" s="35" t="s">
        <v>1950</v>
      </c>
      <c r="M1402" s="6">
        <v>11472</v>
      </c>
      <c r="N1402" s="54">
        <v>9089</v>
      </c>
      <c r="O1402" s="21">
        <v>0.79227684797768483</v>
      </c>
      <c r="P1402" s="1">
        <v>0</v>
      </c>
      <c r="Q1402" s="1" t="s">
        <v>28</v>
      </c>
      <c r="R1402" s="53">
        <v>0</v>
      </c>
      <c r="S1402" s="53">
        <v>0</v>
      </c>
    </row>
    <row r="1403" spans="1:19" x14ac:dyDescent="0.3">
      <c r="A1403" s="1" t="s">
        <v>56</v>
      </c>
      <c r="B1403" s="1" t="s">
        <v>13</v>
      </c>
      <c r="C1403" s="35" t="s">
        <v>1950</v>
      </c>
      <c r="D1403" s="8">
        <v>179.90157576866767</v>
      </c>
      <c r="E1403" s="39" t="s">
        <v>1950</v>
      </c>
      <c r="F1403" s="8">
        <v>182.9869875549048</v>
      </c>
      <c r="G1403" s="35" t="s">
        <v>1950</v>
      </c>
      <c r="H1403" s="8">
        <v>153.17190336749636</v>
      </c>
      <c r="I1403" s="37" t="s">
        <v>1950</v>
      </c>
      <c r="J1403" s="1">
        <v>2015</v>
      </c>
      <c r="K1403" s="35" t="s">
        <v>1950</v>
      </c>
      <c r="L1403" s="35" t="s">
        <v>1950</v>
      </c>
      <c r="M1403" s="6">
        <v>10928</v>
      </c>
      <c r="N1403" s="54">
        <v>4828</v>
      </c>
      <c r="O1403" s="21">
        <v>0.44180087847730598</v>
      </c>
      <c r="P1403" s="1">
        <v>0</v>
      </c>
      <c r="Q1403" s="1" t="s">
        <v>28</v>
      </c>
      <c r="R1403" s="53">
        <v>0</v>
      </c>
      <c r="S1403" s="53">
        <v>0</v>
      </c>
    </row>
    <row r="1404" spans="1:19" x14ac:dyDescent="0.3">
      <c r="A1404" s="1" t="s">
        <v>56</v>
      </c>
      <c r="B1404" s="1" t="s">
        <v>13</v>
      </c>
      <c r="C1404" s="35" t="s">
        <v>1950</v>
      </c>
      <c r="D1404" s="8">
        <v>111.1139616766467</v>
      </c>
      <c r="E1404" s="39" t="s">
        <v>1950</v>
      </c>
      <c r="F1404" s="8">
        <v>182.49888383233531</v>
      </c>
      <c r="G1404" s="35" t="s">
        <v>1950</v>
      </c>
      <c r="H1404" s="8">
        <v>148.11866107784431</v>
      </c>
      <c r="I1404" s="37" t="s">
        <v>1950</v>
      </c>
      <c r="J1404" s="1">
        <v>2012</v>
      </c>
      <c r="K1404" s="35" t="s">
        <v>1950</v>
      </c>
      <c r="L1404" s="35" t="s">
        <v>1950</v>
      </c>
      <c r="M1404" s="6">
        <v>4175</v>
      </c>
      <c r="N1404" s="54">
        <v>2922</v>
      </c>
      <c r="O1404" s="21">
        <v>0.69988023952095813</v>
      </c>
      <c r="P1404" s="1">
        <v>0</v>
      </c>
      <c r="Q1404" s="1" t="s">
        <v>28</v>
      </c>
      <c r="R1404" s="53">
        <v>0</v>
      </c>
      <c r="S1404" s="53">
        <v>0</v>
      </c>
    </row>
    <row r="1405" spans="1:19" x14ac:dyDescent="0.3">
      <c r="A1405" s="1" t="s">
        <v>56</v>
      </c>
      <c r="B1405" s="1" t="s">
        <v>13</v>
      </c>
      <c r="C1405" s="35" t="s">
        <v>1950</v>
      </c>
      <c r="D1405" s="8">
        <v>141.80571633237821</v>
      </c>
      <c r="E1405" s="39" t="s">
        <v>1950</v>
      </c>
      <c r="F1405" s="8">
        <v>135.29545666189111</v>
      </c>
      <c r="G1405" s="35" t="s">
        <v>1950</v>
      </c>
      <c r="H1405" s="8">
        <v>144.2677829512894</v>
      </c>
      <c r="I1405" s="37" t="s">
        <v>1950</v>
      </c>
      <c r="J1405" s="1">
        <v>2005</v>
      </c>
      <c r="K1405" s="1" t="s">
        <v>25</v>
      </c>
      <c r="L1405" s="1" t="s">
        <v>1599</v>
      </c>
      <c r="M1405" s="6">
        <v>5584</v>
      </c>
      <c r="N1405" s="54">
        <v>0</v>
      </c>
      <c r="O1405" s="21">
        <v>0</v>
      </c>
      <c r="P1405" s="1">
        <v>0</v>
      </c>
      <c r="Q1405" s="1" t="s">
        <v>28</v>
      </c>
      <c r="R1405" s="53">
        <v>0</v>
      </c>
      <c r="S1405" s="53">
        <v>0</v>
      </c>
    </row>
    <row r="1406" spans="1:19" x14ac:dyDescent="0.3">
      <c r="A1406" s="1" t="s">
        <v>56</v>
      </c>
      <c r="B1406" s="1" t="s">
        <v>13</v>
      </c>
      <c r="C1406" s="35" t="s">
        <v>1950</v>
      </c>
      <c r="D1406" s="8">
        <v>130.62438573803806</v>
      </c>
      <c r="E1406" s="39" t="s">
        <v>1950</v>
      </c>
      <c r="F1406" s="8">
        <v>128.50260484019952</v>
      </c>
      <c r="G1406" s="35" t="s">
        <v>1950</v>
      </c>
      <c r="H1406" s="8">
        <v>138.01189728431552</v>
      </c>
      <c r="I1406" s="37" t="s">
        <v>1950</v>
      </c>
      <c r="J1406" s="1">
        <v>2013</v>
      </c>
      <c r="K1406" s="1" t="s">
        <v>19</v>
      </c>
      <c r="L1406" s="1" t="s">
        <v>1818</v>
      </c>
      <c r="M1406" s="6">
        <v>27065</v>
      </c>
      <c r="N1406" s="54">
        <v>20238</v>
      </c>
      <c r="O1406" s="21">
        <v>0.74775540365786075</v>
      </c>
      <c r="P1406" s="1">
        <v>0</v>
      </c>
      <c r="Q1406" s="1" t="s">
        <v>1589</v>
      </c>
      <c r="R1406" s="55">
        <v>10</v>
      </c>
      <c r="S1406" s="55">
        <v>0.65</v>
      </c>
    </row>
    <row r="1407" spans="1:19" x14ac:dyDescent="0.3">
      <c r="A1407" s="1" t="s">
        <v>56</v>
      </c>
      <c r="B1407" s="1" t="s">
        <v>13</v>
      </c>
      <c r="C1407" s="35" t="s">
        <v>1950</v>
      </c>
      <c r="D1407" s="8">
        <v>119.11955689680553</v>
      </c>
      <c r="E1407" s="39" t="s">
        <v>1950</v>
      </c>
      <c r="F1407" s="8">
        <v>123.09722508464596</v>
      </c>
      <c r="G1407" s="35" t="s">
        <v>1950</v>
      </c>
      <c r="H1407" s="8">
        <v>127.62113940821435</v>
      </c>
      <c r="I1407" s="37" t="s">
        <v>1950</v>
      </c>
      <c r="J1407" s="1">
        <v>1993</v>
      </c>
      <c r="K1407" s="35" t="s">
        <v>1950</v>
      </c>
      <c r="L1407" s="35" t="s">
        <v>1950</v>
      </c>
      <c r="M1407" s="6">
        <v>6793</v>
      </c>
      <c r="N1407" s="54">
        <v>462</v>
      </c>
      <c r="O1407" s="21">
        <v>6.8011187987634336E-2</v>
      </c>
      <c r="P1407" s="1">
        <v>0</v>
      </c>
      <c r="Q1407" s="1" t="s">
        <v>28</v>
      </c>
      <c r="R1407" s="53">
        <v>0</v>
      </c>
      <c r="S1407" s="53">
        <v>0</v>
      </c>
    </row>
    <row r="1408" spans="1:19" x14ac:dyDescent="0.3">
      <c r="A1408" s="1" t="s">
        <v>56</v>
      </c>
      <c r="B1408" s="1" t="s">
        <v>13</v>
      </c>
      <c r="C1408" s="35" t="s">
        <v>1950</v>
      </c>
      <c r="D1408" s="8">
        <v>91.84903221581979</v>
      </c>
      <c r="E1408" s="39" t="s">
        <v>1950</v>
      </c>
      <c r="F1408" s="8">
        <v>112.14428103719224</v>
      </c>
      <c r="G1408" s="35" t="s">
        <v>1950</v>
      </c>
      <c r="H1408" s="8">
        <v>115.35770298585648</v>
      </c>
      <c r="I1408" s="37" t="s">
        <v>1950</v>
      </c>
      <c r="J1408" s="1">
        <v>1995</v>
      </c>
      <c r="K1408" s="35" t="s">
        <v>1950</v>
      </c>
      <c r="L1408" s="35" t="s">
        <v>1950</v>
      </c>
      <c r="M1408" s="6">
        <v>7636</v>
      </c>
      <c r="N1408" s="54">
        <v>3818</v>
      </c>
      <c r="O1408" s="21">
        <v>0.5</v>
      </c>
      <c r="P1408" s="1">
        <v>0</v>
      </c>
      <c r="Q1408" s="1" t="s">
        <v>28</v>
      </c>
      <c r="R1408" s="53">
        <v>0</v>
      </c>
      <c r="S1408" s="53">
        <v>0</v>
      </c>
    </row>
    <row r="1409" spans="1:19" x14ac:dyDescent="0.3">
      <c r="A1409" s="1" t="s">
        <v>56</v>
      </c>
      <c r="B1409" s="1" t="s">
        <v>13</v>
      </c>
      <c r="C1409" s="35" t="s">
        <v>1950</v>
      </c>
      <c r="D1409" s="8">
        <v>105.23979793340986</v>
      </c>
      <c r="E1409" s="39" t="s">
        <v>1950</v>
      </c>
      <c r="F1409" s="8">
        <v>106.72516188289323</v>
      </c>
      <c r="G1409" s="35" t="s">
        <v>1950</v>
      </c>
      <c r="H1409" s="8">
        <v>110.69347416762342</v>
      </c>
      <c r="I1409" s="37" t="s">
        <v>1950</v>
      </c>
      <c r="J1409" s="1">
        <v>1987</v>
      </c>
      <c r="K1409" s="1" t="s">
        <v>21</v>
      </c>
      <c r="L1409" s="1" t="s">
        <v>1601</v>
      </c>
      <c r="M1409" s="6">
        <v>8710</v>
      </c>
      <c r="N1409" s="54">
        <v>7867</v>
      </c>
      <c r="O1409" s="21">
        <v>0.90321469575200919</v>
      </c>
      <c r="P1409" s="1">
        <v>110</v>
      </c>
      <c r="Q1409" s="1" t="s">
        <v>1589</v>
      </c>
      <c r="R1409" s="55">
        <v>8</v>
      </c>
      <c r="S1409" s="55">
        <v>0.67</v>
      </c>
    </row>
    <row r="1410" spans="1:19" x14ac:dyDescent="0.3">
      <c r="A1410" s="1" t="s">
        <v>56</v>
      </c>
      <c r="B1410" s="1" t="s">
        <v>13</v>
      </c>
      <c r="C1410" s="35" t="s">
        <v>1950</v>
      </c>
      <c r="D1410" s="8">
        <v>121.79147162673992</v>
      </c>
      <c r="E1410" s="39" t="s">
        <v>1950</v>
      </c>
      <c r="F1410" s="8">
        <v>101.67056508908077</v>
      </c>
      <c r="G1410" s="35" t="s">
        <v>1950</v>
      </c>
      <c r="H1410" s="8">
        <v>97.897703241504175</v>
      </c>
      <c r="I1410" s="37" t="s">
        <v>1950</v>
      </c>
      <c r="J1410" s="1">
        <v>1999</v>
      </c>
      <c r="K1410" s="35" t="s">
        <v>1950</v>
      </c>
      <c r="L1410" s="35" t="s">
        <v>1950</v>
      </c>
      <c r="M1410" s="6">
        <v>210427</v>
      </c>
      <c r="N1410" s="54">
        <v>559390</v>
      </c>
      <c r="O1410" s="21">
        <v>2.6583565797164814</v>
      </c>
      <c r="P1410" s="1">
        <v>0</v>
      </c>
      <c r="Q1410" s="1" t="s">
        <v>1589</v>
      </c>
      <c r="R1410" s="55">
        <v>8</v>
      </c>
      <c r="S1410" s="53">
        <v>0</v>
      </c>
    </row>
    <row r="1411" spans="1:19" x14ac:dyDescent="0.3">
      <c r="A1411" s="1" t="s">
        <v>56</v>
      </c>
      <c r="B1411" s="1" t="s">
        <v>13</v>
      </c>
      <c r="C1411" s="35" t="s">
        <v>1950</v>
      </c>
      <c r="D1411" s="8">
        <v>98.646694214876035</v>
      </c>
      <c r="E1411" s="39" t="s">
        <v>1950</v>
      </c>
      <c r="F1411" s="8">
        <v>92.890125391849537</v>
      </c>
      <c r="G1411" s="35" t="s">
        <v>1950</v>
      </c>
      <c r="H1411" s="8">
        <v>97.520205186662878</v>
      </c>
      <c r="I1411" s="37" t="s">
        <v>1950</v>
      </c>
      <c r="J1411" s="1">
        <v>1978</v>
      </c>
      <c r="K1411" s="35" t="s">
        <v>1950</v>
      </c>
      <c r="L1411" s="35" t="s">
        <v>1950</v>
      </c>
      <c r="M1411" s="6">
        <v>7018</v>
      </c>
      <c r="N1411" s="54">
        <v>7250</v>
      </c>
      <c r="O1411" s="21">
        <v>1.0330578512396693</v>
      </c>
      <c r="P1411" s="1">
        <v>0</v>
      </c>
      <c r="Q1411" s="1" t="s">
        <v>28</v>
      </c>
      <c r="R1411" s="53">
        <v>0</v>
      </c>
      <c r="S1411" s="53">
        <v>0</v>
      </c>
    </row>
    <row r="1412" spans="1:19" x14ac:dyDescent="0.3">
      <c r="A1412" s="1" t="s">
        <v>56</v>
      </c>
      <c r="B1412" s="1" t="s">
        <v>13</v>
      </c>
      <c r="C1412" s="35" t="s">
        <v>1950</v>
      </c>
      <c r="D1412" s="8">
        <v>91.125421586562453</v>
      </c>
      <c r="E1412" s="39" t="s">
        <v>1950</v>
      </c>
      <c r="F1412" s="8">
        <v>92.995409945118908</v>
      </c>
      <c r="G1412" s="35" t="s">
        <v>1950</v>
      </c>
      <c r="H1412" s="8">
        <v>97.285305172127067</v>
      </c>
      <c r="I1412" s="37" t="s">
        <v>1950</v>
      </c>
      <c r="J1412" s="1">
        <v>2017</v>
      </c>
      <c r="K1412" s="35" t="s">
        <v>1950</v>
      </c>
      <c r="L1412" s="35" t="s">
        <v>1950</v>
      </c>
      <c r="M1412" s="6">
        <v>6013</v>
      </c>
      <c r="N1412" s="54">
        <v>1753</v>
      </c>
      <c r="O1412" s="21">
        <v>0.29153500748378514</v>
      </c>
      <c r="P1412" s="1">
        <v>0</v>
      </c>
      <c r="Q1412" s="1" t="s">
        <v>28</v>
      </c>
      <c r="R1412" s="53">
        <v>0</v>
      </c>
      <c r="S1412" s="53">
        <v>0</v>
      </c>
    </row>
    <row r="1413" spans="1:19" x14ac:dyDescent="0.3">
      <c r="A1413" s="1" t="s">
        <v>56</v>
      </c>
      <c r="B1413" s="1" t="s">
        <v>13</v>
      </c>
      <c r="C1413" s="35" t="s">
        <v>1950</v>
      </c>
      <c r="D1413" s="8">
        <v>97.925179043499156</v>
      </c>
      <c r="E1413" s="39" t="s">
        <v>1950</v>
      </c>
      <c r="F1413" s="8">
        <v>103.29102679644315</v>
      </c>
      <c r="G1413" s="35" t="s">
        <v>1950</v>
      </c>
      <c r="H1413" s="8">
        <v>87.312891131939438</v>
      </c>
      <c r="I1413" s="37" t="s">
        <v>1950</v>
      </c>
      <c r="J1413" s="1">
        <v>2018</v>
      </c>
      <c r="K1413" s="1" t="s">
        <v>19</v>
      </c>
      <c r="L1413" s="1" t="s">
        <v>1598</v>
      </c>
      <c r="M1413" s="6">
        <v>16644</v>
      </c>
      <c r="N1413" s="54">
        <v>7440</v>
      </c>
      <c r="O1413" s="21">
        <v>0.44700793078586876</v>
      </c>
      <c r="P1413" s="1">
        <v>0</v>
      </c>
      <c r="Q1413" s="1" t="s">
        <v>1589</v>
      </c>
      <c r="R1413" s="55">
        <v>5</v>
      </c>
      <c r="S1413" s="55">
        <v>0.64800000000000002</v>
      </c>
    </row>
    <row r="1414" spans="1:19" x14ac:dyDescent="0.3">
      <c r="A1414" s="1" t="s">
        <v>56</v>
      </c>
      <c r="B1414" s="1" t="s">
        <v>13</v>
      </c>
      <c r="C1414" s="35" t="s">
        <v>1950</v>
      </c>
      <c r="D1414" s="8">
        <v>80.303293046067608</v>
      </c>
      <c r="E1414" s="39" t="s">
        <v>1950</v>
      </c>
      <c r="F1414" s="8">
        <v>83.990117358556674</v>
      </c>
      <c r="G1414" s="35" t="s">
        <v>1950</v>
      </c>
      <c r="H1414" s="8">
        <v>80.89845857418112</v>
      </c>
      <c r="I1414" s="37" t="s">
        <v>1950</v>
      </c>
      <c r="J1414" s="1">
        <v>1995</v>
      </c>
      <c r="K1414" s="35" t="s">
        <v>1950</v>
      </c>
      <c r="L1414" s="35" t="s">
        <v>1950</v>
      </c>
      <c r="M1414" s="6">
        <v>5709</v>
      </c>
      <c r="N1414" s="54">
        <v>552</v>
      </c>
      <c r="O1414" s="21">
        <v>9.6689437729900157E-2</v>
      </c>
      <c r="P1414" s="1">
        <v>0</v>
      </c>
      <c r="Q1414" s="1" t="s">
        <v>28</v>
      </c>
      <c r="R1414" s="53">
        <v>0</v>
      </c>
      <c r="S1414" s="53">
        <v>0</v>
      </c>
    </row>
    <row r="1415" spans="1:19" x14ac:dyDescent="0.3">
      <c r="A1415" s="1" t="s">
        <v>56</v>
      </c>
      <c r="B1415" s="1" t="s">
        <v>13</v>
      </c>
      <c r="C1415" s="35" t="s">
        <v>1950</v>
      </c>
      <c r="D1415" s="8">
        <v>66.211333448335338</v>
      </c>
      <c r="E1415" s="39" t="s">
        <v>1950</v>
      </c>
      <c r="F1415" s="8">
        <v>65.274219423839924</v>
      </c>
      <c r="G1415" s="35" t="s">
        <v>1950</v>
      </c>
      <c r="H1415" s="8">
        <v>76.617336553389691</v>
      </c>
      <c r="I1415" s="37" t="s">
        <v>1950</v>
      </c>
      <c r="J1415" s="1">
        <v>1996</v>
      </c>
      <c r="K1415" s="35" t="s">
        <v>1950</v>
      </c>
      <c r="L1415" s="35" t="s">
        <v>1950</v>
      </c>
      <c r="M1415" s="6">
        <v>5797</v>
      </c>
      <c r="N1415" s="54">
        <v>783</v>
      </c>
      <c r="O1415" s="21">
        <v>0.13506986372261515</v>
      </c>
      <c r="P1415" s="1">
        <v>0</v>
      </c>
      <c r="Q1415" s="1" t="s">
        <v>28</v>
      </c>
      <c r="R1415" s="53">
        <v>0</v>
      </c>
      <c r="S1415" s="53">
        <v>0</v>
      </c>
    </row>
    <row r="1416" spans="1:19" x14ac:dyDescent="0.3">
      <c r="A1416" s="1" t="s">
        <v>56</v>
      </c>
      <c r="B1416" s="1" t="s">
        <v>13</v>
      </c>
      <c r="C1416" s="35" t="s">
        <v>1950</v>
      </c>
      <c r="D1416" s="8">
        <v>72.525407323761897</v>
      </c>
      <c r="E1416" s="39" t="s">
        <v>1950</v>
      </c>
      <c r="F1416" s="8">
        <v>75.332311663171481</v>
      </c>
      <c r="G1416" s="35" t="s">
        <v>1950</v>
      </c>
      <c r="H1416" s="8">
        <v>73.619132118083556</v>
      </c>
      <c r="I1416" s="37" t="s">
        <v>1950</v>
      </c>
      <c r="J1416" s="1">
        <v>1995</v>
      </c>
      <c r="K1416" s="35" t="s">
        <v>1950</v>
      </c>
      <c r="L1416" s="35" t="s">
        <v>1950</v>
      </c>
      <c r="M1416" s="6">
        <v>6199</v>
      </c>
      <c r="N1416" s="54">
        <v>355</v>
      </c>
      <c r="O1416" s="21">
        <v>5.7267301177609295E-2</v>
      </c>
      <c r="P1416" s="1">
        <v>0</v>
      </c>
      <c r="Q1416" s="1" t="s">
        <v>28</v>
      </c>
      <c r="R1416" s="53">
        <v>0</v>
      </c>
      <c r="S1416" s="53">
        <v>0</v>
      </c>
    </row>
    <row r="1417" spans="1:19" x14ac:dyDescent="0.3">
      <c r="A1417" s="1" t="s">
        <v>56</v>
      </c>
      <c r="B1417" s="1" t="s">
        <v>13</v>
      </c>
      <c r="C1417" s="35" t="s">
        <v>1950</v>
      </c>
      <c r="D1417" s="8">
        <v>78.317610981308405</v>
      </c>
      <c r="E1417" s="39" t="s">
        <v>1950</v>
      </c>
      <c r="F1417" s="8">
        <v>71.816223714953267</v>
      </c>
      <c r="G1417" s="35" t="s">
        <v>1950</v>
      </c>
      <c r="H1417" s="8">
        <v>69.932523364485974</v>
      </c>
      <c r="I1417" s="37" t="s">
        <v>1950</v>
      </c>
      <c r="J1417" s="1">
        <v>1994</v>
      </c>
      <c r="K1417" s="35" t="s">
        <v>1950</v>
      </c>
      <c r="L1417" s="35" t="s">
        <v>1950</v>
      </c>
      <c r="M1417" s="6">
        <v>6848</v>
      </c>
      <c r="N1417" s="54">
        <v>4782</v>
      </c>
      <c r="O1417" s="21">
        <v>0.69830607476635509</v>
      </c>
      <c r="P1417" s="1">
        <v>0</v>
      </c>
      <c r="Q1417" s="1" t="s">
        <v>28</v>
      </c>
      <c r="R1417" s="53">
        <v>0</v>
      </c>
      <c r="S1417" s="53">
        <v>0</v>
      </c>
    </row>
    <row r="1418" spans="1:19" x14ac:dyDescent="0.3">
      <c r="A1418" s="1" t="s">
        <v>56</v>
      </c>
      <c r="B1418" s="1" t="s">
        <v>13</v>
      </c>
      <c r="C1418" s="35" t="s">
        <v>1950</v>
      </c>
      <c r="D1418" s="8">
        <v>71.460072416674393</v>
      </c>
      <c r="E1418" s="39" t="s">
        <v>1950</v>
      </c>
      <c r="F1418" s="8">
        <v>75.90808838547953</v>
      </c>
      <c r="G1418" s="35" t="s">
        <v>1950</v>
      </c>
      <c r="H1418" s="8">
        <v>68.705893603193772</v>
      </c>
      <c r="I1418" s="37" t="s">
        <v>1950</v>
      </c>
      <c r="J1418" s="1">
        <v>2002</v>
      </c>
      <c r="K1418" s="35" t="s">
        <v>1950</v>
      </c>
      <c r="L1418" s="35" t="s">
        <v>1950</v>
      </c>
      <c r="M1418" s="6">
        <v>10771</v>
      </c>
      <c r="N1418" s="54">
        <v>9256</v>
      </c>
      <c r="O1418" s="21">
        <v>0.85934453625475815</v>
      </c>
      <c r="P1418" s="1">
        <v>0</v>
      </c>
      <c r="Q1418" s="1" t="s">
        <v>28</v>
      </c>
      <c r="R1418" s="53">
        <v>0</v>
      </c>
      <c r="S1418" s="53">
        <v>0</v>
      </c>
    </row>
    <row r="1419" spans="1:19" x14ac:dyDescent="0.3">
      <c r="A1419" s="1" t="s">
        <v>56</v>
      </c>
      <c r="B1419" s="1" t="s">
        <v>13</v>
      </c>
      <c r="C1419" s="35" t="s">
        <v>1950</v>
      </c>
      <c r="D1419" s="8">
        <v>57.552843021887504</v>
      </c>
      <c r="E1419" s="39" t="s">
        <v>1950</v>
      </c>
      <c r="F1419" s="8">
        <v>68.481315603671447</v>
      </c>
      <c r="G1419" s="35" t="s">
        <v>1950</v>
      </c>
      <c r="H1419" s="8">
        <v>67.84974817604143</v>
      </c>
      <c r="I1419" s="37" t="s">
        <v>1950</v>
      </c>
      <c r="J1419" s="1">
        <v>2017</v>
      </c>
      <c r="K1419" s="35" t="s">
        <v>1950</v>
      </c>
      <c r="L1419" s="35" t="s">
        <v>1950</v>
      </c>
      <c r="M1419" s="6">
        <v>4249</v>
      </c>
      <c r="N1419" s="54">
        <v>3000</v>
      </c>
      <c r="O1419" s="21">
        <v>0.70604848199576375</v>
      </c>
      <c r="P1419" s="1">
        <v>0</v>
      </c>
      <c r="Q1419" s="1" t="s">
        <v>1787</v>
      </c>
      <c r="R1419" s="53">
        <v>0</v>
      </c>
      <c r="S1419" s="55">
        <v>4</v>
      </c>
    </row>
    <row r="1420" spans="1:19" x14ac:dyDescent="0.3">
      <c r="A1420" s="1" t="s">
        <v>56</v>
      </c>
      <c r="B1420" s="1" t="s">
        <v>13</v>
      </c>
      <c r="C1420" s="35" t="s">
        <v>1950</v>
      </c>
      <c r="D1420" s="8">
        <v>72.071195847750872</v>
      </c>
      <c r="E1420" s="39" t="s">
        <v>1950</v>
      </c>
      <c r="F1420" s="8">
        <v>70.317368858131488</v>
      </c>
      <c r="G1420" s="35" t="s">
        <v>1950</v>
      </c>
      <c r="H1420" s="8">
        <v>66.179325259515565</v>
      </c>
      <c r="I1420" s="37" t="s">
        <v>1950</v>
      </c>
      <c r="J1420" s="1">
        <v>2016</v>
      </c>
      <c r="K1420" s="35" t="s">
        <v>1950</v>
      </c>
      <c r="L1420" s="35" t="s">
        <v>1950</v>
      </c>
      <c r="M1420" s="6">
        <v>14450</v>
      </c>
      <c r="N1420" s="54">
        <v>10000</v>
      </c>
      <c r="O1420" s="21">
        <v>0.69204152249134943</v>
      </c>
      <c r="P1420" s="1">
        <v>0</v>
      </c>
      <c r="Q1420" s="1" t="s">
        <v>28</v>
      </c>
      <c r="R1420" s="53">
        <v>0</v>
      </c>
      <c r="S1420" s="53">
        <v>0</v>
      </c>
    </row>
    <row r="1421" spans="1:19" x14ac:dyDescent="0.3">
      <c r="A1421" s="1" t="s">
        <v>56</v>
      </c>
      <c r="B1421" s="1" t="s">
        <v>13</v>
      </c>
      <c r="C1421" s="35" t="s">
        <v>1950</v>
      </c>
      <c r="D1421" s="8">
        <v>62.229776037756082</v>
      </c>
      <c r="E1421" s="39" t="s">
        <v>1950</v>
      </c>
      <c r="F1421" s="8">
        <v>62.733782044406304</v>
      </c>
      <c r="G1421" s="35" t="s">
        <v>1950</v>
      </c>
      <c r="H1421" s="8">
        <v>63.40927598412528</v>
      </c>
      <c r="I1421" s="37" t="s">
        <v>1950</v>
      </c>
      <c r="J1421" s="1">
        <v>2001</v>
      </c>
      <c r="K1421" s="35" t="s">
        <v>1950</v>
      </c>
      <c r="L1421" s="35" t="s">
        <v>1950</v>
      </c>
      <c r="M1421" s="6">
        <v>6235</v>
      </c>
      <c r="N1421" s="54">
        <v>496</v>
      </c>
      <c r="O1421" s="21">
        <v>7.9550922213311948E-2</v>
      </c>
      <c r="P1421" s="1">
        <v>0</v>
      </c>
      <c r="Q1421" s="1" t="s">
        <v>28</v>
      </c>
      <c r="R1421" s="53">
        <v>0</v>
      </c>
      <c r="S1421" s="53">
        <v>0</v>
      </c>
    </row>
    <row r="1422" spans="1:19" x14ac:dyDescent="0.3">
      <c r="A1422" s="1" t="s">
        <v>56</v>
      </c>
      <c r="B1422" s="1" t="s">
        <v>13</v>
      </c>
      <c r="C1422" s="35" t="s">
        <v>1950</v>
      </c>
      <c r="D1422" s="8">
        <v>65.976847133757971</v>
      </c>
      <c r="E1422" s="39" t="s">
        <v>1950</v>
      </c>
      <c r="F1422" s="8">
        <v>63.448651804670909</v>
      </c>
      <c r="G1422" s="35" t="s">
        <v>1950</v>
      </c>
      <c r="H1422" s="8">
        <v>63.26674097664543</v>
      </c>
      <c r="I1422" s="37" t="s">
        <v>1950</v>
      </c>
      <c r="J1422" s="1">
        <v>1975</v>
      </c>
      <c r="K1422" s="35" t="s">
        <v>1950</v>
      </c>
      <c r="L1422" s="35" t="s">
        <v>1950</v>
      </c>
      <c r="M1422" s="6">
        <v>942</v>
      </c>
      <c r="N1422" s="54">
        <v>654</v>
      </c>
      <c r="O1422" s="21">
        <v>0.69426751592356684</v>
      </c>
      <c r="P1422" s="1">
        <v>0</v>
      </c>
      <c r="Q1422" s="1" t="s">
        <v>28</v>
      </c>
      <c r="R1422" s="53">
        <v>0</v>
      </c>
      <c r="S1422" s="53">
        <v>0</v>
      </c>
    </row>
    <row r="1423" spans="1:19" x14ac:dyDescent="0.3">
      <c r="A1423" s="1" t="s">
        <v>56</v>
      </c>
      <c r="B1423" s="1" t="s">
        <v>13</v>
      </c>
      <c r="C1423" s="35" t="s">
        <v>1950</v>
      </c>
      <c r="D1423" s="8">
        <v>56.312519957107114</v>
      </c>
      <c r="E1423" s="39" t="s">
        <v>1950</v>
      </c>
      <c r="F1423" s="8">
        <v>62.282656976051477</v>
      </c>
      <c r="G1423" s="35" t="s">
        <v>1950</v>
      </c>
      <c r="H1423" s="8">
        <v>59.60329560347909</v>
      </c>
      <c r="I1423" s="37" t="s">
        <v>1950</v>
      </c>
      <c r="J1423" s="1">
        <v>1994</v>
      </c>
      <c r="K1423" s="35" t="s">
        <v>1950</v>
      </c>
      <c r="L1423" s="35" t="s">
        <v>1950</v>
      </c>
      <c r="M1423" s="6">
        <v>8393</v>
      </c>
      <c r="N1423" s="54">
        <v>2856</v>
      </c>
      <c r="O1423" s="21">
        <v>0.3402835696413678</v>
      </c>
      <c r="P1423" s="1">
        <v>0</v>
      </c>
      <c r="Q1423" s="1" t="s">
        <v>28</v>
      </c>
      <c r="R1423" s="53">
        <v>0</v>
      </c>
      <c r="S1423" s="53">
        <v>0</v>
      </c>
    </row>
    <row r="1424" spans="1:19" x14ac:dyDescent="0.3">
      <c r="A1424" s="1" t="s">
        <v>56</v>
      </c>
      <c r="B1424" s="1" t="s">
        <v>13</v>
      </c>
      <c r="C1424" s="35" t="s">
        <v>1950</v>
      </c>
      <c r="D1424" s="8">
        <v>48.803954666023628</v>
      </c>
      <c r="E1424" s="39" t="s">
        <v>1950</v>
      </c>
      <c r="F1424" s="8">
        <v>53.642392090667954</v>
      </c>
      <c r="G1424" s="35" t="s">
        <v>1950</v>
      </c>
      <c r="H1424" s="8">
        <v>53.033518205931998</v>
      </c>
      <c r="I1424" s="37" t="s">
        <v>1950</v>
      </c>
      <c r="J1424" s="1">
        <v>2016</v>
      </c>
      <c r="K1424" s="1" t="s">
        <v>21</v>
      </c>
      <c r="L1424" s="1" t="s">
        <v>1598</v>
      </c>
      <c r="M1424" s="6">
        <v>8294</v>
      </c>
      <c r="N1424" s="54">
        <v>280</v>
      </c>
      <c r="O1424" s="21">
        <v>3.3759344104171689E-2</v>
      </c>
      <c r="P1424" s="1">
        <v>0</v>
      </c>
      <c r="Q1424" s="1" t="s">
        <v>28</v>
      </c>
      <c r="R1424" s="53">
        <v>0</v>
      </c>
      <c r="S1424" s="53">
        <v>0</v>
      </c>
    </row>
    <row r="1425" spans="1:19" x14ac:dyDescent="0.3">
      <c r="A1425" s="1" t="s">
        <v>56</v>
      </c>
      <c r="B1425" s="1" t="s">
        <v>13</v>
      </c>
      <c r="C1425" s="35" t="s">
        <v>1950</v>
      </c>
      <c r="D1425" s="8">
        <v>42.042190417878466</v>
      </c>
      <c r="E1425" s="39" t="s">
        <v>1950</v>
      </c>
      <c r="F1425" s="8">
        <v>48.986866676871273</v>
      </c>
      <c r="G1425" s="35" t="s">
        <v>1950</v>
      </c>
      <c r="H1425" s="8">
        <v>51.876118169294351</v>
      </c>
      <c r="I1425" s="37" t="s">
        <v>1950</v>
      </c>
      <c r="J1425" s="1">
        <v>1990</v>
      </c>
      <c r="K1425" s="35" t="s">
        <v>1950</v>
      </c>
      <c r="L1425" s="35" t="s">
        <v>1950</v>
      </c>
      <c r="M1425" s="6">
        <v>6533</v>
      </c>
      <c r="N1425" s="54">
        <v>162</v>
      </c>
      <c r="O1425" s="21">
        <v>2.4797183529771928E-2</v>
      </c>
      <c r="P1425" s="1">
        <v>0</v>
      </c>
      <c r="Q1425" s="1" t="s">
        <v>28</v>
      </c>
      <c r="R1425" s="53">
        <v>0</v>
      </c>
      <c r="S1425" s="53">
        <v>0</v>
      </c>
    </row>
    <row r="1426" spans="1:19" x14ac:dyDescent="0.3">
      <c r="A1426" s="1" t="s">
        <v>56</v>
      </c>
      <c r="B1426" s="1" t="s">
        <v>13</v>
      </c>
      <c r="C1426" s="35" t="s">
        <v>1950</v>
      </c>
      <c r="D1426" s="8">
        <v>55.125279237844943</v>
      </c>
      <c r="E1426" s="39" t="s">
        <v>1950</v>
      </c>
      <c r="F1426" s="8">
        <v>54.464142575558476</v>
      </c>
      <c r="G1426" s="35" t="s">
        <v>1950</v>
      </c>
      <c r="H1426" s="8">
        <v>50.906865965834427</v>
      </c>
      <c r="I1426" s="37" t="s">
        <v>1950</v>
      </c>
      <c r="J1426" s="1">
        <v>2004</v>
      </c>
      <c r="K1426" s="35" t="s">
        <v>1950</v>
      </c>
      <c r="L1426" s="35" t="s">
        <v>1950</v>
      </c>
      <c r="M1426" s="6">
        <v>9132</v>
      </c>
      <c r="N1426" s="54">
        <v>4000</v>
      </c>
      <c r="O1426" s="21">
        <v>0.43802014892685065</v>
      </c>
      <c r="P1426" s="1">
        <v>0</v>
      </c>
      <c r="Q1426" s="1" t="s">
        <v>28</v>
      </c>
      <c r="R1426" s="53">
        <v>0</v>
      </c>
      <c r="S1426" s="53">
        <v>0</v>
      </c>
    </row>
    <row r="1427" spans="1:19" x14ac:dyDescent="0.3">
      <c r="A1427" s="1" t="s">
        <v>56</v>
      </c>
      <c r="B1427" s="1" t="s">
        <v>13</v>
      </c>
      <c r="C1427" s="35" t="s">
        <v>1950</v>
      </c>
      <c r="D1427" s="8">
        <v>46.753373895976445</v>
      </c>
      <c r="E1427" s="39" t="s">
        <v>1950</v>
      </c>
      <c r="F1427" s="8">
        <v>47.357872423945039</v>
      </c>
      <c r="G1427" s="35" t="s">
        <v>1950</v>
      </c>
      <c r="H1427" s="8">
        <v>48.579163886162902</v>
      </c>
      <c r="I1427" s="37" t="s">
        <v>1950</v>
      </c>
      <c r="J1427" s="1">
        <v>2006</v>
      </c>
      <c r="K1427" s="1" t="s">
        <v>21</v>
      </c>
      <c r="L1427" s="1" t="s">
        <v>1601</v>
      </c>
      <c r="M1427" s="6">
        <v>5095</v>
      </c>
      <c r="N1427" s="54">
        <v>915</v>
      </c>
      <c r="O1427" s="21">
        <v>0.17958783120706576</v>
      </c>
      <c r="P1427" s="1">
        <v>0</v>
      </c>
      <c r="Q1427" s="1" t="s">
        <v>28</v>
      </c>
      <c r="R1427" s="53">
        <v>0</v>
      </c>
      <c r="S1427" s="53">
        <v>0</v>
      </c>
    </row>
    <row r="1428" spans="1:19" x14ac:dyDescent="0.3">
      <c r="A1428" s="1" t="s">
        <v>56</v>
      </c>
      <c r="B1428" s="1" t="s">
        <v>13</v>
      </c>
      <c r="C1428" s="35" t="s">
        <v>1950</v>
      </c>
      <c r="D1428" s="8">
        <v>35.770874029104547</v>
      </c>
      <c r="E1428" s="39" t="s">
        <v>1950</v>
      </c>
      <c r="F1428" s="8">
        <v>37.781594500491032</v>
      </c>
      <c r="G1428" s="35" t="s">
        <v>1950</v>
      </c>
      <c r="H1428" s="8">
        <v>38.971754307651103</v>
      </c>
      <c r="I1428" s="37" t="s">
        <v>1950</v>
      </c>
      <c r="J1428" s="1">
        <v>2018</v>
      </c>
      <c r="K1428" s="1" t="s">
        <v>21</v>
      </c>
      <c r="L1428" s="1" t="s">
        <v>1783</v>
      </c>
      <c r="M1428" s="6">
        <v>11201</v>
      </c>
      <c r="N1428" s="54">
        <v>2697</v>
      </c>
      <c r="O1428" s="21">
        <v>0.24078207302919383</v>
      </c>
      <c r="P1428" s="1">
        <v>0</v>
      </c>
      <c r="Q1428" s="1" t="s">
        <v>28</v>
      </c>
      <c r="R1428" s="53">
        <v>0</v>
      </c>
      <c r="S1428" s="53">
        <v>0</v>
      </c>
    </row>
    <row r="1429" spans="1:19" x14ac:dyDescent="0.3">
      <c r="A1429" s="1" t="s">
        <v>56</v>
      </c>
      <c r="B1429" s="1" t="s">
        <v>13</v>
      </c>
      <c r="C1429" s="35" t="s">
        <v>1950</v>
      </c>
      <c r="D1429" s="8">
        <v>31.24558080808081</v>
      </c>
      <c r="E1429" s="39" t="s">
        <v>1950</v>
      </c>
      <c r="F1429" s="8">
        <v>33.294823232323232</v>
      </c>
      <c r="G1429" s="35" t="s">
        <v>1950</v>
      </c>
      <c r="H1429" s="8">
        <v>34.650252525252526</v>
      </c>
      <c r="I1429" s="37" t="s">
        <v>1950</v>
      </c>
      <c r="J1429" s="1">
        <v>1964</v>
      </c>
      <c r="K1429" s="35" t="s">
        <v>1950</v>
      </c>
      <c r="L1429" s="35" t="s">
        <v>1950</v>
      </c>
      <c r="M1429" s="6">
        <v>1584</v>
      </c>
      <c r="N1429" s="54">
        <v>623</v>
      </c>
      <c r="O1429" s="21">
        <v>0.39330808080808083</v>
      </c>
      <c r="P1429" s="1">
        <v>0</v>
      </c>
      <c r="Q1429" s="1" t="s">
        <v>28</v>
      </c>
      <c r="R1429" s="53">
        <v>0</v>
      </c>
      <c r="S1429" s="53">
        <v>0</v>
      </c>
    </row>
    <row r="1430" spans="1:19" x14ac:dyDescent="0.3">
      <c r="A1430" s="1" t="s">
        <v>56</v>
      </c>
      <c r="B1430" s="1" t="s">
        <v>13</v>
      </c>
      <c r="C1430" s="35" t="s">
        <v>1950</v>
      </c>
      <c r="D1430" s="8">
        <v>21.637607592143016</v>
      </c>
      <c r="E1430" s="39" t="s">
        <v>1950</v>
      </c>
      <c r="F1430" s="8">
        <v>22.185499889649083</v>
      </c>
      <c r="G1430" s="35" t="s">
        <v>1950</v>
      </c>
      <c r="H1430" s="8">
        <v>21.975281394835577</v>
      </c>
      <c r="I1430" s="37" t="s">
        <v>1950</v>
      </c>
      <c r="J1430" s="1">
        <v>2014</v>
      </c>
      <c r="K1430" s="35" t="s">
        <v>1950</v>
      </c>
      <c r="L1430" s="35" t="s">
        <v>1950</v>
      </c>
      <c r="M1430" s="6">
        <v>9062</v>
      </c>
      <c r="N1430" s="54">
        <v>1916</v>
      </c>
      <c r="O1430" s="21">
        <v>0.21143235488854559</v>
      </c>
      <c r="P1430" s="1">
        <v>0</v>
      </c>
      <c r="Q1430" s="1" t="s">
        <v>28</v>
      </c>
      <c r="R1430" s="53">
        <v>0</v>
      </c>
      <c r="S1430" s="53">
        <v>0</v>
      </c>
    </row>
    <row r="1431" spans="1:19" x14ac:dyDescent="0.3">
      <c r="A1431" s="1" t="s">
        <v>56</v>
      </c>
      <c r="B1431" s="1" t="s">
        <v>13</v>
      </c>
      <c r="C1431" s="35" t="s">
        <v>1950</v>
      </c>
      <c r="D1431" s="8">
        <v>21.469998999799959</v>
      </c>
      <c r="E1431" s="39" t="s">
        <v>1950</v>
      </c>
      <c r="F1431" s="8">
        <v>20.621542308461692</v>
      </c>
      <c r="G1431" s="35" t="s">
        <v>1950</v>
      </c>
      <c r="H1431" s="8">
        <v>21.933539707941588</v>
      </c>
      <c r="I1431" s="37" t="s">
        <v>1950</v>
      </c>
      <c r="J1431" s="1">
        <v>1991</v>
      </c>
      <c r="K1431" s="35" t="s">
        <v>1950</v>
      </c>
      <c r="L1431" s="35" t="s">
        <v>1950</v>
      </c>
      <c r="M1431" s="6">
        <v>9998</v>
      </c>
      <c r="N1431" s="54">
        <v>0</v>
      </c>
      <c r="O1431" s="21">
        <v>0</v>
      </c>
      <c r="P1431" s="1">
        <v>0</v>
      </c>
      <c r="Q1431" s="1" t="s">
        <v>28</v>
      </c>
      <c r="R1431" s="53">
        <v>0</v>
      </c>
      <c r="S1431" s="53">
        <v>0</v>
      </c>
    </row>
    <row r="1432" spans="1:19" x14ac:dyDescent="0.3">
      <c r="A1432" s="1" t="s">
        <v>56</v>
      </c>
      <c r="B1432" s="1" t="s">
        <v>13</v>
      </c>
      <c r="C1432" s="35" t="s">
        <v>1950</v>
      </c>
      <c r="D1432" s="8">
        <v>3.0512478253044573</v>
      </c>
      <c r="E1432" s="39" t="s">
        <v>1950</v>
      </c>
      <c r="F1432" s="8">
        <v>3.1365858779770832</v>
      </c>
      <c r="G1432" s="35" t="s">
        <v>1950</v>
      </c>
      <c r="H1432" s="8">
        <v>2.9064430979662847</v>
      </c>
      <c r="I1432" s="37" t="s">
        <v>1950</v>
      </c>
      <c r="J1432" s="1">
        <v>1900</v>
      </c>
      <c r="K1432" s="35" t="s">
        <v>1950</v>
      </c>
      <c r="L1432" s="35" t="s">
        <v>1950</v>
      </c>
      <c r="M1432" s="6">
        <v>66676</v>
      </c>
      <c r="N1432" s="54">
        <v>700</v>
      </c>
      <c r="O1432" s="21">
        <v>1.0498530205771192E-2</v>
      </c>
      <c r="P1432" s="1">
        <v>0</v>
      </c>
      <c r="Q1432" s="1" t="s">
        <v>28</v>
      </c>
      <c r="R1432" s="53">
        <v>0</v>
      </c>
      <c r="S1432" s="53">
        <v>0</v>
      </c>
    </row>
    <row r="1433" spans="1:19" x14ac:dyDescent="0.3">
      <c r="A1433" s="1" t="s">
        <v>56</v>
      </c>
      <c r="B1433" s="1" t="s">
        <v>381</v>
      </c>
      <c r="C1433" s="35" t="s">
        <v>1950</v>
      </c>
      <c r="D1433" s="8">
        <v>199.16173013262645</v>
      </c>
      <c r="E1433" s="39" t="s">
        <v>1950</v>
      </c>
      <c r="F1433" s="8">
        <v>221.50678270596927</v>
      </c>
      <c r="G1433" s="35" t="s">
        <v>1950</v>
      </c>
      <c r="H1433" s="8">
        <v>233.28891415300529</v>
      </c>
      <c r="I1433" s="37" t="s">
        <v>1950</v>
      </c>
      <c r="J1433" s="1">
        <v>2000</v>
      </c>
      <c r="K1433" s="1" t="s">
        <v>21</v>
      </c>
      <c r="L1433" s="1" t="s">
        <v>1601</v>
      </c>
      <c r="M1433" s="6">
        <v>16448.45</v>
      </c>
      <c r="N1433" s="54">
        <v>898097</v>
      </c>
      <c r="O1433" s="21">
        <v>54.600707057503897</v>
      </c>
      <c r="P1433" s="1">
        <v>0</v>
      </c>
      <c r="Q1433" s="1" t="s">
        <v>1589</v>
      </c>
      <c r="R1433" s="53">
        <v>0</v>
      </c>
      <c r="S1433" s="55">
        <v>0.71</v>
      </c>
    </row>
    <row r="1434" spans="1:19" x14ac:dyDescent="0.3">
      <c r="A1434" s="1" t="s">
        <v>56</v>
      </c>
      <c r="B1434" s="1" t="s">
        <v>381</v>
      </c>
      <c r="C1434" s="35" t="s">
        <v>1950</v>
      </c>
      <c r="D1434" s="8">
        <v>164.41340255245512</v>
      </c>
      <c r="E1434" s="39" t="s">
        <v>1950</v>
      </c>
      <c r="F1434" s="8">
        <v>185.24333693849593</v>
      </c>
      <c r="G1434" s="35" t="s">
        <v>1950</v>
      </c>
      <c r="H1434" s="8">
        <v>192.97966399884635</v>
      </c>
      <c r="I1434" s="37" t="s">
        <v>1950</v>
      </c>
      <c r="J1434" s="1">
        <v>2014</v>
      </c>
      <c r="K1434" s="35" t="s">
        <v>1950</v>
      </c>
      <c r="L1434" s="35" t="s">
        <v>1950</v>
      </c>
      <c r="M1434" s="6">
        <v>13869</v>
      </c>
      <c r="N1434" s="54">
        <v>10000</v>
      </c>
      <c r="O1434" s="21">
        <v>0.72103251856658734</v>
      </c>
      <c r="P1434" s="1">
        <v>0</v>
      </c>
      <c r="Q1434" s="1" t="s">
        <v>1589</v>
      </c>
      <c r="R1434" s="55">
        <v>4</v>
      </c>
      <c r="S1434" s="53">
        <v>0</v>
      </c>
    </row>
    <row r="1435" spans="1:19" x14ac:dyDescent="0.3">
      <c r="A1435" s="1" t="s">
        <v>56</v>
      </c>
      <c r="B1435" s="1" t="s">
        <v>381</v>
      </c>
      <c r="C1435" s="35" t="s">
        <v>1950</v>
      </c>
      <c r="D1435" s="8">
        <v>313.81</v>
      </c>
      <c r="E1435" s="39" t="s">
        <v>1950</v>
      </c>
      <c r="F1435" s="8">
        <v>292.48766475644697</v>
      </c>
      <c r="G1435" s="35" t="s">
        <v>1950</v>
      </c>
      <c r="H1435" s="8">
        <v>187.75458452722063</v>
      </c>
      <c r="I1435" s="37" t="s">
        <v>1950</v>
      </c>
      <c r="J1435" s="1">
        <v>2010</v>
      </c>
      <c r="K1435" s="1" t="s">
        <v>19</v>
      </c>
      <c r="L1435" s="1" t="s">
        <v>1601</v>
      </c>
      <c r="M1435" s="6">
        <v>20940</v>
      </c>
      <c r="N1435" s="54">
        <v>19384</v>
      </c>
      <c r="O1435" s="21">
        <v>0.92569245463228267</v>
      </c>
      <c r="P1435" s="1">
        <v>0</v>
      </c>
      <c r="Q1435" s="1" t="s">
        <v>1590</v>
      </c>
      <c r="R1435" s="53">
        <v>0</v>
      </c>
      <c r="S1435" s="55">
        <v>1.21</v>
      </c>
    </row>
    <row r="1436" spans="1:19" x14ac:dyDescent="0.3">
      <c r="A1436" s="1" t="s">
        <v>56</v>
      </c>
      <c r="B1436" s="1" t="s">
        <v>381</v>
      </c>
      <c r="C1436" s="35" t="s">
        <v>1950</v>
      </c>
      <c r="D1436" s="8">
        <v>117.74735336747513</v>
      </c>
      <c r="E1436" s="39" t="s">
        <v>1950</v>
      </c>
      <c r="F1436" s="8">
        <v>138.15910522755823</v>
      </c>
      <c r="G1436" s="35" t="s">
        <v>1950</v>
      </c>
      <c r="H1436" s="8">
        <v>140.67499468547686</v>
      </c>
      <c r="I1436" s="37" t="s">
        <v>1950</v>
      </c>
      <c r="J1436" s="1">
        <v>2001</v>
      </c>
      <c r="K1436" s="35" t="s">
        <v>1950</v>
      </c>
      <c r="L1436" s="35" t="s">
        <v>1950</v>
      </c>
      <c r="M1436" s="6">
        <v>10349</v>
      </c>
      <c r="N1436" s="54">
        <v>9700</v>
      </c>
      <c r="O1436" s="21">
        <v>0.93728862692047543</v>
      </c>
      <c r="P1436" s="1">
        <v>0</v>
      </c>
      <c r="Q1436" s="1" t="s">
        <v>1590</v>
      </c>
      <c r="R1436" s="53">
        <v>0</v>
      </c>
      <c r="S1436" s="55">
        <v>1.07</v>
      </c>
    </row>
    <row r="1437" spans="1:19" x14ac:dyDescent="0.3">
      <c r="A1437" s="1" t="s">
        <v>56</v>
      </c>
      <c r="B1437" s="1" t="s">
        <v>381</v>
      </c>
      <c r="C1437" s="35" t="s">
        <v>1950</v>
      </c>
      <c r="D1437" s="8">
        <v>156.73083575051575</v>
      </c>
      <c r="E1437" s="39" t="s">
        <v>1950</v>
      </c>
      <c r="F1437" s="8">
        <v>165.01379732894878</v>
      </c>
      <c r="G1437" s="35" t="s">
        <v>1950</v>
      </c>
      <c r="H1437" s="8">
        <v>110.38132280631001</v>
      </c>
      <c r="I1437" s="37" t="s">
        <v>1950</v>
      </c>
      <c r="J1437" s="1">
        <v>2015</v>
      </c>
      <c r="K1437" s="1" t="s">
        <v>21</v>
      </c>
      <c r="L1437" s="1" t="s">
        <v>1783</v>
      </c>
      <c r="M1437" s="6">
        <v>64469</v>
      </c>
      <c r="N1437" s="54">
        <v>60980</v>
      </c>
      <c r="O1437" s="21">
        <v>0.94588096604569638</v>
      </c>
      <c r="P1437" s="1">
        <v>0</v>
      </c>
      <c r="Q1437" s="1" t="s">
        <v>1589</v>
      </c>
      <c r="R1437" s="55">
        <v>8</v>
      </c>
      <c r="S1437" s="55">
        <v>0.64300000000000002</v>
      </c>
    </row>
    <row r="1438" spans="1:19" x14ac:dyDescent="0.3">
      <c r="A1438" s="1" t="s">
        <v>56</v>
      </c>
      <c r="B1438" s="1" t="s">
        <v>381</v>
      </c>
      <c r="C1438" s="35" t="s">
        <v>1950</v>
      </c>
      <c r="D1438" s="8">
        <v>68.794354294782778</v>
      </c>
      <c r="E1438" s="39" t="s">
        <v>1950</v>
      </c>
      <c r="F1438" s="8">
        <v>78.089942471731803</v>
      </c>
      <c r="G1438" s="35" t="s">
        <v>1950</v>
      </c>
      <c r="H1438" s="8">
        <v>88.546982080275072</v>
      </c>
      <c r="I1438" s="37" t="s">
        <v>1950</v>
      </c>
      <c r="J1438" s="1">
        <v>2016</v>
      </c>
      <c r="K1438" s="1" t="s">
        <v>19</v>
      </c>
      <c r="L1438" s="1" t="s">
        <v>1598</v>
      </c>
      <c r="M1438" s="6">
        <v>15123</v>
      </c>
      <c r="N1438" s="54">
        <v>9342</v>
      </c>
      <c r="O1438" s="21">
        <v>0.61773457647292207</v>
      </c>
      <c r="P1438" s="1">
        <v>0</v>
      </c>
      <c r="Q1438" s="1" t="s">
        <v>1821</v>
      </c>
      <c r="R1438" s="53">
        <v>0</v>
      </c>
      <c r="S1438" s="53">
        <v>0</v>
      </c>
    </row>
    <row r="1439" spans="1:19" x14ac:dyDescent="0.3">
      <c r="A1439" s="1" t="s">
        <v>134</v>
      </c>
      <c r="B1439" s="1" t="s">
        <v>397</v>
      </c>
      <c r="C1439" s="35" t="s">
        <v>1950</v>
      </c>
      <c r="D1439" s="8">
        <v>411.33167759115116</v>
      </c>
      <c r="E1439" s="39" t="s">
        <v>1950</v>
      </c>
      <c r="F1439" s="8">
        <v>461.57699201147074</v>
      </c>
      <c r="G1439" s="35" t="s">
        <v>1950</v>
      </c>
      <c r="H1439" s="8">
        <v>477.76715997541987</v>
      </c>
      <c r="I1439" s="37" t="s">
        <v>1950</v>
      </c>
      <c r="J1439" s="1">
        <v>2010</v>
      </c>
      <c r="K1439" s="35" t="s">
        <v>1950</v>
      </c>
      <c r="L1439" s="35" t="s">
        <v>1950</v>
      </c>
      <c r="M1439" s="6">
        <v>9764</v>
      </c>
      <c r="N1439" s="54">
        <v>6205</v>
      </c>
      <c r="O1439" s="21">
        <v>0.63549774682507165</v>
      </c>
      <c r="P1439" s="1">
        <v>0</v>
      </c>
      <c r="Q1439" s="1" t="s">
        <v>28</v>
      </c>
      <c r="R1439" s="53">
        <v>0</v>
      </c>
      <c r="S1439" s="53">
        <v>0</v>
      </c>
    </row>
    <row r="1440" spans="1:19" x14ac:dyDescent="0.3">
      <c r="A1440" s="1" t="s">
        <v>134</v>
      </c>
      <c r="B1440" s="1" t="s">
        <v>397</v>
      </c>
      <c r="C1440" s="35" t="s">
        <v>1950</v>
      </c>
      <c r="D1440" s="8">
        <v>198.24990139507705</v>
      </c>
      <c r="E1440" s="39" t="s">
        <v>1950</v>
      </c>
      <c r="F1440" s="8">
        <v>227.1958658973048</v>
      </c>
      <c r="G1440" s="35" t="s">
        <v>1950</v>
      </c>
      <c r="H1440" s="8">
        <v>232.28271857424588</v>
      </c>
      <c r="I1440" s="37" t="s">
        <v>1950</v>
      </c>
      <c r="J1440" s="1">
        <v>2008</v>
      </c>
      <c r="K1440" s="1" t="s">
        <v>25</v>
      </c>
      <c r="L1440" s="1" t="s">
        <v>1599</v>
      </c>
      <c r="M1440" s="6">
        <v>13691</v>
      </c>
      <c r="N1440" s="54">
        <v>1962</v>
      </c>
      <c r="O1440" s="21">
        <v>0.14330582134248776</v>
      </c>
      <c r="P1440" s="1">
        <v>0</v>
      </c>
      <c r="Q1440" s="1" t="s">
        <v>28</v>
      </c>
      <c r="R1440" s="53">
        <v>0</v>
      </c>
      <c r="S1440" s="53">
        <v>0</v>
      </c>
    </row>
    <row r="1441" spans="1:19" x14ac:dyDescent="0.3">
      <c r="A1441" s="1" t="s">
        <v>134</v>
      </c>
      <c r="B1441" s="1" t="s">
        <v>397</v>
      </c>
      <c r="C1441" s="35" t="s">
        <v>1950</v>
      </c>
      <c r="D1441" s="8">
        <v>212.15495338983052</v>
      </c>
      <c r="E1441" s="39" t="s">
        <v>1950</v>
      </c>
      <c r="F1441" s="8">
        <v>205.72212711864407</v>
      </c>
      <c r="G1441" s="35" t="s">
        <v>1950</v>
      </c>
      <c r="H1441" s="8">
        <v>218.04701694915252</v>
      </c>
      <c r="I1441" s="37" t="s">
        <v>1950</v>
      </c>
      <c r="J1441" s="1">
        <v>2011</v>
      </c>
      <c r="K1441" s="1" t="s">
        <v>21</v>
      </c>
      <c r="L1441" s="1" t="s">
        <v>1603</v>
      </c>
      <c r="M1441" s="6">
        <v>11800</v>
      </c>
      <c r="N1441" s="54">
        <v>1400</v>
      </c>
      <c r="O1441" s="21">
        <v>0.11864406779661017</v>
      </c>
      <c r="P1441" s="1">
        <v>0</v>
      </c>
      <c r="Q1441" s="1" t="s">
        <v>28</v>
      </c>
      <c r="R1441" s="53">
        <v>0</v>
      </c>
      <c r="S1441" s="53">
        <v>0</v>
      </c>
    </row>
    <row r="1442" spans="1:19" x14ac:dyDescent="0.3">
      <c r="A1442" s="1" t="s">
        <v>134</v>
      </c>
      <c r="B1442" s="1" t="s">
        <v>397</v>
      </c>
      <c r="C1442" s="35" t="s">
        <v>1950</v>
      </c>
      <c r="D1442" s="8">
        <v>174.49271061093245</v>
      </c>
      <c r="E1442" s="39" t="s">
        <v>1950</v>
      </c>
      <c r="F1442" s="8">
        <v>186.88688102893889</v>
      </c>
      <c r="G1442" s="35" t="s">
        <v>1950</v>
      </c>
      <c r="H1442" s="8">
        <v>182.28805466237941</v>
      </c>
      <c r="I1442" s="37" t="s">
        <v>1950</v>
      </c>
      <c r="J1442" s="1">
        <v>1970</v>
      </c>
      <c r="K1442" s="35" t="s">
        <v>1950</v>
      </c>
      <c r="L1442" s="35" t="s">
        <v>1950</v>
      </c>
      <c r="M1442" s="6">
        <v>3110</v>
      </c>
      <c r="N1442" s="54">
        <v>211</v>
      </c>
      <c r="O1442" s="21">
        <v>6.7845659163987132E-2</v>
      </c>
      <c r="P1442" s="1">
        <v>0</v>
      </c>
      <c r="Q1442" s="1" t="s">
        <v>1787</v>
      </c>
      <c r="R1442" s="53">
        <v>0</v>
      </c>
      <c r="S1442" s="53">
        <v>0</v>
      </c>
    </row>
    <row r="1443" spans="1:19" x14ac:dyDescent="0.3">
      <c r="A1443" s="1" t="s">
        <v>134</v>
      </c>
      <c r="B1443" s="1" t="s">
        <v>397</v>
      </c>
      <c r="C1443" s="35" t="s">
        <v>1950</v>
      </c>
      <c r="D1443" s="8">
        <v>200.84158625452861</v>
      </c>
      <c r="E1443" s="39" t="s">
        <v>1950</v>
      </c>
      <c r="F1443" s="8">
        <v>171.93960040695461</v>
      </c>
      <c r="G1443" s="35" t="s">
        <v>1950</v>
      </c>
      <c r="H1443" s="8">
        <v>170.22311973729921</v>
      </c>
      <c r="I1443" s="37" t="s">
        <v>1950</v>
      </c>
      <c r="J1443" s="1">
        <v>2014</v>
      </c>
      <c r="K1443" s="1" t="s">
        <v>21</v>
      </c>
      <c r="L1443" s="1" t="s">
        <v>1603</v>
      </c>
      <c r="M1443" s="6">
        <v>241796</v>
      </c>
      <c r="N1443" s="54">
        <v>100810</v>
      </c>
      <c r="O1443" s="21">
        <v>0.41692170259226785</v>
      </c>
      <c r="P1443" s="1">
        <v>0</v>
      </c>
      <c r="Q1443" s="1" t="s">
        <v>1589</v>
      </c>
      <c r="R1443" s="55">
        <v>9</v>
      </c>
      <c r="S1443" s="55">
        <v>0.73</v>
      </c>
    </row>
    <row r="1444" spans="1:19" x14ac:dyDescent="0.3">
      <c r="A1444" s="1" t="s">
        <v>134</v>
      </c>
      <c r="B1444" s="1" t="s">
        <v>397</v>
      </c>
      <c r="C1444" s="35" t="s">
        <v>1950</v>
      </c>
      <c r="D1444" s="8">
        <v>204.93061459088358</v>
      </c>
      <c r="E1444" s="39" t="s">
        <v>1950</v>
      </c>
      <c r="F1444" s="8">
        <v>150.52485310260218</v>
      </c>
      <c r="G1444" s="35" t="s">
        <v>1950</v>
      </c>
      <c r="H1444" s="8">
        <v>167.05762161267469</v>
      </c>
      <c r="I1444" s="37" t="s">
        <v>1950</v>
      </c>
      <c r="J1444" s="1">
        <v>1973</v>
      </c>
      <c r="K1444" s="35" t="s">
        <v>1950</v>
      </c>
      <c r="L1444" s="35" t="s">
        <v>1950</v>
      </c>
      <c r="M1444" s="6">
        <v>13744.7125</v>
      </c>
      <c r="N1444" s="54">
        <v>2000</v>
      </c>
      <c r="O1444" s="21">
        <v>0.14551050085623835</v>
      </c>
      <c r="P1444" s="1">
        <v>0</v>
      </c>
      <c r="Q1444" s="1" t="s">
        <v>1821</v>
      </c>
      <c r="R1444" s="53">
        <v>0</v>
      </c>
      <c r="S1444" s="53">
        <v>0</v>
      </c>
    </row>
    <row r="1445" spans="1:19" x14ac:dyDescent="0.3">
      <c r="A1445" s="1" t="s">
        <v>134</v>
      </c>
      <c r="B1445" s="1" t="s">
        <v>397</v>
      </c>
      <c r="C1445" s="35" t="s">
        <v>1950</v>
      </c>
      <c r="D1445" s="8">
        <v>76.737095430563699</v>
      </c>
      <c r="E1445" s="39" t="s">
        <v>1950</v>
      </c>
      <c r="F1445" s="8">
        <v>87.72618863965937</v>
      </c>
      <c r="G1445" s="35" t="s">
        <v>1950</v>
      </c>
      <c r="H1445" s="8">
        <v>123.09149671407856</v>
      </c>
      <c r="I1445" s="37" t="s">
        <v>1950</v>
      </c>
      <c r="J1445" s="1">
        <v>1989</v>
      </c>
      <c r="K1445" s="35" t="s">
        <v>1950</v>
      </c>
      <c r="L1445" s="35" t="s">
        <v>1950</v>
      </c>
      <c r="M1445" s="6">
        <v>32411</v>
      </c>
      <c r="N1445" s="54">
        <v>20000</v>
      </c>
      <c r="O1445" s="21">
        <v>0.61707445003239636</v>
      </c>
      <c r="P1445" s="1">
        <v>0</v>
      </c>
      <c r="Q1445" s="1" t="s">
        <v>1589</v>
      </c>
      <c r="R1445" s="55">
        <v>19</v>
      </c>
      <c r="S1445" s="55">
        <v>0.91</v>
      </c>
    </row>
    <row r="1446" spans="1:19" x14ac:dyDescent="0.3">
      <c r="A1446" s="1" t="s">
        <v>134</v>
      </c>
      <c r="B1446" s="1" t="s">
        <v>397</v>
      </c>
      <c r="C1446" s="35" t="s">
        <v>1950</v>
      </c>
      <c r="D1446" s="8">
        <v>96.409410892923304</v>
      </c>
      <c r="E1446" s="39" t="s">
        <v>1950</v>
      </c>
      <c r="F1446" s="8">
        <v>94.35192928597894</v>
      </c>
      <c r="G1446" s="35" t="s">
        <v>1950</v>
      </c>
      <c r="H1446" s="8">
        <v>103.46771290954322</v>
      </c>
      <c r="I1446" s="37" t="s">
        <v>1950</v>
      </c>
      <c r="J1446" s="1">
        <v>2000</v>
      </c>
      <c r="K1446" s="1" t="s">
        <v>25</v>
      </c>
      <c r="L1446" s="1" t="s">
        <v>1924</v>
      </c>
      <c r="M1446" s="6">
        <v>18893</v>
      </c>
      <c r="N1446" s="54">
        <v>865</v>
      </c>
      <c r="O1446" s="21">
        <v>4.5784152860847936E-2</v>
      </c>
      <c r="P1446" s="1">
        <v>0</v>
      </c>
      <c r="Q1446" s="1" t="s">
        <v>28</v>
      </c>
      <c r="R1446" s="53">
        <v>0</v>
      </c>
      <c r="S1446" s="53">
        <v>0</v>
      </c>
    </row>
    <row r="1447" spans="1:19" x14ac:dyDescent="0.3">
      <c r="A1447" s="1" t="s">
        <v>134</v>
      </c>
      <c r="B1447" s="1" t="s">
        <v>397</v>
      </c>
      <c r="C1447" s="35" t="s">
        <v>1950</v>
      </c>
      <c r="D1447" s="8">
        <v>84.135553912342033</v>
      </c>
      <c r="E1447" s="39" t="s">
        <v>1950</v>
      </c>
      <c r="F1447" s="8">
        <v>83.750618445818759</v>
      </c>
      <c r="G1447" s="35" t="s">
        <v>1950</v>
      </c>
      <c r="H1447" s="8">
        <v>86.390561979026614</v>
      </c>
      <c r="I1447" s="37" t="s">
        <v>1950</v>
      </c>
      <c r="J1447" s="1">
        <v>2006</v>
      </c>
      <c r="K1447" s="1" t="s">
        <v>25</v>
      </c>
      <c r="L1447" s="1" t="s">
        <v>1599</v>
      </c>
      <c r="M1447" s="6">
        <v>29752</v>
      </c>
      <c r="N1447" s="54">
        <v>1735</v>
      </c>
      <c r="O1447" s="21">
        <v>5.8315407367571931E-2</v>
      </c>
      <c r="P1447" s="1">
        <v>0</v>
      </c>
      <c r="Q1447" s="1" t="s">
        <v>1821</v>
      </c>
      <c r="R1447" s="53">
        <v>0</v>
      </c>
      <c r="S1447" s="53">
        <v>0</v>
      </c>
    </row>
    <row r="1448" spans="1:19" x14ac:dyDescent="0.3">
      <c r="A1448" s="1" t="s">
        <v>134</v>
      </c>
      <c r="B1448" s="1" t="s">
        <v>397</v>
      </c>
      <c r="C1448" s="35" t="s">
        <v>1950</v>
      </c>
      <c r="D1448" s="8">
        <v>55.207725868725873</v>
      </c>
      <c r="E1448" s="39" t="s">
        <v>1950</v>
      </c>
      <c r="F1448" s="8">
        <v>48.926623552123552</v>
      </c>
      <c r="G1448" s="35" t="s">
        <v>1950</v>
      </c>
      <c r="H1448" s="8">
        <v>77.169202702702705</v>
      </c>
      <c r="I1448" s="37" t="s">
        <v>1950</v>
      </c>
      <c r="J1448" s="1">
        <v>2003</v>
      </c>
      <c r="K1448" s="1" t="s">
        <v>25</v>
      </c>
      <c r="L1448" s="1" t="s">
        <v>1599</v>
      </c>
      <c r="M1448" s="6">
        <v>25900</v>
      </c>
      <c r="N1448" s="54">
        <v>400</v>
      </c>
      <c r="O1448" s="21">
        <v>1.5444015444015444E-2</v>
      </c>
      <c r="P1448" s="1">
        <v>0</v>
      </c>
      <c r="Q1448" s="1" t="s">
        <v>28</v>
      </c>
      <c r="R1448" s="53">
        <v>0</v>
      </c>
      <c r="S1448" s="53">
        <v>0</v>
      </c>
    </row>
    <row r="1449" spans="1:19" x14ac:dyDescent="0.3">
      <c r="A1449" s="1" t="s">
        <v>134</v>
      </c>
      <c r="B1449" s="1" t="s">
        <v>397</v>
      </c>
      <c r="C1449" s="35" t="s">
        <v>1950</v>
      </c>
      <c r="D1449" s="8">
        <v>73.165354547240227</v>
      </c>
      <c r="E1449" s="39" t="s">
        <v>1950</v>
      </c>
      <c r="F1449" s="8">
        <v>56.009434295816149</v>
      </c>
      <c r="G1449" s="35" t="s">
        <v>1950</v>
      </c>
      <c r="H1449" s="8">
        <v>69.183058338243967</v>
      </c>
      <c r="I1449" s="37" t="s">
        <v>1950</v>
      </c>
      <c r="J1449" s="1">
        <v>1990</v>
      </c>
      <c r="K1449" s="35" t="s">
        <v>1950</v>
      </c>
      <c r="L1449" s="35" t="s">
        <v>1950</v>
      </c>
      <c r="M1449" s="6">
        <v>5091</v>
      </c>
      <c r="N1449" s="54">
        <v>300</v>
      </c>
      <c r="O1449" s="21">
        <v>5.8927519151443723E-2</v>
      </c>
      <c r="P1449" s="1">
        <v>0</v>
      </c>
      <c r="Q1449" s="1" t="s">
        <v>28</v>
      </c>
      <c r="R1449" s="53">
        <v>0</v>
      </c>
      <c r="S1449" s="53">
        <v>0</v>
      </c>
    </row>
    <row r="1450" spans="1:19" x14ac:dyDescent="0.3">
      <c r="A1450" s="1" t="s">
        <v>134</v>
      </c>
      <c r="B1450" s="1" t="s">
        <v>397</v>
      </c>
      <c r="C1450" s="35" t="s">
        <v>1950</v>
      </c>
      <c r="D1450" s="8">
        <v>7.7641773148148152</v>
      </c>
      <c r="E1450" s="39" t="s">
        <v>1950</v>
      </c>
      <c r="F1450" s="8">
        <v>11.699666666666666</v>
      </c>
      <c r="G1450" s="35" t="s">
        <v>1950</v>
      </c>
      <c r="H1450" s="8">
        <v>11.34675</v>
      </c>
      <c r="I1450" s="37" t="s">
        <v>1950</v>
      </c>
      <c r="J1450" s="1">
        <v>1981</v>
      </c>
      <c r="K1450" s="35" t="s">
        <v>1950</v>
      </c>
      <c r="L1450" s="35" t="s">
        <v>1950</v>
      </c>
      <c r="M1450" s="6">
        <v>21600</v>
      </c>
      <c r="N1450" s="54">
        <v>800</v>
      </c>
      <c r="O1450" s="21">
        <v>3.7037037037037035E-2</v>
      </c>
      <c r="P1450" s="1">
        <v>0</v>
      </c>
      <c r="Q1450" s="1" t="s">
        <v>28</v>
      </c>
      <c r="R1450" s="53">
        <v>0</v>
      </c>
      <c r="S1450" s="53">
        <v>0</v>
      </c>
    </row>
    <row r="1451" spans="1:19" x14ac:dyDescent="0.3">
      <c r="A1451" s="1" t="s">
        <v>134</v>
      </c>
      <c r="B1451" s="1" t="s">
        <v>397</v>
      </c>
      <c r="C1451" s="35" t="s">
        <v>1950</v>
      </c>
      <c r="D1451" s="8">
        <v>0</v>
      </c>
      <c r="E1451" s="39" t="s">
        <v>1950</v>
      </c>
      <c r="F1451" s="8">
        <v>0</v>
      </c>
      <c r="G1451" s="35" t="s">
        <v>1950</v>
      </c>
      <c r="H1451" s="8">
        <v>0</v>
      </c>
      <c r="I1451" s="37" t="s">
        <v>1950</v>
      </c>
      <c r="J1451" s="1">
        <v>1993</v>
      </c>
      <c r="K1451" s="35" t="s">
        <v>1950</v>
      </c>
      <c r="L1451" s="35" t="s">
        <v>1950</v>
      </c>
      <c r="M1451" s="6">
        <v>9406</v>
      </c>
      <c r="N1451" s="54">
        <v>2533</v>
      </c>
      <c r="O1451" s="21">
        <v>0.26929619391877524</v>
      </c>
      <c r="P1451" s="1">
        <v>0</v>
      </c>
      <c r="Q1451" s="1" t="s">
        <v>28</v>
      </c>
      <c r="R1451" s="53">
        <v>0</v>
      </c>
      <c r="S1451" s="53">
        <v>0</v>
      </c>
    </row>
    <row r="1452" spans="1:19" x14ac:dyDescent="0.3">
      <c r="A1452" s="1" t="s">
        <v>134</v>
      </c>
      <c r="B1452" s="1" t="s">
        <v>397</v>
      </c>
      <c r="C1452" s="35" t="s">
        <v>1950</v>
      </c>
      <c r="D1452" s="8">
        <v>0</v>
      </c>
      <c r="E1452" s="39" t="s">
        <v>1950</v>
      </c>
      <c r="F1452" s="8">
        <v>0</v>
      </c>
      <c r="G1452" s="35" t="s">
        <v>1950</v>
      </c>
      <c r="H1452" s="8">
        <v>0</v>
      </c>
      <c r="I1452" s="37" t="s">
        <v>1950</v>
      </c>
      <c r="J1452" s="1">
        <v>1990</v>
      </c>
      <c r="K1452" s="35" t="s">
        <v>1950</v>
      </c>
      <c r="L1452" s="35" t="s">
        <v>1950</v>
      </c>
      <c r="M1452" s="6">
        <v>2072</v>
      </c>
      <c r="N1452" s="54">
        <v>100</v>
      </c>
      <c r="O1452" s="21">
        <v>4.8262548262548263E-2</v>
      </c>
      <c r="P1452" s="1">
        <v>0</v>
      </c>
      <c r="Q1452" s="1" t="s">
        <v>28</v>
      </c>
      <c r="R1452" s="53">
        <v>0</v>
      </c>
      <c r="S1452" s="53">
        <v>0</v>
      </c>
    </row>
    <row r="1453" spans="1:19" x14ac:dyDescent="0.3">
      <c r="A1453" s="1" t="s">
        <v>134</v>
      </c>
      <c r="B1453" s="1" t="s">
        <v>133</v>
      </c>
      <c r="C1453" s="35" t="s">
        <v>1950</v>
      </c>
      <c r="D1453" s="8">
        <v>483.03705196451205</v>
      </c>
      <c r="E1453" s="39" t="s">
        <v>1950</v>
      </c>
      <c r="F1453" s="8">
        <v>524.59098859315588</v>
      </c>
      <c r="G1453" s="35" t="s">
        <v>1950</v>
      </c>
      <c r="H1453" s="8">
        <v>560.59076045627376</v>
      </c>
      <c r="I1453" s="37" t="s">
        <v>1950</v>
      </c>
      <c r="J1453" s="1">
        <v>1981</v>
      </c>
      <c r="K1453" s="35" t="s">
        <v>1950</v>
      </c>
      <c r="L1453" s="35" t="s">
        <v>1950</v>
      </c>
      <c r="M1453" s="6">
        <v>3945</v>
      </c>
      <c r="N1453" s="54">
        <v>4358</v>
      </c>
      <c r="O1453" s="21">
        <v>1.1046894803548797</v>
      </c>
      <c r="P1453" s="1">
        <v>0</v>
      </c>
      <c r="Q1453" s="1" t="s">
        <v>1590</v>
      </c>
      <c r="R1453" s="53">
        <v>0</v>
      </c>
      <c r="S1453" s="53">
        <v>0</v>
      </c>
    </row>
    <row r="1454" spans="1:19" x14ac:dyDescent="0.3">
      <c r="A1454" s="1" t="s">
        <v>134</v>
      </c>
      <c r="B1454" s="1" t="s">
        <v>133</v>
      </c>
      <c r="C1454" s="35" t="s">
        <v>1950</v>
      </c>
      <c r="D1454" s="8">
        <v>1904.9043850267381</v>
      </c>
      <c r="E1454" s="39" t="s">
        <v>1950</v>
      </c>
      <c r="F1454" s="8">
        <v>1790.1931818181815</v>
      </c>
      <c r="G1454" s="35" t="s">
        <v>1950</v>
      </c>
      <c r="H1454" s="8">
        <v>552.0743582887701</v>
      </c>
      <c r="I1454" s="37" t="s">
        <v>1950</v>
      </c>
      <c r="J1454" s="1">
        <v>1973</v>
      </c>
      <c r="K1454" s="35" t="s">
        <v>1950</v>
      </c>
      <c r="L1454" s="35" t="s">
        <v>1950</v>
      </c>
      <c r="M1454" s="6">
        <v>374</v>
      </c>
      <c r="N1454" s="54">
        <v>4556</v>
      </c>
      <c r="O1454" s="21">
        <v>12.181818181818182</v>
      </c>
      <c r="P1454" s="1">
        <v>46</v>
      </c>
      <c r="Q1454" s="1" t="s">
        <v>28</v>
      </c>
      <c r="R1454" s="53">
        <v>0</v>
      </c>
      <c r="S1454" s="53">
        <v>0</v>
      </c>
    </row>
    <row r="1455" spans="1:19" x14ac:dyDescent="0.3">
      <c r="A1455" s="1" t="s">
        <v>134</v>
      </c>
      <c r="B1455" s="1" t="s">
        <v>133</v>
      </c>
      <c r="C1455" s="35" t="s">
        <v>1950</v>
      </c>
      <c r="D1455" s="8">
        <v>376.05929293469541</v>
      </c>
      <c r="E1455" s="39" t="s">
        <v>1950</v>
      </c>
      <c r="F1455" s="8">
        <v>459.56467347702835</v>
      </c>
      <c r="G1455" s="35" t="s">
        <v>1950</v>
      </c>
      <c r="H1455" s="8">
        <v>504.77734395892389</v>
      </c>
      <c r="I1455" s="37" t="s">
        <v>1950</v>
      </c>
      <c r="J1455" s="1">
        <v>2003</v>
      </c>
      <c r="K1455" s="35" t="s">
        <v>1950</v>
      </c>
      <c r="L1455" s="35" t="s">
        <v>1950</v>
      </c>
      <c r="M1455" s="6">
        <v>18697</v>
      </c>
      <c r="N1455" s="54">
        <v>14957</v>
      </c>
      <c r="O1455" s="21">
        <v>0.79996790929026051</v>
      </c>
      <c r="P1455" s="1">
        <v>0</v>
      </c>
      <c r="Q1455" s="1" t="s">
        <v>1589</v>
      </c>
      <c r="R1455" s="55">
        <v>12</v>
      </c>
      <c r="S1455" s="53">
        <v>0</v>
      </c>
    </row>
    <row r="1456" spans="1:19" x14ac:dyDescent="0.3">
      <c r="A1456" s="1" t="s">
        <v>134</v>
      </c>
      <c r="B1456" s="1" t="s">
        <v>133</v>
      </c>
      <c r="C1456" s="35" t="s">
        <v>1950</v>
      </c>
      <c r="D1456" s="8">
        <v>439.57830018999368</v>
      </c>
      <c r="E1456" s="39" t="s">
        <v>1950</v>
      </c>
      <c r="F1456" s="8">
        <v>449.52828752374921</v>
      </c>
      <c r="G1456" s="35" t="s">
        <v>1950</v>
      </c>
      <c r="H1456" s="8">
        <v>459.87527042431918</v>
      </c>
      <c r="I1456" s="37" t="s">
        <v>1950</v>
      </c>
      <c r="J1456" s="1">
        <v>1998</v>
      </c>
      <c r="K1456" s="35" t="s">
        <v>1950</v>
      </c>
      <c r="L1456" s="35" t="s">
        <v>1950</v>
      </c>
      <c r="M1456" s="6">
        <v>7895</v>
      </c>
      <c r="N1456" s="54">
        <v>6049</v>
      </c>
      <c r="O1456" s="21">
        <v>0.76618112729575683</v>
      </c>
      <c r="P1456" s="1">
        <v>0</v>
      </c>
      <c r="Q1456" s="1" t="s">
        <v>1589</v>
      </c>
      <c r="R1456" s="55">
        <v>26</v>
      </c>
      <c r="S1456" s="55">
        <v>1.52</v>
      </c>
    </row>
    <row r="1457" spans="1:19" x14ac:dyDescent="0.3">
      <c r="A1457" s="1" t="s">
        <v>134</v>
      </c>
      <c r="B1457" s="1" t="s">
        <v>133</v>
      </c>
      <c r="C1457" s="35" t="s">
        <v>1950</v>
      </c>
      <c r="D1457" s="35">
        <v>0</v>
      </c>
      <c r="E1457" s="39" t="s">
        <v>1950</v>
      </c>
      <c r="F1457" s="37">
        <v>0</v>
      </c>
      <c r="G1457" s="35" t="s">
        <v>1950</v>
      </c>
      <c r="H1457" s="8">
        <v>418.27776601949836</v>
      </c>
      <c r="I1457" s="37" t="s">
        <v>1950</v>
      </c>
      <c r="J1457" s="1">
        <v>2023</v>
      </c>
      <c r="K1457" s="35" t="s">
        <v>1950</v>
      </c>
      <c r="L1457" s="35" t="s">
        <v>1950</v>
      </c>
      <c r="M1457" s="6">
        <v>12001</v>
      </c>
      <c r="N1457" s="54">
        <v>7425</v>
      </c>
      <c r="O1457" s="21">
        <v>0.61869844179651701</v>
      </c>
      <c r="P1457" s="1">
        <v>0</v>
      </c>
      <c r="Q1457" s="1" t="s">
        <v>1589</v>
      </c>
      <c r="R1457" s="55">
        <v>4</v>
      </c>
      <c r="S1457" s="55">
        <v>0.6</v>
      </c>
    </row>
    <row r="1458" spans="1:19" x14ac:dyDescent="0.3">
      <c r="A1458" s="1" t="s">
        <v>134</v>
      </c>
      <c r="B1458" s="1" t="s">
        <v>133</v>
      </c>
      <c r="C1458" s="35" t="s">
        <v>1950</v>
      </c>
      <c r="D1458" s="8">
        <v>308.40839637620252</v>
      </c>
      <c r="E1458" s="39" t="s">
        <v>1950</v>
      </c>
      <c r="F1458" s="8">
        <v>335.00220416549922</v>
      </c>
      <c r="G1458" s="35" t="s">
        <v>1950</v>
      </c>
      <c r="H1458" s="8">
        <v>388.41353320257775</v>
      </c>
      <c r="I1458" s="37" t="s">
        <v>1950</v>
      </c>
      <c r="J1458" s="1">
        <v>1900</v>
      </c>
      <c r="K1458" s="1" t="s">
        <v>47</v>
      </c>
      <c r="L1458" s="1" t="s">
        <v>1601</v>
      </c>
      <c r="M1458" s="6">
        <v>10707</v>
      </c>
      <c r="N1458" s="54">
        <v>7167</v>
      </c>
      <c r="O1458" s="21">
        <v>0.66937517511908096</v>
      </c>
      <c r="P1458" s="1">
        <v>16</v>
      </c>
      <c r="Q1458" s="1" t="s">
        <v>1589</v>
      </c>
      <c r="R1458" s="55">
        <v>2</v>
      </c>
      <c r="S1458" s="55">
        <v>0.70499999999999996</v>
      </c>
    </row>
    <row r="1459" spans="1:19" x14ac:dyDescent="0.3">
      <c r="A1459" s="1" t="s">
        <v>134</v>
      </c>
      <c r="B1459" s="1" t="s">
        <v>133</v>
      </c>
      <c r="C1459" s="35" t="s">
        <v>1950</v>
      </c>
      <c r="D1459" s="8">
        <v>281.41790948789202</v>
      </c>
      <c r="E1459" s="39" t="s">
        <v>1950</v>
      </c>
      <c r="F1459" s="8">
        <v>334.49788487495039</v>
      </c>
      <c r="G1459" s="35" t="s">
        <v>1950</v>
      </c>
      <c r="H1459" s="8">
        <v>352.59562842397781</v>
      </c>
      <c r="I1459" s="37" t="s">
        <v>1950</v>
      </c>
      <c r="J1459" s="1">
        <v>1993</v>
      </c>
      <c r="K1459" s="1" t="s">
        <v>19</v>
      </c>
      <c r="L1459" s="1" t="s">
        <v>1601</v>
      </c>
      <c r="M1459" s="6">
        <v>12595</v>
      </c>
      <c r="N1459" s="54">
        <v>4334</v>
      </c>
      <c r="O1459" s="21">
        <v>0.3441048034934498</v>
      </c>
      <c r="P1459" s="1">
        <v>0</v>
      </c>
      <c r="Q1459" s="1" t="s">
        <v>1590</v>
      </c>
      <c r="R1459" s="53">
        <v>0</v>
      </c>
      <c r="S1459" s="55">
        <v>0.88</v>
      </c>
    </row>
    <row r="1460" spans="1:19" x14ac:dyDescent="0.3">
      <c r="A1460" s="1" t="s">
        <v>134</v>
      </c>
      <c r="B1460" s="1" t="s">
        <v>133</v>
      </c>
      <c r="C1460" s="35" t="s">
        <v>1950</v>
      </c>
      <c r="D1460" s="8">
        <v>260.22903728327469</v>
      </c>
      <c r="E1460" s="39" t="s">
        <v>1950</v>
      </c>
      <c r="F1460" s="8">
        <v>272.62285555990093</v>
      </c>
      <c r="G1460" s="35" t="s">
        <v>1950</v>
      </c>
      <c r="H1460" s="8">
        <v>321.92853995567725</v>
      </c>
      <c r="I1460" s="37" t="s">
        <v>1950</v>
      </c>
      <c r="J1460" s="1">
        <v>1998</v>
      </c>
      <c r="K1460" s="35" t="s">
        <v>1950</v>
      </c>
      <c r="L1460" s="35" t="s">
        <v>1950</v>
      </c>
      <c r="M1460" s="6">
        <v>15342</v>
      </c>
      <c r="N1460" s="54">
        <v>15200</v>
      </c>
      <c r="O1460" s="21">
        <v>0.99074436188241433</v>
      </c>
      <c r="P1460" s="1">
        <v>0</v>
      </c>
      <c r="Q1460" s="1" t="s">
        <v>1589</v>
      </c>
      <c r="R1460" s="55">
        <v>24</v>
      </c>
      <c r="S1460" s="53">
        <v>0</v>
      </c>
    </row>
    <row r="1461" spans="1:19" x14ac:dyDescent="0.3">
      <c r="A1461" s="1" t="s">
        <v>134</v>
      </c>
      <c r="B1461" s="1" t="s">
        <v>133</v>
      </c>
      <c r="C1461" s="35" t="s">
        <v>1950</v>
      </c>
      <c r="D1461" s="8">
        <v>266.40416518755177</v>
      </c>
      <c r="E1461" s="39" t="s">
        <v>1950</v>
      </c>
      <c r="F1461" s="8">
        <v>288.53127440539578</v>
      </c>
      <c r="G1461" s="35" t="s">
        <v>1950</v>
      </c>
      <c r="H1461" s="8">
        <v>312.5050999881671</v>
      </c>
      <c r="I1461" s="37" t="s">
        <v>1950</v>
      </c>
      <c r="J1461" s="1">
        <v>2014</v>
      </c>
      <c r="K1461" s="35" t="s">
        <v>1950</v>
      </c>
      <c r="L1461" s="35" t="s">
        <v>1950</v>
      </c>
      <c r="M1461" s="6">
        <v>16902</v>
      </c>
      <c r="N1461" s="54">
        <v>14728</v>
      </c>
      <c r="O1461" s="21">
        <v>0.87137616850076915</v>
      </c>
      <c r="P1461" s="1">
        <v>0</v>
      </c>
      <c r="Q1461" s="1" t="s">
        <v>28</v>
      </c>
      <c r="R1461" s="53">
        <v>0</v>
      </c>
      <c r="S1461" s="53">
        <v>0</v>
      </c>
    </row>
    <row r="1462" spans="1:19" x14ac:dyDescent="0.3">
      <c r="A1462" s="1" t="s">
        <v>134</v>
      </c>
      <c r="B1462" s="1" t="s">
        <v>133</v>
      </c>
      <c r="C1462" s="35" t="s">
        <v>1950</v>
      </c>
      <c r="D1462" s="8">
        <v>277.82157146999128</v>
      </c>
      <c r="E1462" s="39" t="s">
        <v>1950</v>
      </c>
      <c r="F1462" s="8">
        <v>287.57118005218905</v>
      </c>
      <c r="G1462" s="35" t="s">
        <v>1950</v>
      </c>
      <c r="H1462" s="8">
        <v>295.11110466801972</v>
      </c>
      <c r="I1462" s="37" t="s">
        <v>1950</v>
      </c>
      <c r="J1462" s="1">
        <v>1999</v>
      </c>
      <c r="K1462" s="35" t="s">
        <v>1950</v>
      </c>
      <c r="L1462" s="35" t="s">
        <v>1950</v>
      </c>
      <c r="M1462" s="6">
        <v>17245</v>
      </c>
      <c r="N1462" s="54">
        <v>15660</v>
      </c>
      <c r="O1462" s="21">
        <v>0.90808930124673815</v>
      </c>
      <c r="P1462" s="1">
        <v>30</v>
      </c>
      <c r="Q1462" s="1" t="s">
        <v>1589</v>
      </c>
      <c r="R1462" s="55">
        <v>23</v>
      </c>
      <c r="S1462" s="53">
        <v>0</v>
      </c>
    </row>
    <row r="1463" spans="1:19" x14ac:dyDescent="0.3">
      <c r="A1463" s="1" t="s">
        <v>134</v>
      </c>
      <c r="B1463" s="1" t="s">
        <v>133</v>
      </c>
      <c r="C1463" s="35" t="s">
        <v>1950</v>
      </c>
      <c r="D1463" s="8">
        <v>232.88028846153847</v>
      </c>
      <c r="E1463" s="39" t="s">
        <v>1950</v>
      </c>
      <c r="F1463" s="8">
        <v>248.78304945054947</v>
      </c>
      <c r="G1463" s="35" t="s">
        <v>1950</v>
      </c>
      <c r="H1463" s="8">
        <v>286.56535714285712</v>
      </c>
      <c r="I1463" s="37" t="s">
        <v>1950</v>
      </c>
      <c r="J1463" s="1">
        <v>2002</v>
      </c>
      <c r="K1463" s="35" t="s">
        <v>1950</v>
      </c>
      <c r="L1463" s="35" t="s">
        <v>1950</v>
      </c>
      <c r="M1463" s="6">
        <v>4368</v>
      </c>
      <c r="N1463" s="54">
        <v>3848</v>
      </c>
      <c r="O1463" s="21">
        <v>0.88095238095238093</v>
      </c>
      <c r="P1463" s="1">
        <v>0</v>
      </c>
      <c r="Q1463" s="1" t="s">
        <v>28</v>
      </c>
      <c r="R1463" s="53">
        <v>0</v>
      </c>
      <c r="S1463" s="53">
        <v>0</v>
      </c>
    </row>
    <row r="1464" spans="1:19" x14ac:dyDescent="0.3">
      <c r="A1464" s="1" t="s">
        <v>134</v>
      </c>
      <c r="B1464" s="1" t="s">
        <v>133</v>
      </c>
      <c r="C1464" s="35" t="s">
        <v>1950</v>
      </c>
      <c r="D1464" s="8">
        <v>241.13261263985484</v>
      </c>
      <c r="E1464" s="39" t="s">
        <v>1950</v>
      </c>
      <c r="F1464" s="8">
        <v>263.47926418707789</v>
      </c>
      <c r="G1464" s="35" t="s">
        <v>1950</v>
      </c>
      <c r="H1464" s="8">
        <v>272.68886503376677</v>
      </c>
      <c r="I1464" s="37" t="s">
        <v>1950</v>
      </c>
      <c r="J1464" s="1">
        <v>1988</v>
      </c>
      <c r="K1464" s="35" t="s">
        <v>1950</v>
      </c>
      <c r="L1464" s="35" t="s">
        <v>1950</v>
      </c>
      <c r="M1464" s="6">
        <v>9921</v>
      </c>
      <c r="N1464" s="54">
        <v>4353</v>
      </c>
      <c r="O1464" s="21">
        <v>0.43876625340187481</v>
      </c>
      <c r="P1464" s="1">
        <v>0</v>
      </c>
      <c r="Q1464" s="1" t="s">
        <v>28</v>
      </c>
      <c r="R1464" s="53">
        <v>0</v>
      </c>
      <c r="S1464" s="53">
        <v>0</v>
      </c>
    </row>
    <row r="1465" spans="1:19" x14ac:dyDescent="0.3">
      <c r="A1465" s="1" t="s">
        <v>134</v>
      </c>
      <c r="B1465" s="1" t="s">
        <v>133</v>
      </c>
      <c r="C1465" s="35" t="s">
        <v>1950</v>
      </c>
      <c r="D1465" s="8">
        <v>240.96129076202638</v>
      </c>
      <c r="E1465" s="39" t="s">
        <v>1950</v>
      </c>
      <c r="F1465" s="8">
        <v>252.28299957428695</v>
      </c>
      <c r="G1465" s="35" t="s">
        <v>1950</v>
      </c>
      <c r="H1465" s="8">
        <v>258.15342699020857</v>
      </c>
      <c r="I1465" s="37" t="s">
        <v>1950</v>
      </c>
      <c r="J1465" s="1">
        <v>2000</v>
      </c>
      <c r="K1465" s="35" t="s">
        <v>1950</v>
      </c>
      <c r="L1465" s="35" t="s">
        <v>1950</v>
      </c>
      <c r="M1465" s="6">
        <v>11745</v>
      </c>
      <c r="N1465" s="54">
        <v>2593</v>
      </c>
      <c r="O1465" s="21">
        <v>0.22077479778629203</v>
      </c>
      <c r="P1465" s="1">
        <v>0</v>
      </c>
      <c r="Q1465" s="1" t="s">
        <v>28</v>
      </c>
      <c r="R1465" s="53">
        <v>0</v>
      </c>
      <c r="S1465" s="53">
        <v>0</v>
      </c>
    </row>
    <row r="1466" spans="1:19" x14ac:dyDescent="0.3">
      <c r="A1466" s="1" t="s">
        <v>134</v>
      </c>
      <c r="B1466" s="1" t="s">
        <v>133</v>
      </c>
      <c r="C1466" s="35" t="s">
        <v>1950</v>
      </c>
      <c r="D1466" s="8">
        <v>222.59050522139898</v>
      </c>
      <c r="E1466" s="39" t="s">
        <v>1950</v>
      </c>
      <c r="F1466" s="8">
        <v>243.57465783793245</v>
      </c>
      <c r="G1466" s="35" t="s">
        <v>1950</v>
      </c>
      <c r="H1466" s="8">
        <v>248.77376640802754</v>
      </c>
      <c r="I1466" s="37" t="s">
        <v>1950</v>
      </c>
      <c r="J1466" s="1">
        <v>2001</v>
      </c>
      <c r="K1466" s="35" t="s">
        <v>1950</v>
      </c>
      <c r="L1466" s="35" t="s">
        <v>1950</v>
      </c>
      <c r="M1466" s="6">
        <v>17141</v>
      </c>
      <c r="N1466" s="54">
        <v>10400</v>
      </c>
      <c r="O1466" s="21">
        <v>0.60673239600956774</v>
      </c>
      <c r="P1466" s="1">
        <v>0</v>
      </c>
      <c r="Q1466" s="1" t="s">
        <v>28</v>
      </c>
      <c r="R1466" s="53">
        <v>0</v>
      </c>
      <c r="S1466" s="53">
        <v>0</v>
      </c>
    </row>
    <row r="1467" spans="1:19" x14ac:dyDescent="0.3">
      <c r="A1467" s="1" t="s">
        <v>134</v>
      </c>
      <c r="B1467" s="1" t="s">
        <v>133</v>
      </c>
      <c r="C1467" s="35" t="s">
        <v>1950</v>
      </c>
      <c r="D1467" s="8">
        <v>213.89964382946846</v>
      </c>
      <c r="E1467" s="39" t="s">
        <v>1950</v>
      </c>
      <c r="F1467" s="8">
        <v>229.91833341202801</v>
      </c>
      <c r="G1467" s="35" t="s">
        <v>1950</v>
      </c>
      <c r="H1467" s="8">
        <v>242.70798397354301</v>
      </c>
      <c r="I1467" s="37" t="s">
        <v>1950</v>
      </c>
      <c r="J1467" s="1">
        <v>1935</v>
      </c>
      <c r="K1467" s="35" t="s">
        <v>1950</v>
      </c>
      <c r="L1467" s="35" t="s">
        <v>1950</v>
      </c>
      <c r="M1467" s="6">
        <v>20543.53</v>
      </c>
      <c r="N1467" s="54">
        <v>15000</v>
      </c>
      <c r="O1467" s="21">
        <v>0.73015689124507821</v>
      </c>
      <c r="P1467" s="1">
        <v>0</v>
      </c>
      <c r="Q1467" s="1" t="s">
        <v>28</v>
      </c>
      <c r="R1467" s="53">
        <v>0</v>
      </c>
      <c r="S1467" s="53">
        <v>0</v>
      </c>
    </row>
    <row r="1468" spans="1:19" x14ac:dyDescent="0.3">
      <c r="A1468" s="1" t="s">
        <v>134</v>
      </c>
      <c r="B1468" s="1" t="s">
        <v>133</v>
      </c>
      <c r="C1468" s="35" t="s">
        <v>1950</v>
      </c>
      <c r="D1468" s="8">
        <v>234.2847156626506</v>
      </c>
      <c r="E1468" s="39" t="s">
        <v>1950</v>
      </c>
      <c r="F1468" s="8">
        <v>224.1404497991968</v>
      </c>
      <c r="G1468" s="35" t="s">
        <v>1950</v>
      </c>
      <c r="H1468" s="8">
        <v>230.81339759036143</v>
      </c>
      <c r="I1468" s="37" t="s">
        <v>1950</v>
      </c>
      <c r="J1468" s="1">
        <v>1996</v>
      </c>
      <c r="K1468" s="35" t="s">
        <v>1950</v>
      </c>
      <c r="L1468" s="35" t="s">
        <v>1950</v>
      </c>
      <c r="M1468" s="6">
        <v>12450</v>
      </c>
      <c r="N1468" s="54">
        <v>7000</v>
      </c>
      <c r="O1468" s="21">
        <v>0.56224899598393574</v>
      </c>
      <c r="P1468" s="1">
        <v>19</v>
      </c>
      <c r="Q1468" s="1" t="s">
        <v>1589</v>
      </c>
      <c r="R1468" s="55">
        <v>0</v>
      </c>
      <c r="S1468" s="53">
        <v>0</v>
      </c>
    </row>
    <row r="1469" spans="1:19" x14ac:dyDescent="0.3">
      <c r="A1469" s="1" t="s">
        <v>134</v>
      </c>
      <c r="B1469" s="1" t="s">
        <v>133</v>
      </c>
      <c r="C1469" s="35" t="s">
        <v>1950</v>
      </c>
      <c r="D1469" s="8">
        <v>105.00694019023054</v>
      </c>
      <c r="E1469" s="39" t="s">
        <v>1950</v>
      </c>
      <c r="F1469" s="8">
        <v>113.46795743994841</v>
      </c>
      <c r="G1469" s="35" t="s">
        <v>1950</v>
      </c>
      <c r="H1469" s="8">
        <v>222.10825004030309</v>
      </c>
      <c r="I1469" s="37" t="s">
        <v>1950</v>
      </c>
      <c r="J1469" s="1">
        <v>2001</v>
      </c>
      <c r="K1469" s="35" t="s">
        <v>1950</v>
      </c>
      <c r="L1469" s="35" t="s">
        <v>1950</v>
      </c>
      <c r="M1469" s="6">
        <v>12406</v>
      </c>
      <c r="N1469" s="54">
        <v>5500</v>
      </c>
      <c r="O1469" s="21">
        <v>0.44333387070772207</v>
      </c>
      <c r="P1469" s="1">
        <v>0</v>
      </c>
      <c r="Q1469" s="1" t="s">
        <v>28</v>
      </c>
      <c r="R1469" s="53">
        <v>0</v>
      </c>
      <c r="S1469" s="53">
        <v>0</v>
      </c>
    </row>
    <row r="1470" spans="1:19" x14ac:dyDescent="0.3">
      <c r="A1470" s="1" t="s">
        <v>134</v>
      </c>
      <c r="B1470" s="1" t="s">
        <v>133</v>
      </c>
      <c r="C1470" s="35" t="s">
        <v>1950</v>
      </c>
      <c r="D1470" s="8">
        <v>185.91290990030723</v>
      </c>
      <c r="E1470" s="39" t="s">
        <v>1950</v>
      </c>
      <c r="F1470" s="8">
        <v>206.40753840366168</v>
      </c>
      <c r="G1470" s="35" t="s">
        <v>1950</v>
      </c>
      <c r="H1470" s="8">
        <v>218.52710828265094</v>
      </c>
      <c r="I1470" s="37" t="s">
        <v>1950</v>
      </c>
      <c r="J1470" s="1">
        <v>2004</v>
      </c>
      <c r="K1470" s="35" t="s">
        <v>1950</v>
      </c>
      <c r="L1470" s="35" t="s">
        <v>1950</v>
      </c>
      <c r="M1470" s="6">
        <v>15949</v>
      </c>
      <c r="N1470" s="54">
        <v>13770</v>
      </c>
      <c r="O1470" s="21">
        <v>0.86337701423286728</v>
      </c>
      <c r="P1470" s="1">
        <v>0</v>
      </c>
      <c r="Q1470" s="1" t="s">
        <v>28</v>
      </c>
      <c r="R1470" s="53">
        <v>0</v>
      </c>
      <c r="S1470" s="53">
        <v>0</v>
      </c>
    </row>
    <row r="1471" spans="1:19" x14ac:dyDescent="0.3">
      <c r="A1471" s="1" t="s">
        <v>134</v>
      </c>
      <c r="B1471" s="1" t="s">
        <v>133</v>
      </c>
      <c r="C1471" s="35" t="s">
        <v>1950</v>
      </c>
      <c r="D1471" s="8">
        <v>182.85795490465932</v>
      </c>
      <c r="E1471" s="39" t="s">
        <v>1950</v>
      </c>
      <c r="F1471" s="8">
        <v>208.51696303086598</v>
      </c>
      <c r="G1471" s="35" t="s">
        <v>1950</v>
      </c>
      <c r="H1471" s="8">
        <v>216.55129819920148</v>
      </c>
      <c r="I1471" s="37" t="s">
        <v>1950</v>
      </c>
      <c r="J1471" s="1">
        <v>1994</v>
      </c>
      <c r="K1471" s="35" t="s">
        <v>1950</v>
      </c>
      <c r="L1471" s="35" t="s">
        <v>1950</v>
      </c>
      <c r="M1471" s="6">
        <v>16450.48</v>
      </c>
      <c r="N1471" s="54">
        <v>4350</v>
      </c>
      <c r="O1471" s="21">
        <v>0.26442997407978369</v>
      </c>
      <c r="P1471" s="1">
        <v>0</v>
      </c>
      <c r="Q1471" s="1" t="s">
        <v>28</v>
      </c>
      <c r="R1471" s="53">
        <v>0</v>
      </c>
      <c r="S1471" s="53">
        <v>0</v>
      </c>
    </row>
    <row r="1472" spans="1:19" x14ac:dyDescent="0.3">
      <c r="A1472" s="1" t="s">
        <v>134</v>
      </c>
      <c r="B1472" s="1" t="s">
        <v>133</v>
      </c>
      <c r="C1472" s="35" t="s">
        <v>1950</v>
      </c>
      <c r="D1472" s="8">
        <v>205.26755428103237</v>
      </c>
      <c r="E1472" s="39" t="s">
        <v>1950</v>
      </c>
      <c r="F1472" s="8">
        <v>198.81196231052849</v>
      </c>
      <c r="G1472" s="35" t="s">
        <v>1950</v>
      </c>
      <c r="H1472" s="8">
        <v>213.10735354362967</v>
      </c>
      <c r="I1472" s="37" t="s">
        <v>1950</v>
      </c>
      <c r="J1472" s="1">
        <v>1994</v>
      </c>
      <c r="K1472" s="35" t="s">
        <v>1950</v>
      </c>
      <c r="L1472" s="35" t="s">
        <v>1950</v>
      </c>
      <c r="M1472" s="6">
        <v>24410</v>
      </c>
      <c r="N1472" s="54">
        <v>12795</v>
      </c>
      <c r="O1472" s="21">
        <v>0.52417042195821384</v>
      </c>
      <c r="P1472" s="1">
        <v>0</v>
      </c>
      <c r="Q1472" s="1" t="s">
        <v>1589</v>
      </c>
      <c r="R1472" s="55">
        <v>2</v>
      </c>
      <c r="S1472" s="55">
        <v>0.65</v>
      </c>
    </row>
    <row r="1473" spans="1:19" x14ac:dyDescent="0.3">
      <c r="A1473" s="1" t="s">
        <v>134</v>
      </c>
      <c r="B1473" s="1" t="s">
        <v>133</v>
      </c>
      <c r="C1473" s="35" t="s">
        <v>1950</v>
      </c>
      <c r="D1473" s="8">
        <v>174.9246211552888</v>
      </c>
      <c r="E1473" s="39" t="s">
        <v>1950</v>
      </c>
      <c r="F1473" s="8">
        <v>181.40156939234808</v>
      </c>
      <c r="G1473" s="35" t="s">
        <v>1950</v>
      </c>
      <c r="H1473" s="8">
        <v>195.64348087021756</v>
      </c>
      <c r="I1473" s="37" t="s">
        <v>1950</v>
      </c>
      <c r="J1473" s="1">
        <v>2016</v>
      </c>
      <c r="K1473" s="35" t="s">
        <v>1950</v>
      </c>
      <c r="L1473" s="35" t="s">
        <v>1950</v>
      </c>
      <c r="M1473" s="6">
        <v>19995</v>
      </c>
      <c r="N1473" s="54">
        <v>10568</v>
      </c>
      <c r="O1473" s="21">
        <v>0.5285321330332583</v>
      </c>
      <c r="P1473" s="1">
        <v>0</v>
      </c>
      <c r="Q1473" s="1" t="s">
        <v>1589</v>
      </c>
      <c r="R1473" s="55">
        <v>3</v>
      </c>
      <c r="S1473" s="55">
        <v>0.61</v>
      </c>
    </row>
    <row r="1474" spans="1:19" x14ac:dyDescent="0.3">
      <c r="A1474" s="1" t="s">
        <v>134</v>
      </c>
      <c r="B1474" s="1" t="s">
        <v>133</v>
      </c>
      <c r="C1474" s="35" t="s">
        <v>1950</v>
      </c>
      <c r="D1474" s="8">
        <v>151.52427523576668</v>
      </c>
      <c r="E1474" s="39" t="s">
        <v>1950</v>
      </c>
      <c r="F1474" s="8">
        <v>162.69361683548726</v>
      </c>
      <c r="G1474" s="35" t="s">
        <v>1950</v>
      </c>
      <c r="H1474" s="8">
        <v>185.60693328676214</v>
      </c>
      <c r="I1474" s="37" t="s">
        <v>1950</v>
      </c>
      <c r="J1474" s="1">
        <v>1991</v>
      </c>
      <c r="K1474" s="35" t="s">
        <v>1950</v>
      </c>
      <c r="L1474" s="35" t="s">
        <v>1950</v>
      </c>
      <c r="M1474" s="6">
        <v>5726</v>
      </c>
      <c r="N1474" s="54">
        <v>2000</v>
      </c>
      <c r="O1474" s="21">
        <v>0.34928396786587496</v>
      </c>
      <c r="P1474" s="1">
        <v>0</v>
      </c>
      <c r="Q1474" s="1" t="s">
        <v>28</v>
      </c>
      <c r="R1474" s="53">
        <v>0</v>
      </c>
      <c r="S1474" s="53">
        <v>0</v>
      </c>
    </row>
    <row r="1475" spans="1:19" x14ac:dyDescent="0.3">
      <c r="A1475" s="1" t="s">
        <v>134</v>
      </c>
      <c r="B1475" s="1" t="s">
        <v>133</v>
      </c>
      <c r="C1475" s="35" t="s">
        <v>1950</v>
      </c>
      <c r="D1475" s="8">
        <v>128.52349503254538</v>
      </c>
      <c r="E1475" s="39" t="s">
        <v>1950</v>
      </c>
      <c r="F1475" s="8">
        <v>148.07535525865023</v>
      </c>
      <c r="G1475" s="35" t="s">
        <v>1950</v>
      </c>
      <c r="H1475" s="8">
        <v>185.5050565262076</v>
      </c>
      <c r="I1475" s="37" t="s">
        <v>1950</v>
      </c>
      <c r="J1475" s="1">
        <v>2010</v>
      </c>
      <c r="K1475" s="35" t="s">
        <v>1950</v>
      </c>
      <c r="L1475" s="35" t="s">
        <v>1950</v>
      </c>
      <c r="M1475" s="6">
        <v>14595</v>
      </c>
      <c r="N1475" s="54">
        <v>10000</v>
      </c>
      <c r="O1475" s="21">
        <v>0.68516615279205206</v>
      </c>
      <c r="P1475" s="1">
        <v>0</v>
      </c>
      <c r="Q1475" s="1" t="s">
        <v>28</v>
      </c>
      <c r="R1475" s="53">
        <v>0</v>
      </c>
      <c r="S1475" s="53">
        <v>0</v>
      </c>
    </row>
    <row r="1476" spans="1:19" x14ac:dyDescent="0.3">
      <c r="A1476" s="1" t="s">
        <v>134</v>
      </c>
      <c r="B1476" s="1" t="s">
        <v>133</v>
      </c>
      <c r="C1476" s="35" t="s">
        <v>1950</v>
      </c>
      <c r="D1476" s="8">
        <v>148.10643894107599</v>
      </c>
      <c r="E1476" s="39" t="s">
        <v>1950</v>
      </c>
      <c r="F1476" s="8">
        <v>173.72233988044408</v>
      </c>
      <c r="G1476" s="35" t="s">
        <v>1950</v>
      </c>
      <c r="H1476" s="8">
        <v>184.28331340734417</v>
      </c>
      <c r="I1476" s="37" t="s">
        <v>1950</v>
      </c>
      <c r="J1476" s="1">
        <v>1998</v>
      </c>
      <c r="K1476" s="35" t="s">
        <v>1950</v>
      </c>
      <c r="L1476" s="35" t="s">
        <v>1950</v>
      </c>
      <c r="M1476" s="6">
        <v>11710</v>
      </c>
      <c r="N1476" s="54">
        <v>5000</v>
      </c>
      <c r="O1476" s="21">
        <v>0.42698548249359519</v>
      </c>
      <c r="P1476" s="1">
        <v>0</v>
      </c>
      <c r="Q1476" s="1" t="s">
        <v>1589</v>
      </c>
      <c r="R1476" s="55">
        <v>35</v>
      </c>
      <c r="S1476" s="53">
        <v>0</v>
      </c>
    </row>
    <row r="1477" spans="1:19" x14ac:dyDescent="0.3">
      <c r="A1477" s="1" t="s">
        <v>134</v>
      </c>
      <c r="B1477" s="1" t="s">
        <v>133</v>
      </c>
      <c r="C1477" s="35" t="s">
        <v>1950</v>
      </c>
      <c r="D1477" s="8">
        <v>227.57747451343837</v>
      </c>
      <c r="E1477" s="39" t="s">
        <v>1950</v>
      </c>
      <c r="F1477" s="8">
        <v>205.51883843064564</v>
      </c>
      <c r="G1477" s="35" t="s">
        <v>1950</v>
      </c>
      <c r="H1477" s="8">
        <v>175.53550818659249</v>
      </c>
      <c r="I1477" s="37" t="s">
        <v>1950</v>
      </c>
      <c r="J1477" s="1">
        <v>1988</v>
      </c>
      <c r="K1477" s="35" t="s">
        <v>1950</v>
      </c>
      <c r="L1477" s="35" t="s">
        <v>1950</v>
      </c>
      <c r="M1477" s="6">
        <v>12948</v>
      </c>
      <c r="N1477" s="54">
        <v>4050</v>
      </c>
      <c r="O1477" s="21">
        <v>0.31278962001853566</v>
      </c>
      <c r="P1477" s="1">
        <v>0</v>
      </c>
      <c r="Q1477" s="1" t="s">
        <v>1589</v>
      </c>
      <c r="R1477" s="55">
        <v>12</v>
      </c>
      <c r="S1477" s="53">
        <v>0</v>
      </c>
    </row>
    <row r="1478" spans="1:19" x14ac:dyDescent="0.3">
      <c r="A1478" s="1" t="s">
        <v>134</v>
      </c>
      <c r="B1478" s="1" t="s">
        <v>133</v>
      </c>
      <c r="C1478" s="35" t="s">
        <v>1950</v>
      </c>
      <c r="D1478" s="8">
        <v>161.27395215724988</v>
      </c>
      <c r="E1478" s="39" t="s">
        <v>1950</v>
      </c>
      <c r="F1478" s="8">
        <v>160.88230162119589</v>
      </c>
      <c r="G1478" s="35" t="s">
        <v>1950</v>
      </c>
      <c r="H1478" s="8">
        <v>166.06346235974686</v>
      </c>
      <c r="I1478" s="37" t="s">
        <v>1950</v>
      </c>
      <c r="J1478" s="1">
        <v>2018</v>
      </c>
      <c r="K1478" s="35" t="s">
        <v>1950</v>
      </c>
      <c r="L1478" s="35" t="s">
        <v>1950</v>
      </c>
      <c r="M1478" s="6">
        <v>18029.900000000001</v>
      </c>
      <c r="N1478" s="54">
        <v>1917</v>
      </c>
      <c r="O1478" s="21">
        <v>0.1063233850437329</v>
      </c>
      <c r="P1478" s="1">
        <v>0</v>
      </c>
      <c r="Q1478" s="1" t="s">
        <v>1787</v>
      </c>
      <c r="R1478" s="53">
        <v>0</v>
      </c>
      <c r="S1478" s="53">
        <v>0</v>
      </c>
    </row>
    <row r="1479" spans="1:19" x14ac:dyDescent="0.3">
      <c r="A1479" s="1" t="s">
        <v>134</v>
      </c>
      <c r="B1479" s="1" t="s">
        <v>133</v>
      </c>
      <c r="C1479" s="35" t="s">
        <v>1950</v>
      </c>
      <c r="D1479" s="8">
        <v>145.07555680857061</v>
      </c>
      <c r="E1479" s="39" t="s">
        <v>1950</v>
      </c>
      <c r="F1479" s="8">
        <v>158.65219434263696</v>
      </c>
      <c r="G1479" s="35" t="s">
        <v>1950</v>
      </c>
      <c r="H1479" s="8">
        <v>158.65219434263696</v>
      </c>
      <c r="I1479" s="37" t="s">
        <v>1950</v>
      </c>
      <c r="J1479" s="1">
        <v>2011</v>
      </c>
      <c r="K1479" s="1" t="s">
        <v>21</v>
      </c>
      <c r="L1479" s="1" t="s">
        <v>1599</v>
      </c>
      <c r="M1479" s="6">
        <v>10641</v>
      </c>
      <c r="N1479" s="54">
        <v>2736</v>
      </c>
      <c r="O1479" s="21">
        <v>0.25711869185226954</v>
      </c>
      <c r="P1479" s="1">
        <v>0</v>
      </c>
      <c r="Q1479" s="1" t="s">
        <v>28</v>
      </c>
      <c r="R1479" s="53">
        <v>0</v>
      </c>
      <c r="S1479" s="53">
        <v>0</v>
      </c>
    </row>
    <row r="1480" spans="1:19" x14ac:dyDescent="0.3">
      <c r="A1480" s="1" t="s">
        <v>134</v>
      </c>
      <c r="B1480" s="1" t="s">
        <v>133</v>
      </c>
      <c r="C1480" s="35" t="s">
        <v>1950</v>
      </c>
      <c r="D1480" s="8">
        <v>127.69389878831076</v>
      </c>
      <c r="E1480" s="39" t="s">
        <v>1950</v>
      </c>
      <c r="F1480" s="8">
        <v>136.2892729864576</v>
      </c>
      <c r="G1480" s="35" t="s">
        <v>1950</v>
      </c>
      <c r="H1480" s="8">
        <v>157.50313613684961</v>
      </c>
      <c r="I1480" s="37" t="s">
        <v>1950</v>
      </c>
      <c r="J1480" s="1">
        <v>1988</v>
      </c>
      <c r="K1480" s="35" t="s">
        <v>1950</v>
      </c>
      <c r="L1480" s="35" t="s">
        <v>1950</v>
      </c>
      <c r="M1480" s="6">
        <v>14030</v>
      </c>
      <c r="N1480" s="54">
        <v>10743</v>
      </c>
      <c r="O1480" s="21">
        <v>0.76571632216678542</v>
      </c>
      <c r="P1480" s="1">
        <v>0</v>
      </c>
      <c r="Q1480" s="1" t="s">
        <v>28</v>
      </c>
      <c r="R1480" s="53">
        <v>0</v>
      </c>
      <c r="S1480" s="53">
        <v>0</v>
      </c>
    </row>
    <row r="1481" spans="1:19" x14ac:dyDescent="0.3">
      <c r="A1481" s="1" t="s">
        <v>134</v>
      </c>
      <c r="B1481" s="1" t="s">
        <v>133</v>
      </c>
      <c r="C1481" s="35" t="s">
        <v>1950</v>
      </c>
      <c r="D1481" s="8">
        <v>146.15805914371597</v>
      </c>
      <c r="E1481" s="39" t="s">
        <v>1950</v>
      </c>
      <c r="F1481" s="8">
        <v>150.85235112519297</v>
      </c>
      <c r="G1481" s="35" t="s">
        <v>1950</v>
      </c>
      <c r="H1481" s="8">
        <v>149.72739946380696</v>
      </c>
      <c r="I1481" s="37" t="s">
        <v>1950</v>
      </c>
      <c r="J1481" s="1">
        <v>2017</v>
      </c>
      <c r="K1481" s="1" t="s">
        <v>19</v>
      </c>
      <c r="L1481" s="1" t="s">
        <v>1783</v>
      </c>
      <c r="M1481" s="6">
        <v>12309</v>
      </c>
      <c r="N1481" s="54">
        <v>8157</v>
      </c>
      <c r="O1481" s="21">
        <v>0.66268583962953931</v>
      </c>
      <c r="P1481" s="1">
        <v>0</v>
      </c>
      <c r="Q1481" s="1" t="s">
        <v>1787</v>
      </c>
      <c r="R1481" s="53">
        <v>0</v>
      </c>
      <c r="S1481" s="53">
        <v>0</v>
      </c>
    </row>
    <row r="1482" spans="1:19" x14ac:dyDescent="0.3">
      <c r="A1482" s="1" t="s">
        <v>134</v>
      </c>
      <c r="B1482" s="1" t="s">
        <v>133</v>
      </c>
      <c r="C1482" s="35" t="s">
        <v>1950</v>
      </c>
      <c r="D1482" s="8">
        <v>126.82766662907409</v>
      </c>
      <c r="E1482" s="39" t="s">
        <v>1950</v>
      </c>
      <c r="F1482" s="8">
        <v>126.90389308672607</v>
      </c>
      <c r="G1482" s="35" t="s">
        <v>1950</v>
      </c>
      <c r="H1482" s="8">
        <v>142.00603360775909</v>
      </c>
      <c r="I1482" s="37" t="s">
        <v>1950</v>
      </c>
      <c r="J1482" s="1">
        <v>2009</v>
      </c>
      <c r="K1482" s="1" t="s">
        <v>21</v>
      </c>
      <c r="L1482" s="1" t="s">
        <v>1783</v>
      </c>
      <c r="M1482" s="6">
        <v>17734</v>
      </c>
      <c r="N1482" s="54">
        <v>400</v>
      </c>
      <c r="O1482" s="21">
        <v>2.2555543024698321E-2</v>
      </c>
      <c r="P1482" s="1">
        <v>0</v>
      </c>
      <c r="Q1482" s="1" t="s">
        <v>28</v>
      </c>
      <c r="R1482" s="53">
        <v>0</v>
      </c>
      <c r="S1482" s="53">
        <v>0</v>
      </c>
    </row>
    <row r="1483" spans="1:19" x14ac:dyDescent="0.3">
      <c r="A1483" s="1" t="s">
        <v>134</v>
      </c>
      <c r="B1483" s="1" t="s">
        <v>133</v>
      </c>
      <c r="C1483" s="35" t="s">
        <v>1950</v>
      </c>
      <c r="D1483" s="8">
        <v>85.966085271317823</v>
      </c>
      <c r="E1483" s="39" t="s">
        <v>1950</v>
      </c>
      <c r="F1483" s="8">
        <v>117.51254404510219</v>
      </c>
      <c r="G1483" s="35" t="s">
        <v>1950</v>
      </c>
      <c r="H1483" s="8">
        <v>137.6702078928823</v>
      </c>
      <c r="I1483" s="37" t="s">
        <v>1950</v>
      </c>
      <c r="J1483" s="1">
        <v>1982</v>
      </c>
      <c r="K1483" s="35" t="s">
        <v>1950</v>
      </c>
      <c r="L1483" s="35" t="s">
        <v>1950</v>
      </c>
      <c r="M1483" s="6">
        <v>8514</v>
      </c>
      <c r="N1483" s="54">
        <v>1352</v>
      </c>
      <c r="O1483" s="21">
        <v>0.15879727507634483</v>
      </c>
      <c r="P1483" s="1">
        <v>15</v>
      </c>
      <c r="Q1483" s="1" t="s">
        <v>28</v>
      </c>
      <c r="R1483" s="53">
        <v>0</v>
      </c>
      <c r="S1483" s="53">
        <v>0</v>
      </c>
    </row>
    <row r="1484" spans="1:19" x14ac:dyDescent="0.3">
      <c r="A1484" s="1" t="s">
        <v>134</v>
      </c>
      <c r="B1484" s="1" t="s">
        <v>133</v>
      </c>
      <c r="C1484" s="35" t="s">
        <v>1950</v>
      </c>
      <c r="D1484" s="8">
        <v>101.37985856950067</v>
      </c>
      <c r="E1484" s="39" t="s">
        <v>1950</v>
      </c>
      <c r="F1484" s="8">
        <v>98.169648043184878</v>
      </c>
      <c r="G1484" s="35" t="s">
        <v>1950</v>
      </c>
      <c r="H1484" s="8">
        <v>132.60323940620782</v>
      </c>
      <c r="I1484" s="37" t="s">
        <v>1950</v>
      </c>
      <c r="J1484" s="1">
        <v>2004</v>
      </c>
      <c r="K1484" s="1" t="s">
        <v>19</v>
      </c>
      <c r="L1484" s="1" t="s">
        <v>1599</v>
      </c>
      <c r="M1484" s="6">
        <v>18525</v>
      </c>
      <c r="N1484" s="54">
        <v>12273</v>
      </c>
      <c r="O1484" s="21">
        <v>0.66251012145748989</v>
      </c>
      <c r="P1484" s="1">
        <v>0</v>
      </c>
      <c r="Q1484" s="1" t="s">
        <v>28</v>
      </c>
      <c r="R1484" s="53">
        <v>0</v>
      </c>
      <c r="S1484" s="55">
        <v>0.72</v>
      </c>
    </row>
    <row r="1485" spans="1:19" x14ac:dyDescent="0.3">
      <c r="A1485" s="1" t="s">
        <v>134</v>
      </c>
      <c r="B1485" s="1" t="s">
        <v>133</v>
      </c>
      <c r="C1485" s="35" t="s">
        <v>1950</v>
      </c>
      <c r="D1485" s="8">
        <v>95.366690946930277</v>
      </c>
      <c r="E1485" s="39" t="s">
        <v>1950</v>
      </c>
      <c r="F1485" s="8">
        <v>101.56932986472425</v>
      </c>
      <c r="G1485" s="35" t="s">
        <v>1950</v>
      </c>
      <c r="H1485" s="8">
        <v>129.89358168574401</v>
      </c>
      <c r="I1485" s="37" t="s">
        <v>1950</v>
      </c>
      <c r="J1485" s="1">
        <v>2005</v>
      </c>
      <c r="K1485" s="35" t="s">
        <v>1950</v>
      </c>
      <c r="L1485" s="35" t="s">
        <v>1950</v>
      </c>
      <c r="M1485" s="6">
        <v>9610</v>
      </c>
      <c r="N1485" s="54">
        <v>6000</v>
      </c>
      <c r="O1485" s="21">
        <v>0.62434963579604574</v>
      </c>
      <c r="P1485" s="1">
        <v>0</v>
      </c>
      <c r="Q1485" s="1" t="s">
        <v>28</v>
      </c>
      <c r="R1485" s="53">
        <v>0</v>
      </c>
      <c r="S1485" s="53">
        <v>0</v>
      </c>
    </row>
    <row r="1486" spans="1:19" x14ac:dyDescent="0.3">
      <c r="A1486" s="1" t="s">
        <v>134</v>
      </c>
      <c r="B1486" s="1" t="s">
        <v>133</v>
      </c>
      <c r="C1486" s="35" t="s">
        <v>1950</v>
      </c>
      <c r="D1486" s="8">
        <v>169.91594865827102</v>
      </c>
      <c r="E1486" s="39" t="s">
        <v>1950</v>
      </c>
      <c r="F1486" s="8">
        <v>163.0698459517692</v>
      </c>
      <c r="G1486" s="35" t="s">
        <v>1950</v>
      </c>
      <c r="H1486" s="8">
        <v>127.55876185318753</v>
      </c>
      <c r="I1486" s="37" t="s">
        <v>1950</v>
      </c>
      <c r="J1486" s="1">
        <v>2003</v>
      </c>
      <c r="K1486" s="35" t="s">
        <v>1950</v>
      </c>
      <c r="L1486" s="35" t="s">
        <v>1950</v>
      </c>
      <c r="M1486" s="6">
        <v>8679.1</v>
      </c>
      <c r="N1486" s="54">
        <v>1779</v>
      </c>
      <c r="O1486" s="21">
        <v>0.20497517023654527</v>
      </c>
      <c r="P1486" s="1">
        <v>0</v>
      </c>
      <c r="Q1486" s="1" t="s">
        <v>28</v>
      </c>
      <c r="R1486" s="53">
        <v>0</v>
      </c>
      <c r="S1486" s="53">
        <v>0</v>
      </c>
    </row>
    <row r="1487" spans="1:19" x14ac:dyDescent="0.3">
      <c r="A1487" s="1" t="s">
        <v>134</v>
      </c>
      <c r="B1487" s="1" t="s">
        <v>133</v>
      </c>
      <c r="C1487" s="35" t="s">
        <v>1950</v>
      </c>
      <c r="D1487" s="35">
        <v>0</v>
      </c>
      <c r="E1487" s="39" t="s">
        <v>1950</v>
      </c>
      <c r="F1487" s="37">
        <v>0</v>
      </c>
      <c r="G1487" s="35" t="s">
        <v>1950</v>
      </c>
      <c r="H1487" s="8">
        <v>117.94760201121639</v>
      </c>
      <c r="I1487" s="37" t="s">
        <v>1950</v>
      </c>
      <c r="J1487" s="1">
        <v>2022</v>
      </c>
      <c r="K1487" s="1" t="s">
        <v>21</v>
      </c>
      <c r="L1487" s="1" t="s">
        <v>1783</v>
      </c>
      <c r="M1487" s="6">
        <v>15513</v>
      </c>
      <c r="N1487" s="54">
        <v>182</v>
      </c>
      <c r="O1487" s="21">
        <v>1.1732095661703088E-2</v>
      </c>
      <c r="P1487" s="1">
        <v>0</v>
      </c>
      <c r="Q1487" s="1" t="s">
        <v>28</v>
      </c>
      <c r="R1487" s="53">
        <v>0</v>
      </c>
      <c r="S1487" s="53">
        <v>0</v>
      </c>
    </row>
    <row r="1488" spans="1:19" x14ac:dyDescent="0.3">
      <c r="A1488" s="1" t="s">
        <v>134</v>
      </c>
      <c r="B1488" s="1" t="s">
        <v>133</v>
      </c>
      <c r="C1488" s="35" t="s">
        <v>1950</v>
      </c>
      <c r="D1488" s="8">
        <v>91.310521524748722</v>
      </c>
      <c r="E1488" s="39" t="s">
        <v>1950</v>
      </c>
      <c r="F1488" s="8">
        <v>96.112727100322402</v>
      </c>
      <c r="G1488" s="35" t="s">
        <v>1950</v>
      </c>
      <c r="H1488" s="8">
        <v>111.16858714204437</v>
      </c>
      <c r="I1488" s="37" t="s">
        <v>1950</v>
      </c>
      <c r="J1488" s="1">
        <v>2017</v>
      </c>
      <c r="K1488" s="1" t="s">
        <v>47</v>
      </c>
      <c r="L1488" s="1" t="s">
        <v>1598</v>
      </c>
      <c r="M1488" s="6">
        <v>5273</v>
      </c>
      <c r="N1488" s="54">
        <v>170</v>
      </c>
      <c r="O1488" s="21">
        <v>3.223971173904798E-2</v>
      </c>
      <c r="P1488" s="1">
        <v>0</v>
      </c>
      <c r="Q1488" s="1" t="s">
        <v>28</v>
      </c>
      <c r="R1488" s="53">
        <v>0</v>
      </c>
      <c r="S1488" s="53">
        <v>0</v>
      </c>
    </row>
    <row r="1489" spans="1:19" x14ac:dyDescent="0.3">
      <c r="A1489" s="1" t="s">
        <v>134</v>
      </c>
      <c r="B1489" s="1" t="s">
        <v>133</v>
      </c>
      <c r="C1489" s="35" t="s">
        <v>1950</v>
      </c>
      <c r="D1489" s="8">
        <v>104.89269245072518</v>
      </c>
      <c r="E1489" s="39" t="s">
        <v>1950</v>
      </c>
      <c r="F1489" s="8">
        <v>100.0319561175158</v>
      </c>
      <c r="G1489" s="35" t="s">
        <v>1950</v>
      </c>
      <c r="H1489" s="8">
        <v>106.24573075492749</v>
      </c>
      <c r="I1489" s="37" t="s">
        <v>1950</v>
      </c>
      <c r="J1489" s="1">
        <v>1997</v>
      </c>
      <c r="K1489" s="35" t="s">
        <v>1950</v>
      </c>
      <c r="L1489" s="35" t="s">
        <v>1950</v>
      </c>
      <c r="M1489" s="6">
        <v>16134</v>
      </c>
      <c r="N1489" s="54">
        <v>777</v>
      </c>
      <c r="O1489" s="21">
        <v>4.8159166976571216E-2</v>
      </c>
      <c r="P1489" s="1">
        <v>0</v>
      </c>
      <c r="Q1489" s="1" t="s">
        <v>28</v>
      </c>
      <c r="R1489" s="53">
        <v>0</v>
      </c>
      <c r="S1489" s="53">
        <v>0</v>
      </c>
    </row>
    <row r="1490" spans="1:19" x14ac:dyDescent="0.3">
      <c r="A1490" s="1" t="s">
        <v>134</v>
      </c>
      <c r="B1490" s="1" t="s">
        <v>133</v>
      </c>
      <c r="C1490" s="35" t="s">
        <v>1950</v>
      </c>
      <c r="D1490" s="8">
        <v>91.463697333333329</v>
      </c>
      <c r="E1490" s="39" t="s">
        <v>1950</v>
      </c>
      <c r="F1490" s="8">
        <v>94.648975333333325</v>
      </c>
      <c r="G1490" s="35" t="s">
        <v>1950</v>
      </c>
      <c r="H1490" s="8">
        <v>96.942488666666677</v>
      </c>
      <c r="I1490" s="37" t="s">
        <v>1950</v>
      </c>
      <c r="J1490" s="1">
        <v>2006</v>
      </c>
      <c r="K1490" s="35" t="s">
        <v>1950</v>
      </c>
      <c r="L1490" s="35" t="s">
        <v>1950</v>
      </c>
      <c r="M1490" s="6">
        <v>15000</v>
      </c>
      <c r="N1490" s="54">
        <v>12000</v>
      </c>
      <c r="O1490" s="21">
        <v>0.8</v>
      </c>
      <c r="P1490" s="1">
        <v>0</v>
      </c>
      <c r="Q1490" s="1" t="s">
        <v>1821</v>
      </c>
      <c r="R1490" s="53">
        <v>0</v>
      </c>
      <c r="S1490" s="53">
        <v>0</v>
      </c>
    </row>
    <row r="1491" spans="1:19" x14ac:dyDescent="0.3">
      <c r="A1491" s="1" t="s">
        <v>134</v>
      </c>
      <c r="B1491" s="1" t="s">
        <v>133</v>
      </c>
      <c r="C1491" s="35" t="s">
        <v>1950</v>
      </c>
      <c r="D1491" s="8">
        <v>73.421322592067995</v>
      </c>
      <c r="E1491" s="39" t="s">
        <v>1950</v>
      </c>
      <c r="F1491" s="8">
        <v>91.113925283286108</v>
      </c>
      <c r="G1491" s="35" t="s">
        <v>1950</v>
      </c>
      <c r="H1491" s="8">
        <v>95.01811083569406</v>
      </c>
      <c r="I1491" s="37" t="s">
        <v>1950</v>
      </c>
      <c r="J1491" s="1">
        <v>2015</v>
      </c>
      <c r="K1491" s="1" t="s">
        <v>47</v>
      </c>
      <c r="L1491" s="1" t="s">
        <v>1598</v>
      </c>
      <c r="M1491" s="6">
        <v>5648</v>
      </c>
      <c r="N1491" s="54">
        <v>116</v>
      </c>
      <c r="O1491" s="21">
        <v>2.0538243626062325E-2</v>
      </c>
      <c r="P1491" s="1">
        <v>0</v>
      </c>
      <c r="Q1491" s="1" t="s">
        <v>28</v>
      </c>
      <c r="R1491" s="53">
        <v>0</v>
      </c>
      <c r="S1491" s="53">
        <v>0</v>
      </c>
    </row>
    <row r="1492" spans="1:19" x14ac:dyDescent="0.3">
      <c r="A1492" s="1" t="s">
        <v>134</v>
      </c>
      <c r="B1492" s="1" t="s">
        <v>133</v>
      </c>
      <c r="C1492" s="35" t="s">
        <v>1950</v>
      </c>
      <c r="D1492" s="8">
        <v>99.725874618953696</v>
      </c>
      <c r="E1492" s="39" t="s">
        <v>1950</v>
      </c>
      <c r="F1492" s="8">
        <v>81.168699621537669</v>
      </c>
      <c r="G1492" s="35" t="s">
        <v>1950</v>
      </c>
      <c r="H1492" s="8">
        <v>84.717880610920048</v>
      </c>
      <c r="I1492" s="37" t="s">
        <v>1950</v>
      </c>
      <c r="J1492" s="1">
        <v>2015</v>
      </c>
      <c r="K1492" s="1" t="s">
        <v>19</v>
      </c>
      <c r="L1492" s="1" t="s">
        <v>1783</v>
      </c>
      <c r="M1492" s="6">
        <v>21188.37</v>
      </c>
      <c r="N1492" s="54">
        <v>12276</v>
      </c>
      <c r="O1492" s="21">
        <v>0.57937443984600989</v>
      </c>
      <c r="P1492" s="1">
        <v>12</v>
      </c>
      <c r="Q1492" s="1" t="s">
        <v>1589</v>
      </c>
      <c r="R1492" s="55">
        <v>6</v>
      </c>
      <c r="S1492" s="55">
        <v>0.51</v>
      </c>
    </row>
    <row r="1493" spans="1:19" x14ac:dyDescent="0.3">
      <c r="A1493" s="1" t="s">
        <v>134</v>
      </c>
      <c r="B1493" s="1" t="s">
        <v>133</v>
      </c>
      <c r="C1493" s="35" t="s">
        <v>1950</v>
      </c>
      <c r="D1493" s="8">
        <v>43.234793852623852</v>
      </c>
      <c r="E1493" s="39" t="s">
        <v>1950</v>
      </c>
      <c r="F1493" s="8">
        <v>45.733924173893406</v>
      </c>
      <c r="G1493" s="35" t="s">
        <v>1950</v>
      </c>
      <c r="H1493" s="8">
        <v>53.207459832485412</v>
      </c>
      <c r="I1493" s="37" t="s">
        <v>1950</v>
      </c>
      <c r="J1493" s="1">
        <v>2008</v>
      </c>
      <c r="K1493" s="35" t="s">
        <v>1950</v>
      </c>
      <c r="L1493" s="35" t="s">
        <v>1950</v>
      </c>
      <c r="M1493" s="6">
        <v>141719</v>
      </c>
      <c r="N1493" s="54">
        <v>6270</v>
      </c>
      <c r="O1493" s="21">
        <v>4.4242479836860263E-2</v>
      </c>
      <c r="P1493" s="1">
        <v>26</v>
      </c>
      <c r="Q1493" s="1" t="s">
        <v>28</v>
      </c>
      <c r="R1493" s="53">
        <v>0</v>
      </c>
      <c r="S1493" s="53">
        <v>0</v>
      </c>
    </row>
    <row r="1494" spans="1:19" x14ac:dyDescent="0.3">
      <c r="A1494" s="1" t="s">
        <v>134</v>
      </c>
      <c r="B1494" s="1" t="s">
        <v>133</v>
      </c>
      <c r="C1494" s="35" t="s">
        <v>1950</v>
      </c>
      <c r="D1494" s="8">
        <v>89.620207147375069</v>
      </c>
      <c r="E1494" s="39" t="s">
        <v>1950</v>
      </c>
      <c r="F1494" s="8">
        <v>57.625988298545224</v>
      </c>
      <c r="G1494" s="35" t="s">
        <v>1950</v>
      </c>
      <c r="H1494" s="8">
        <v>51.002494465528152</v>
      </c>
      <c r="I1494" s="37" t="s">
        <v>1950</v>
      </c>
      <c r="J1494" s="1">
        <v>2015</v>
      </c>
      <c r="K1494" s="1" t="s">
        <v>19</v>
      </c>
      <c r="L1494" s="1" t="s">
        <v>1601</v>
      </c>
      <c r="M1494" s="6">
        <v>12648</v>
      </c>
      <c r="N1494" s="54">
        <v>12648</v>
      </c>
      <c r="O1494" s="21">
        <v>1</v>
      </c>
      <c r="P1494" s="1">
        <v>0</v>
      </c>
      <c r="Q1494" s="1" t="s">
        <v>1589</v>
      </c>
      <c r="R1494" s="55">
        <v>8</v>
      </c>
      <c r="S1494" s="55">
        <v>380</v>
      </c>
    </row>
    <row r="1495" spans="1:19" x14ac:dyDescent="0.3">
      <c r="A1495" s="1" t="s">
        <v>134</v>
      </c>
      <c r="B1495" s="1" t="s">
        <v>133</v>
      </c>
      <c r="C1495" s="35" t="s">
        <v>1950</v>
      </c>
      <c r="D1495" s="8">
        <v>32.169291148412029</v>
      </c>
      <c r="E1495" s="39" t="s">
        <v>1950</v>
      </c>
      <c r="F1495" s="8">
        <v>35.62843859437266</v>
      </c>
      <c r="G1495" s="35" t="s">
        <v>1950</v>
      </c>
      <c r="H1495" s="8">
        <v>37.054401642313728</v>
      </c>
      <c r="I1495" s="37" t="s">
        <v>1950</v>
      </c>
      <c r="J1495" s="1">
        <v>2003</v>
      </c>
      <c r="K1495" s="35" t="s">
        <v>1950</v>
      </c>
      <c r="L1495" s="35" t="s">
        <v>1950</v>
      </c>
      <c r="M1495" s="6">
        <v>8281</v>
      </c>
      <c r="N1495" s="54">
        <v>2008</v>
      </c>
      <c r="O1495" s="21">
        <v>0.24248279193334138</v>
      </c>
      <c r="P1495" s="1">
        <v>0</v>
      </c>
      <c r="Q1495" s="1" t="s">
        <v>28</v>
      </c>
      <c r="R1495" s="53">
        <v>0</v>
      </c>
      <c r="S1495" s="53">
        <v>0</v>
      </c>
    </row>
    <row r="1496" spans="1:19" x14ac:dyDescent="0.3">
      <c r="A1496" s="1" t="s">
        <v>134</v>
      </c>
      <c r="B1496" s="1" t="s">
        <v>133</v>
      </c>
      <c r="C1496" s="35" t="s">
        <v>1950</v>
      </c>
      <c r="D1496" s="8">
        <v>20.278763594733828</v>
      </c>
      <c r="E1496" s="39" t="s">
        <v>1950</v>
      </c>
      <c r="F1496" s="8">
        <v>25.228391528334289</v>
      </c>
      <c r="G1496" s="35" t="s">
        <v>1950</v>
      </c>
      <c r="H1496" s="8">
        <v>31.482541499713793</v>
      </c>
      <c r="I1496" s="37" t="s">
        <v>1950</v>
      </c>
      <c r="J1496" s="1">
        <v>1997</v>
      </c>
      <c r="K1496" s="35" t="s">
        <v>1950</v>
      </c>
      <c r="L1496" s="35" t="s">
        <v>1950</v>
      </c>
      <c r="M1496" s="6">
        <v>8735</v>
      </c>
      <c r="N1496" s="54">
        <v>850</v>
      </c>
      <c r="O1496" s="21">
        <v>9.7309673726388088E-2</v>
      </c>
      <c r="P1496" s="1">
        <v>3</v>
      </c>
      <c r="Q1496" s="1" t="s">
        <v>28</v>
      </c>
      <c r="R1496" s="53">
        <v>0</v>
      </c>
      <c r="S1496" s="53">
        <v>0</v>
      </c>
    </row>
    <row r="1497" spans="1:19" x14ac:dyDescent="0.3">
      <c r="A1497" s="1" t="s">
        <v>134</v>
      </c>
      <c r="B1497" s="1" t="s">
        <v>133</v>
      </c>
      <c r="C1497" s="35" t="s">
        <v>1950</v>
      </c>
      <c r="D1497" s="8">
        <v>25.409390607528881</v>
      </c>
      <c r="E1497" s="39" t="s">
        <v>1950</v>
      </c>
      <c r="F1497" s="8">
        <v>21.410734252702198</v>
      </c>
      <c r="G1497" s="35" t="s">
        <v>1950</v>
      </c>
      <c r="H1497" s="8">
        <v>21.803950801341781</v>
      </c>
      <c r="I1497" s="37" t="s">
        <v>1950</v>
      </c>
      <c r="J1497" s="1">
        <v>1984</v>
      </c>
      <c r="K1497" s="35" t="s">
        <v>1950</v>
      </c>
      <c r="L1497" s="35" t="s">
        <v>1950</v>
      </c>
      <c r="M1497" s="6">
        <v>5366</v>
      </c>
      <c r="N1497" s="54">
        <v>1500</v>
      </c>
      <c r="O1497" s="21">
        <v>0.27953783078643307</v>
      </c>
      <c r="P1497" s="1">
        <v>0</v>
      </c>
      <c r="Q1497" s="1" t="s">
        <v>28</v>
      </c>
      <c r="R1497" s="53">
        <v>0</v>
      </c>
      <c r="S1497" s="53">
        <v>0</v>
      </c>
    </row>
    <row r="1498" spans="1:19" x14ac:dyDescent="0.3">
      <c r="A1498" s="1" t="s">
        <v>134</v>
      </c>
      <c r="B1498" s="1" t="s">
        <v>133</v>
      </c>
      <c r="C1498" s="35" t="s">
        <v>1950</v>
      </c>
      <c r="D1498" s="8">
        <v>10.797344321556668</v>
      </c>
      <c r="E1498" s="39" t="s">
        <v>1950</v>
      </c>
      <c r="F1498" s="8">
        <v>11.971111064691998</v>
      </c>
      <c r="G1498" s="35" t="s">
        <v>1950</v>
      </c>
      <c r="H1498" s="8">
        <v>12.849267854531782</v>
      </c>
      <c r="I1498" s="37" t="s">
        <v>1950</v>
      </c>
      <c r="J1498" s="1">
        <v>1993</v>
      </c>
      <c r="K1498" s="35" t="s">
        <v>1950</v>
      </c>
      <c r="L1498" s="35" t="s">
        <v>1950</v>
      </c>
      <c r="M1498" s="6">
        <v>813841</v>
      </c>
      <c r="N1498" s="54">
        <v>34800</v>
      </c>
      <c r="O1498" s="21">
        <v>4.2760195173258658E-2</v>
      </c>
      <c r="P1498" s="1">
        <v>75</v>
      </c>
      <c r="Q1498" s="1" t="s">
        <v>1589</v>
      </c>
      <c r="R1498" s="53">
        <v>0</v>
      </c>
      <c r="S1498" s="53">
        <v>0</v>
      </c>
    </row>
    <row r="1499" spans="1:19" x14ac:dyDescent="0.3">
      <c r="A1499" s="1" t="s">
        <v>134</v>
      </c>
      <c r="B1499" s="1" t="s">
        <v>133</v>
      </c>
      <c r="C1499" s="35" t="s">
        <v>1950</v>
      </c>
      <c r="D1499" s="8">
        <v>3.1244786966571918</v>
      </c>
      <c r="E1499" s="39" t="s">
        <v>1950</v>
      </c>
      <c r="F1499" s="8">
        <v>4.362397006094942</v>
      </c>
      <c r="G1499" s="35" t="s">
        <v>1950</v>
      </c>
      <c r="H1499" s="8">
        <v>5.1375470150226086</v>
      </c>
      <c r="I1499" s="37" t="s">
        <v>1950</v>
      </c>
      <c r="J1499" s="1">
        <v>0</v>
      </c>
      <c r="K1499" s="35" t="s">
        <v>1950</v>
      </c>
      <c r="L1499" s="35" t="s">
        <v>1950</v>
      </c>
      <c r="M1499" s="6">
        <v>207221</v>
      </c>
      <c r="N1499" s="54">
        <v>4</v>
      </c>
      <c r="O1499" s="21">
        <v>1.9303062913507803E-5</v>
      </c>
      <c r="P1499" s="1">
        <v>0</v>
      </c>
      <c r="Q1499" s="1" t="s">
        <v>28</v>
      </c>
      <c r="R1499" s="53">
        <v>0</v>
      </c>
      <c r="S1499" s="53">
        <v>0</v>
      </c>
    </row>
  </sheetData>
  <sheetProtection selectLockedCells="1" selectUnlockedCells="1"/>
  <autoFilter ref="A1:S1499">
    <sortState ref="A2:X758">
      <sortCondition ref="A2:A758" customList="Commercial Building,Healthcare Facility,Educational Institution,Civic,Community &amp; Cultural Institution,Sports &amp; Recreation Centre"/>
      <sortCondition ref="B2:B758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C2:C758" customList="Large,Medium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4"/>
  <sheetViews>
    <sheetView topLeftCell="A66" zoomScale="85" zoomScaleNormal="85" workbookViewId="0">
      <pane xSplit="1" topLeftCell="K1" activePane="topRight" state="frozen"/>
      <selection pane="topRight" activeCell="T2" sqref="T2:T84"/>
    </sheetView>
  </sheetViews>
  <sheetFormatPr defaultColWidth="27.77734375" defaultRowHeight="14.4" x14ac:dyDescent="0.3"/>
  <cols>
    <col min="1" max="1" width="33.33203125" style="1" customWidth="1"/>
    <col min="2" max="2" width="20.33203125" style="1" customWidth="1"/>
    <col min="3" max="3" width="15.5546875" style="1" customWidth="1"/>
    <col min="4" max="4" width="21.77734375" style="1" customWidth="1"/>
    <col min="5" max="5" width="36.77734375" style="1" customWidth="1"/>
    <col min="6" max="6" width="23.77734375" style="1" customWidth="1"/>
    <col min="7" max="7" width="36.77734375" style="1" customWidth="1"/>
    <col min="8" max="8" width="21.77734375" style="1" bestFit="1" customWidth="1"/>
    <col min="9" max="9" width="33.33203125" style="1" customWidth="1"/>
    <col min="10" max="13" width="12.21875" style="1" customWidth="1"/>
    <col min="14" max="14" width="22.33203125" style="1" customWidth="1"/>
    <col min="15" max="15" width="17.77734375" style="1" customWidth="1"/>
    <col min="16" max="16" width="27.77734375" style="1" customWidth="1"/>
    <col min="17" max="17" width="27.109375" style="1" customWidth="1"/>
    <col min="18" max="18" width="15" style="1" customWidth="1"/>
    <col min="19" max="19" width="12.21875" style="1" customWidth="1"/>
    <col min="20" max="20" width="21.5546875" style="1" customWidth="1"/>
    <col min="21" max="21" width="27.5546875" style="2" customWidth="1"/>
    <col min="22" max="22" width="77.77734375" style="1" customWidth="1"/>
  </cols>
  <sheetData>
    <row r="1" spans="1:22" s="3" customFormat="1" ht="43.2" x14ac:dyDescent="0.3">
      <c r="A1" s="4" t="s">
        <v>1759</v>
      </c>
      <c r="B1" s="4" t="s">
        <v>7</v>
      </c>
      <c r="C1" s="4" t="s">
        <v>1760</v>
      </c>
      <c r="D1" s="4" t="s">
        <v>1765</v>
      </c>
      <c r="E1" s="4" t="s">
        <v>1766</v>
      </c>
      <c r="F1" s="4" t="s">
        <v>1768</v>
      </c>
      <c r="G1" s="4" t="s">
        <v>1767</v>
      </c>
      <c r="H1" s="4" t="s">
        <v>2619</v>
      </c>
      <c r="I1" s="4" t="s">
        <v>2620</v>
      </c>
      <c r="J1" s="4" t="s">
        <v>6</v>
      </c>
      <c r="K1" s="4" t="s">
        <v>1594</v>
      </c>
      <c r="L1" s="4" t="s">
        <v>1595</v>
      </c>
      <c r="M1" s="4" t="s">
        <v>1596</v>
      </c>
      <c r="N1" s="4" t="s">
        <v>1761</v>
      </c>
      <c r="O1" s="4" t="s">
        <v>1762</v>
      </c>
      <c r="P1" s="4" t="s">
        <v>1763</v>
      </c>
      <c r="Q1" s="4" t="s">
        <v>1764</v>
      </c>
      <c r="R1" s="4" t="s">
        <v>2</v>
      </c>
      <c r="S1" s="4" t="s">
        <v>3</v>
      </c>
      <c r="T1" s="4" t="s">
        <v>4</v>
      </c>
      <c r="U1" s="5" t="s">
        <v>5</v>
      </c>
      <c r="V1" s="4" t="s">
        <v>1772</v>
      </c>
    </row>
    <row r="2" spans="1:22" x14ac:dyDescent="0.3">
      <c r="A2" s="1" t="s">
        <v>1587</v>
      </c>
      <c r="B2" s="1" t="s">
        <v>9</v>
      </c>
      <c r="D2" s="8">
        <v>639.8813059043573</v>
      </c>
      <c r="E2" s="9">
        <v>17</v>
      </c>
      <c r="F2" s="8">
        <v>618.64994986000477</v>
      </c>
      <c r="G2" s="9">
        <v>17</v>
      </c>
      <c r="H2" s="8">
        <v>594.8096055663359</v>
      </c>
      <c r="I2" s="8">
        <v>17</v>
      </c>
      <c r="J2" s="1">
        <v>1981</v>
      </c>
      <c r="N2" s="6">
        <v>172666.55</v>
      </c>
      <c r="O2" s="6">
        <v>164580</v>
      </c>
      <c r="P2" s="21">
        <v>0.95316666719755516</v>
      </c>
      <c r="Q2" s="1">
        <v>0</v>
      </c>
      <c r="R2" s="1" t="s">
        <v>1589</v>
      </c>
      <c r="S2" s="1">
        <v>23</v>
      </c>
      <c r="T2" s="1">
        <v>1.48</v>
      </c>
      <c r="U2" s="22">
        <v>44797</v>
      </c>
      <c r="V2" s="8"/>
    </row>
    <row r="3" spans="1:22" x14ac:dyDescent="0.3">
      <c r="A3" s="1" t="s">
        <v>1587</v>
      </c>
      <c r="B3" s="1" t="s">
        <v>9</v>
      </c>
      <c r="D3" s="8">
        <v>392.12378382217173</v>
      </c>
      <c r="E3" s="9">
        <v>16</v>
      </c>
      <c r="F3" s="8">
        <v>416.20137064128966</v>
      </c>
      <c r="G3" s="9">
        <v>16</v>
      </c>
      <c r="H3" s="8">
        <v>406.84988045356624</v>
      </c>
      <c r="I3" s="8">
        <v>16</v>
      </c>
      <c r="J3" s="1">
        <v>1993</v>
      </c>
      <c r="N3" s="6">
        <v>42243</v>
      </c>
      <c r="O3" s="6">
        <v>42243</v>
      </c>
      <c r="P3" s="21">
        <v>1</v>
      </c>
      <c r="Q3" s="1">
        <v>0</v>
      </c>
      <c r="R3" s="1" t="s">
        <v>1589</v>
      </c>
      <c r="S3" s="1">
        <v>11</v>
      </c>
      <c r="T3" s="1" t="s">
        <v>18</v>
      </c>
      <c r="U3" s="22" t="s">
        <v>18</v>
      </c>
      <c r="V3" s="8"/>
    </row>
    <row r="4" spans="1:22" x14ac:dyDescent="0.3">
      <c r="A4" s="1" t="s">
        <v>1587</v>
      </c>
      <c r="B4" s="1" t="s">
        <v>9</v>
      </c>
      <c r="D4" s="8">
        <v>386.47030653083499</v>
      </c>
      <c r="E4" s="9">
        <v>15</v>
      </c>
      <c r="F4" s="8">
        <v>402.94108149899944</v>
      </c>
      <c r="G4" s="9">
        <v>15</v>
      </c>
      <c r="H4" s="8">
        <v>396.12744042204838</v>
      </c>
      <c r="I4" s="8">
        <v>15</v>
      </c>
      <c r="J4" s="1">
        <v>1979</v>
      </c>
      <c r="N4" s="6">
        <v>10994</v>
      </c>
      <c r="O4" s="6">
        <v>10763</v>
      </c>
      <c r="P4" s="21">
        <v>0.97898853920320172</v>
      </c>
      <c r="Q4" s="1">
        <v>0</v>
      </c>
      <c r="R4" s="1" t="s">
        <v>1589</v>
      </c>
      <c r="S4" s="1">
        <v>10</v>
      </c>
      <c r="T4" s="1" t="s">
        <v>18</v>
      </c>
      <c r="U4" s="22" t="s">
        <v>18</v>
      </c>
      <c r="V4" s="8"/>
    </row>
    <row r="5" spans="1:22" x14ac:dyDescent="0.3">
      <c r="A5" s="1" t="s">
        <v>1587</v>
      </c>
      <c r="B5" s="1" t="s">
        <v>9</v>
      </c>
      <c r="D5" s="8">
        <v>331.64862935694464</v>
      </c>
      <c r="E5" s="9">
        <v>11</v>
      </c>
      <c r="F5" s="8">
        <v>355.33990985355211</v>
      </c>
      <c r="G5" s="9">
        <v>12</v>
      </c>
      <c r="H5" s="8">
        <v>365.48181030749242</v>
      </c>
      <c r="I5" s="8">
        <v>14</v>
      </c>
      <c r="J5" s="1">
        <v>1997</v>
      </c>
      <c r="N5" s="6">
        <v>124686</v>
      </c>
      <c r="O5" s="6">
        <v>81768</v>
      </c>
      <c r="P5" s="21">
        <v>0.65579134786583904</v>
      </c>
      <c r="Q5" s="1">
        <v>0</v>
      </c>
      <c r="R5" s="1" t="s">
        <v>1589</v>
      </c>
      <c r="S5" s="1">
        <v>12</v>
      </c>
      <c r="T5" s="1">
        <v>0.99</v>
      </c>
      <c r="U5" s="22">
        <v>41670</v>
      </c>
      <c r="V5" s="8"/>
    </row>
    <row r="6" spans="1:22" x14ac:dyDescent="0.3">
      <c r="A6" s="1" t="s">
        <v>1587</v>
      </c>
      <c r="B6" s="1" t="s">
        <v>9</v>
      </c>
      <c r="D6" s="8">
        <v>329.71364880190612</v>
      </c>
      <c r="E6" s="9">
        <v>10</v>
      </c>
      <c r="F6" s="8">
        <v>357.94541670568407</v>
      </c>
      <c r="G6" s="9">
        <v>14</v>
      </c>
      <c r="H6" s="8">
        <v>361.78129709398507</v>
      </c>
      <c r="I6" s="8">
        <v>13</v>
      </c>
      <c r="J6" s="1">
        <v>1999</v>
      </c>
      <c r="K6" s="1" t="s">
        <v>19</v>
      </c>
      <c r="L6" s="1">
        <v>2006</v>
      </c>
      <c r="M6" s="1" t="s">
        <v>1610</v>
      </c>
      <c r="N6" s="6">
        <v>179917</v>
      </c>
      <c r="O6" s="6">
        <v>148371</v>
      </c>
      <c r="P6" s="21">
        <v>0.82466359487986129</v>
      </c>
      <c r="Q6" s="1">
        <v>1200</v>
      </c>
      <c r="R6" s="1" t="s">
        <v>1589</v>
      </c>
      <c r="S6" s="1">
        <v>24</v>
      </c>
      <c r="T6" s="1">
        <v>0.8</v>
      </c>
      <c r="U6" s="22">
        <v>44313</v>
      </c>
      <c r="V6" s="8"/>
    </row>
    <row r="7" spans="1:22" x14ac:dyDescent="0.3">
      <c r="A7" s="1" t="s">
        <v>1587</v>
      </c>
      <c r="B7" s="1" t="s">
        <v>9</v>
      </c>
      <c r="D7" s="8">
        <v>361.12973152321177</v>
      </c>
      <c r="E7" s="9">
        <v>14</v>
      </c>
      <c r="F7" s="8">
        <v>357.8181353167252</v>
      </c>
      <c r="G7" s="9">
        <v>13</v>
      </c>
      <c r="H7" s="8">
        <v>348.80325987778912</v>
      </c>
      <c r="I7" s="8">
        <v>12</v>
      </c>
      <c r="J7" s="1">
        <v>2012</v>
      </c>
      <c r="K7" s="1" t="s">
        <v>19</v>
      </c>
      <c r="L7" s="1">
        <v>2019</v>
      </c>
      <c r="M7" s="1" t="s">
        <v>1603</v>
      </c>
      <c r="N7" s="6">
        <v>72334</v>
      </c>
      <c r="O7" s="6">
        <v>70000</v>
      </c>
      <c r="P7" s="21">
        <v>0.96773301628556418</v>
      </c>
      <c r="Q7" s="1">
        <v>333</v>
      </c>
      <c r="R7" s="1" t="s">
        <v>1589</v>
      </c>
      <c r="S7" s="1">
        <v>10</v>
      </c>
      <c r="T7" s="1" t="s">
        <v>18</v>
      </c>
      <c r="U7" s="22" t="s">
        <v>18</v>
      </c>
      <c r="V7" s="8"/>
    </row>
    <row r="8" spans="1:22" x14ac:dyDescent="0.3">
      <c r="A8" s="1" t="s">
        <v>1587</v>
      </c>
      <c r="B8" s="1" t="s">
        <v>9</v>
      </c>
      <c r="D8" s="8">
        <v>350.1219667132512</v>
      </c>
      <c r="E8" s="9">
        <v>12</v>
      </c>
      <c r="F8" s="8">
        <v>346.93264606058403</v>
      </c>
      <c r="G8" s="9">
        <v>10</v>
      </c>
      <c r="H8" s="8">
        <v>344.02119897635077</v>
      </c>
      <c r="I8" s="8">
        <v>11</v>
      </c>
      <c r="J8" s="1">
        <v>1979</v>
      </c>
      <c r="N8" s="6">
        <v>55097</v>
      </c>
      <c r="O8" s="6">
        <v>54958</v>
      </c>
      <c r="P8" s="21">
        <v>0.99747717661578672</v>
      </c>
      <c r="Q8" s="1">
        <v>284</v>
      </c>
      <c r="R8" s="1" t="s">
        <v>1589</v>
      </c>
      <c r="S8" s="1">
        <v>4</v>
      </c>
      <c r="T8" s="1" t="s">
        <v>18</v>
      </c>
      <c r="U8" s="22" t="s">
        <v>18</v>
      </c>
      <c r="V8" s="8"/>
    </row>
    <row r="9" spans="1:22" x14ac:dyDescent="0.3">
      <c r="A9" s="1" t="s">
        <v>1587</v>
      </c>
      <c r="B9" s="1" t="s">
        <v>9</v>
      </c>
      <c r="D9" s="8">
        <v>351.10389828857785</v>
      </c>
      <c r="E9" s="9">
        <v>13</v>
      </c>
      <c r="F9" s="8">
        <v>350.9192541634572</v>
      </c>
      <c r="G9" s="9">
        <v>11</v>
      </c>
      <c r="H9" s="8">
        <v>343.78124252968206</v>
      </c>
      <c r="I9" s="8">
        <v>10</v>
      </c>
      <c r="J9" s="1">
        <v>1998</v>
      </c>
      <c r="N9" s="6">
        <v>112947</v>
      </c>
      <c r="O9" s="6">
        <v>74061</v>
      </c>
      <c r="P9" s="21">
        <v>0.65571462721453422</v>
      </c>
      <c r="Q9" s="1">
        <v>0</v>
      </c>
      <c r="R9" s="1" t="s">
        <v>1589</v>
      </c>
      <c r="S9" s="1">
        <v>12</v>
      </c>
      <c r="T9" s="1" t="s">
        <v>18</v>
      </c>
      <c r="U9" s="22" t="s">
        <v>18</v>
      </c>
      <c r="V9" s="8"/>
    </row>
    <row r="10" spans="1:22" x14ac:dyDescent="0.3">
      <c r="A10" s="1" t="s">
        <v>1587</v>
      </c>
      <c r="B10" s="1" t="s">
        <v>9</v>
      </c>
      <c r="D10" s="8">
        <v>328.29224216199509</v>
      </c>
      <c r="E10" s="9">
        <v>9</v>
      </c>
      <c r="F10" s="8">
        <v>327.19683389031621</v>
      </c>
      <c r="G10" s="9">
        <v>9</v>
      </c>
      <c r="H10" s="8">
        <v>320.16185504278786</v>
      </c>
      <c r="I10" s="8">
        <v>9</v>
      </c>
      <c r="J10" s="1">
        <v>2010</v>
      </c>
      <c r="N10" s="6">
        <v>103534</v>
      </c>
      <c r="O10" s="6">
        <v>63491</v>
      </c>
      <c r="P10" s="21">
        <v>0.61323816330867154</v>
      </c>
      <c r="Q10" s="1">
        <v>0</v>
      </c>
      <c r="R10" s="1" t="s">
        <v>1589</v>
      </c>
      <c r="S10" s="1">
        <v>10</v>
      </c>
      <c r="U10" s="22"/>
      <c r="V10" s="8"/>
    </row>
    <row r="11" spans="1:22" x14ac:dyDescent="0.3">
      <c r="A11" s="1" t="s">
        <v>1587</v>
      </c>
      <c r="B11" s="1" t="s">
        <v>9</v>
      </c>
      <c r="D11" s="8">
        <v>323.29373551737916</v>
      </c>
      <c r="E11" s="9">
        <v>8</v>
      </c>
      <c r="F11" s="8">
        <v>314.7662924490611</v>
      </c>
      <c r="G11" s="9">
        <v>6</v>
      </c>
      <c r="H11" s="8">
        <v>319.64751338393927</v>
      </c>
      <c r="I11" s="8">
        <v>8</v>
      </c>
      <c r="J11" s="1">
        <v>1975</v>
      </c>
      <c r="K11" s="1" t="s">
        <v>47</v>
      </c>
      <c r="L11" s="1">
        <v>2020</v>
      </c>
      <c r="M11" s="1" t="s">
        <v>1601</v>
      </c>
      <c r="N11" s="6">
        <v>12515</v>
      </c>
      <c r="O11" s="6">
        <v>12515</v>
      </c>
      <c r="P11" s="21">
        <v>1</v>
      </c>
      <c r="Q11" s="1">
        <v>0</v>
      </c>
      <c r="R11" s="1" t="s">
        <v>1589</v>
      </c>
      <c r="S11" s="1">
        <v>4</v>
      </c>
      <c r="T11" s="1">
        <v>0.75</v>
      </c>
      <c r="U11" s="22">
        <v>44084</v>
      </c>
      <c r="V11" s="8"/>
    </row>
    <row r="12" spans="1:22" x14ac:dyDescent="0.3">
      <c r="A12" s="1" t="s">
        <v>1587</v>
      </c>
      <c r="B12" s="1" t="s">
        <v>9</v>
      </c>
      <c r="D12" s="8">
        <v>306.49823847918094</v>
      </c>
      <c r="E12" s="9">
        <v>6</v>
      </c>
      <c r="F12" s="8">
        <v>322.78457427943158</v>
      </c>
      <c r="G12" s="9">
        <v>8</v>
      </c>
      <c r="H12" s="8">
        <v>310.39888397607172</v>
      </c>
      <c r="I12" s="8">
        <v>7</v>
      </c>
      <c r="J12" s="1">
        <v>1940</v>
      </c>
      <c r="K12" s="1" t="s">
        <v>19</v>
      </c>
      <c r="L12" s="1">
        <v>2022</v>
      </c>
      <c r="M12" s="1" t="s">
        <v>1875</v>
      </c>
      <c r="N12" s="6">
        <v>42293</v>
      </c>
      <c r="O12" s="6">
        <v>33778</v>
      </c>
      <c r="P12" s="21">
        <v>0.79866644598396896</v>
      </c>
      <c r="Q12" s="1">
        <v>0</v>
      </c>
      <c r="R12" s="1" t="s">
        <v>1590</v>
      </c>
      <c r="S12" s="1" t="s">
        <v>18</v>
      </c>
      <c r="T12" s="1" t="s">
        <v>18</v>
      </c>
      <c r="U12" s="22" t="s">
        <v>18</v>
      </c>
      <c r="V12" s="8"/>
    </row>
    <row r="13" spans="1:22" x14ac:dyDescent="0.3">
      <c r="A13" s="1" t="s">
        <v>1587</v>
      </c>
      <c r="B13" s="1" t="s">
        <v>9</v>
      </c>
      <c r="D13" s="8">
        <v>276.04893333333331</v>
      </c>
      <c r="E13" s="9">
        <v>5</v>
      </c>
      <c r="F13" s="8">
        <v>279.39196666666669</v>
      </c>
      <c r="G13" s="9">
        <v>5</v>
      </c>
      <c r="H13" s="8">
        <v>282.35132222222222</v>
      </c>
      <c r="I13" s="8">
        <v>6</v>
      </c>
      <c r="J13" s="1">
        <v>2017</v>
      </c>
      <c r="K13" s="1" t="s">
        <v>19</v>
      </c>
      <c r="L13" s="1">
        <v>2023</v>
      </c>
      <c r="M13" s="1" t="s">
        <v>1783</v>
      </c>
      <c r="N13" s="6">
        <v>288000</v>
      </c>
      <c r="O13" s="6">
        <v>158344</v>
      </c>
      <c r="P13" s="21">
        <v>0.54980555555555555</v>
      </c>
      <c r="Q13" s="1">
        <v>0</v>
      </c>
      <c r="R13" s="1" t="s">
        <v>1589</v>
      </c>
      <c r="S13" s="1">
        <v>6</v>
      </c>
      <c r="T13" s="1">
        <v>0.6159</v>
      </c>
      <c r="U13" s="22">
        <v>44774</v>
      </c>
      <c r="V13" s="8"/>
    </row>
    <row r="14" spans="1:22" x14ac:dyDescent="0.3">
      <c r="A14" s="1" t="s">
        <v>1587</v>
      </c>
      <c r="B14" s="1" t="s">
        <v>9</v>
      </c>
      <c r="D14" s="8">
        <v>269.88431563565513</v>
      </c>
      <c r="E14" s="9">
        <v>4</v>
      </c>
      <c r="F14" s="8">
        <v>275.19337554797858</v>
      </c>
      <c r="G14" s="9">
        <v>4</v>
      </c>
      <c r="H14" s="8">
        <v>266.54437408670242</v>
      </c>
      <c r="I14" s="8">
        <v>5</v>
      </c>
      <c r="J14" s="1">
        <v>2001</v>
      </c>
      <c r="K14" s="1" t="s">
        <v>47</v>
      </c>
      <c r="L14" s="1">
        <v>2019</v>
      </c>
      <c r="M14" s="1" t="s">
        <v>1601</v>
      </c>
      <c r="N14" s="6">
        <v>49272</v>
      </c>
      <c r="O14" s="6">
        <v>39371</v>
      </c>
      <c r="P14" s="21">
        <v>0.79905422958272443</v>
      </c>
      <c r="Q14" s="1">
        <v>0</v>
      </c>
      <c r="R14" s="1" t="s">
        <v>1589</v>
      </c>
      <c r="S14" s="1">
        <v>6</v>
      </c>
      <c r="T14" s="1">
        <v>0.65</v>
      </c>
      <c r="U14" s="22">
        <v>44671</v>
      </c>
      <c r="V14" s="8"/>
    </row>
    <row r="15" spans="1:22" x14ac:dyDescent="0.3">
      <c r="A15" s="1" t="s">
        <v>1587</v>
      </c>
      <c r="B15" s="1" t="s">
        <v>9</v>
      </c>
      <c r="D15" s="8">
        <v>263.58511888472128</v>
      </c>
      <c r="E15" s="9">
        <v>3</v>
      </c>
      <c r="F15" s="8">
        <v>256.94238477760427</v>
      </c>
      <c r="G15" s="9">
        <v>3</v>
      </c>
      <c r="H15" s="8">
        <v>249.97985318501586</v>
      </c>
      <c r="I15" s="8">
        <v>4</v>
      </c>
      <c r="J15" s="1">
        <v>2015</v>
      </c>
      <c r="N15" s="6">
        <v>186357</v>
      </c>
      <c r="O15" s="6">
        <v>130612</v>
      </c>
      <c r="P15" s="21">
        <v>0.70086983585269136</v>
      </c>
      <c r="Q15" s="1">
        <v>0</v>
      </c>
      <c r="R15" s="1" t="s">
        <v>1589</v>
      </c>
      <c r="S15" s="1">
        <v>4</v>
      </c>
      <c r="U15" s="22"/>
      <c r="V15" s="8"/>
    </row>
    <row r="16" spans="1:22" x14ac:dyDescent="0.3">
      <c r="A16" s="1" t="s">
        <v>1587</v>
      </c>
      <c r="B16" s="1" t="s">
        <v>9</v>
      </c>
      <c r="D16" s="8">
        <v>247.15569996732526</v>
      </c>
      <c r="E16" s="9">
        <v>2</v>
      </c>
      <c r="F16" s="8">
        <v>234.17989894456713</v>
      </c>
      <c r="G16" s="9">
        <v>2</v>
      </c>
      <c r="H16" s="8">
        <v>234.91129108452517</v>
      </c>
      <c r="I16" s="8">
        <v>3</v>
      </c>
      <c r="J16" s="1">
        <v>1993</v>
      </c>
      <c r="K16" s="1" t="s">
        <v>25</v>
      </c>
      <c r="L16" s="1">
        <v>2017</v>
      </c>
      <c r="M16" s="1" t="s">
        <v>1598</v>
      </c>
      <c r="N16" s="6">
        <v>20321.52</v>
      </c>
      <c r="O16" s="6">
        <v>17199</v>
      </c>
      <c r="P16" s="21">
        <v>0.84634417110531102</v>
      </c>
      <c r="Q16" s="1">
        <v>0</v>
      </c>
      <c r="R16" s="1" t="s">
        <v>1589</v>
      </c>
      <c r="S16" s="1">
        <v>7</v>
      </c>
      <c r="T16" s="1" t="s">
        <v>18</v>
      </c>
      <c r="U16" s="22" t="s">
        <v>18</v>
      </c>
      <c r="V16" s="8"/>
    </row>
    <row r="17" spans="1:22" x14ac:dyDescent="0.3">
      <c r="A17" s="1" t="s">
        <v>1587</v>
      </c>
      <c r="B17" s="1" t="s">
        <v>9</v>
      </c>
      <c r="D17" s="8">
        <v>226.01704710979996</v>
      </c>
      <c r="E17" s="9">
        <v>1</v>
      </c>
      <c r="F17" s="8">
        <v>158.85044251866876</v>
      </c>
      <c r="G17" s="9">
        <v>1</v>
      </c>
      <c r="H17" s="8">
        <v>151.29403521711072</v>
      </c>
      <c r="I17" s="8">
        <v>2</v>
      </c>
      <c r="J17" s="1">
        <v>2001</v>
      </c>
      <c r="N17" s="6">
        <v>10847</v>
      </c>
      <c r="O17" s="6">
        <v>3210</v>
      </c>
      <c r="P17" s="21">
        <v>0.29593435973080112</v>
      </c>
      <c r="Q17" s="1">
        <v>0</v>
      </c>
      <c r="R17" s="1" t="s">
        <v>1590</v>
      </c>
      <c r="S17" s="1" t="s">
        <v>18</v>
      </c>
      <c r="T17" s="1" t="s">
        <v>18</v>
      </c>
      <c r="U17" s="22" t="s">
        <v>18</v>
      </c>
      <c r="V17" s="8"/>
    </row>
    <row r="18" spans="1:22" x14ac:dyDescent="0.3">
      <c r="A18" s="1" t="s">
        <v>1587</v>
      </c>
      <c r="B18" s="1" t="s">
        <v>9</v>
      </c>
      <c r="D18" s="8">
        <v>316.21929846777255</v>
      </c>
      <c r="E18" s="9">
        <v>7</v>
      </c>
      <c r="F18" s="8">
        <v>320.17870077244521</v>
      </c>
      <c r="G18" s="9">
        <v>7</v>
      </c>
      <c r="H18" s="8">
        <v>50.346941876662022</v>
      </c>
      <c r="I18" s="8">
        <v>1</v>
      </c>
      <c r="J18" s="1">
        <v>1961</v>
      </c>
      <c r="K18" s="1" t="s">
        <v>47</v>
      </c>
      <c r="L18" s="1">
        <v>2021</v>
      </c>
      <c r="M18" s="1" t="s">
        <v>1609</v>
      </c>
      <c r="N18" s="6">
        <v>39485</v>
      </c>
      <c r="O18" s="6">
        <v>34863</v>
      </c>
      <c r="P18" s="21">
        <v>0.88294288970495127</v>
      </c>
      <c r="Q18" s="1">
        <v>0</v>
      </c>
      <c r="R18" s="1" t="s">
        <v>1589</v>
      </c>
      <c r="S18" s="1">
        <v>6</v>
      </c>
      <c r="T18" s="1" t="s">
        <v>18</v>
      </c>
      <c r="U18" s="22" t="s">
        <v>18</v>
      </c>
      <c r="V18" s="8"/>
    </row>
    <row r="19" spans="1:22" x14ac:dyDescent="0.3">
      <c r="A19" s="1" t="s">
        <v>1587</v>
      </c>
      <c r="B19" s="1" t="s">
        <v>9</v>
      </c>
      <c r="D19" s="8"/>
      <c r="E19" s="9"/>
      <c r="F19" s="8"/>
      <c r="G19" s="9"/>
      <c r="H19" s="8"/>
      <c r="I19" s="8"/>
      <c r="J19" s="1">
        <v>1985</v>
      </c>
      <c r="K19" s="1" t="s">
        <v>21</v>
      </c>
      <c r="L19" s="1">
        <v>2022</v>
      </c>
      <c r="M19" s="1" t="s">
        <v>1818</v>
      </c>
      <c r="N19" s="6">
        <v>146327</v>
      </c>
      <c r="O19" s="6">
        <v>70554</v>
      </c>
      <c r="P19" s="21">
        <v>0.48216665413765059</v>
      </c>
      <c r="Q19" s="1">
        <v>0</v>
      </c>
      <c r="R19" s="1" t="s">
        <v>1589</v>
      </c>
      <c r="S19" s="1">
        <v>5</v>
      </c>
      <c r="T19" s="1">
        <v>0.64</v>
      </c>
      <c r="U19" s="22">
        <v>44236</v>
      </c>
      <c r="V19" s="8"/>
    </row>
    <row r="20" spans="1:22" x14ac:dyDescent="0.3">
      <c r="A20" s="1" t="s">
        <v>1587</v>
      </c>
      <c r="B20" s="1" t="s">
        <v>10</v>
      </c>
      <c r="D20" s="8">
        <v>609.07977859334574</v>
      </c>
      <c r="E20" s="9">
        <v>9</v>
      </c>
      <c r="F20" s="8">
        <v>608.16166295650078</v>
      </c>
      <c r="G20" s="9">
        <v>9</v>
      </c>
      <c r="H20" s="8">
        <v>585.31460200950607</v>
      </c>
      <c r="I20" s="8">
        <v>9</v>
      </c>
      <c r="J20" s="1">
        <v>1999</v>
      </c>
      <c r="N20" s="6">
        <v>16621</v>
      </c>
      <c r="O20" s="6">
        <v>14934</v>
      </c>
      <c r="P20" s="21">
        <v>0.8985018951928283</v>
      </c>
      <c r="Q20" s="1">
        <v>0</v>
      </c>
      <c r="R20" s="1" t="s">
        <v>1590</v>
      </c>
      <c r="S20" s="1" t="s">
        <v>18</v>
      </c>
      <c r="T20" s="1" t="s">
        <v>18</v>
      </c>
      <c r="U20" s="22" t="s">
        <v>18</v>
      </c>
      <c r="V20" s="8"/>
    </row>
    <row r="21" spans="1:22" x14ac:dyDescent="0.3">
      <c r="A21" s="1" t="s">
        <v>1587</v>
      </c>
      <c r="B21" s="1" t="s">
        <v>10</v>
      </c>
      <c r="D21" s="8">
        <v>475.77840554500671</v>
      </c>
      <c r="E21" s="9">
        <v>7</v>
      </c>
      <c r="F21" s="8">
        <v>481.32274833689632</v>
      </c>
      <c r="G21" s="9">
        <v>8</v>
      </c>
      <c r="H21" s="8">
        <v>477.69147269323207</v>
      </c>
      <c r="I21" s="8">
        <v>8</v>
      </c>
      <c r="J21" s="1">
        <v>2013</v>
      </c>
      <c r="K21" s="1" t="s">
        <v>21</v>
      </c>
      <c r="L21" s="1">
        <v>2022</v>
      </c>
      <c r="M21" s="1" t="s">
        <v>1818</v>
      </c>
      <c r="N21" s="6">
        <v>75311</v>
      </c>
      <c r="O21" s="6">
        <v>51860</v>
      </c>
      <c r="P21" s="21">
        <v>0.68861122545179321</v>
      </c>
      <c r="Q21" s="1">
        <v>0</v>
      </c>
      <c r="R21" s="1" t="s">
        <v>1589</v>
      </c>
      <c r="S21" s="1">
        <v>9</v>
      </c>
      <c r="T21" s="1">
        <v>0.68</v>
      </c>
      <c r="U21" s="22">
        <v>44446</v>
      </c>
      <c r="V21" s="8"/>
    </row>
    <row r="22" spans="1:22" x14ac:dyDescent="0.3">
      <c r="A22" s="1" t="s">
        <v>1587</v>
      </c>
      <c r="B22" s="1" t="s">
        <v>10</v>
      </c>
      <c r="D22" s="8">
        <v>509.43146516738267</v>
      </c>
      <c r="E22" s="9">
        <v>8</v>
      </c>
      <c r="F22" s="8">
        <v>362.60433947696635</v>
      </c>
      <c r="G22" s="9">
        <v>7</v>
      </c>
      <c r="H22" s="8">
        <v>371.08604913586601</v>
      </c>
      <c r="I22" s="8">
        <v>7</v>
      </c>
      <c r="J22" s="1">
        <v>2013</v>
      </c>
      <c r="K22" s="1" t="s">
        <v>21</v>
      </c>
      <c r="L22" s="1">
        <v>2020</v>
      </c>
      <c r="M22" s="1" t="s">
        <v>1603</v>
      </c>
      <c r="N22" s="6">
        <v>71921</v>
      </c>
      <c r="O22" s="6">
        <v>60916</v>
      </c>
      <c r="P22" s="21">
        <v>0.84698488619457457</v>
      </c>
      <c r="Q22" s="1">
        <v>0</v>
      </c>
      <c r="R22" s="1" t="s">
        <v>1590</v>
      </c>
      <c r="S22" s="1" t="s">
        <v>18</v>
      </c>
      <c r="T22" s="1" t="s">
        <v>18</v>
      </c>
      <c r="U22" s="22" t="s">
        <v>18</v>
      </c>
      <c r="V22" s="8"/>
    </row>
    <row r="23" spans="1:22" x14ac:dyDescent="0.3">
      <c r="A23" s="1" t="s">
        <v>1587</v>
      </c>
      <c r="B23" s="1" t="s">
        <v>10</v>
      </c>
      <c r="D23" s="8">
        <v>343.47683209051172</v>
      </c>
      <c r="E23" s="9">
        <v>6</v>
      </c>
      <c r="F23" s="8">
        <v>360.73643610182569</v>
      </c>
      <c r="G23" s="9">
        <v>6</v>
      </c>
      <c r="H23" s="8">
        <v>349.00575983543325</v>
      </c>
      <c r="I23" s="8">
        <v>6</v>
      </c>
      <c r="J23" s="1">
        <v>1990</v>
      </c>
      <c r="N23" s="6">
        <v>19445</v>
      </c>
      <c r="O23" s="6">
        <v>16623</v>
      </c>
      <c r="P23" s="21">
        <v>0.85487271792234509</v>
      </c>
      <c r="Q23" s="1">
        <v>0</v>
      </c>
      <c r="R23" s="1" t="s">
        <v>1589</v>
      </c>
      <c r="S23" s="1">
        <v>22</v>
      </c>
      <c r="T23" s="1" t="s">
        <v>18</v>
      </c>
      <c r="U23" s="22" t="s">
        <v>18</v>
      </c>
      <c r="V23" s="8"/>
    </row>
    <row r="24" spans="1:22" x14ac:dyDescent="0.3">
      <c r="A24" s="1" t="s">
        <v>1587</v>
      </c>
      <c r="B24" s="1" t="s">
        <v>10</v>
      </c>
      <c r="D24" s="8">
        <v>309.80862859266603</v>
      </c>
      <c r="E24" s="9">
        <v>5</v>
      </c>
      <c r="F24" s="8">
        <v>316.99296952428148</v>
      </c>
      <c r="G24" s="9">
        <v>5</v>
      </c>
      <c r="H24" s="8">
        <v>312.81463701684834</v>
      </c>
      <c r="I24" s="8">
        <v>5</v>
      </c>
      <c r="J24" s="1">
        <v>2014</v>
      </c>
      <c r="K24" s="1" t="s">
        <v>19</v>
      </c>
      <c r="L24" s="1">
        <v>2022</v>
      </c>
      <c r="M24" s="1" t="s">
        <v>1818</v>
      </c>
      <c r="N24" s="6">
        <v>48432</v>
      </c>
      <c r="O24" s="6">
        <v>38497</v>
      </c>
      <c r="P24" s="21">
        <v>0.79486703006276838</v>
      </c>
      <c r="Q24" s="1">
        <v>0</v>
      </c>
      <c r="R24" s="1" t="s">
        <v>1787</v>
      </c>
      <c r="S24" s="1" t="s">
        <v>18</v>
      </c>
      <c r="T24" s="1">
        <v>0.65</v>
      </c>
      <c r="U24" s="22">
        <v>44985</v>
      </c>
      <c r="V24" s="8"/>
    </row>
    <row r="25" spans="1:22" x14ac:dyDescent="0.3">
      <c r="A25" s="1" t="s">
        <v>1587</v>
      </c>
      <c r="B25" s="1" t="s">
        <v>10</v>
      </c>
      <c r="D25" s="8">
        <v>308.02382279186401</v>
      </c>
      <c r="E25" s="9">
        <v>4</v>
      </c>
      <c r="F25" s="8">
        <v>295.13592458437819</v>
      </c>
      <c r="G25" s="9">
        <v>4</v>
      </c>
      <c r="H25" s="8">
        <v>288.45778768459184</v>
      </c>
      <c r="I25" s="8">
        <v>4</v>
      </c>
      <c r="J25" s="1">
        <v>1994</v>
      </c>
      <c r="N25" s="6">
        <v>10767</v>
      </c>
      <c r="O25" s="6">
        <v>10766</v>
      </c>
      <c r="P25" s="21">
        <v>0.99990712361846379</v>
      </c>
      <c r="Q25" s="1">
        <v>0</v>
      </c>
      <c r="R25" s="1" t="s">
        <v>1787</v>
      </c>
      <c r="S25" s="1" t="s">
        <v>18</v>
      </c>
      <c r="T25" s="1" t="s">
        <v>18</v>
      </c>
      <c r="U25" s="22" t="s">
        <v>18</v>
      </c>
      <c r="V25" s="8"/>
    </row>
    <row r="26" spans="1:22" x14ac:dyDescent="0.3">
      <c r="A26" s="1" t="s">
        <v>1587</v>
      </c>
      <c r="B26" s="1" t="s">
        <v>10</v>
      </c>
      <c r="D26" s="8">
        <v>215.56519975664165</v>
      </c>
      <c r="E26" s="9">
        <v>2</v>
      </c>
      <c r="F26" s="8">
        <v>223.89768809572095</v>
      </c>
      <c r="G26" s="9">
        <v>1</v>
      </c>
      <c r="H26" s="8">
        <v>270.94261508821739</v>
      </c>
      <c r="I26" s="8">
        <v>3</v>
      </c>
      <c r="J26" s="1">
        <v>1988</v>
      </c>
      <c r="N26" s="6">
        <v>9862</v>
      </c>
      <c r="O26" s="6">
        <v>6620</v>
      </c>
      <c r="P26" s="21">
        <v>0.6712634354086392</v>
      </c>
      <c r="Q26" s="1">
        <v>0</v>
      </c>
      <c r="R26" s="1" t="s">
        <v>1589</v>
      </c>
      <c r="S26" s="1">
        <v>26</v>
      </c>
      <c r="T26" s="1" t="s">
        <v>18</v>
      </c>
      <c r="U26" s="22" t="s">
        <v>18</v>
      </c>
      <c r="V26" s="8"/>
    </row>
    <row r="27" spans="1:22" x14ac:dyDescent="0.3">
      <c r="A27" s="1" t="s">
        <v>1587</v>
      </c>
      <c r="B27" s="1" t="s">
        <v>10</v>
      </c>
      <c r="D27" s="8">
        <v>228.4381287887453</v>
      </c>
      <c r="E27" s="9">
        <v>3</v>
      </c>
      <c r="F27" s="8">
        <v>245.08294178199705</v>
      </c>
      <c r="G27" s="9">
        <v>3</v>
      </c>
      <c r="H27" s="8">
        <v>254.19838499370925</v>
      </c>
      <c r="I27" s="8">
        <v>2</v>
      </c>
      <c r="J27" s="1">
        <v>2018</v>
      </c>
      <c r="K27" s="1" t="s">
        <v>19</v>
      </c>
      <c r="L27" s="1">
        <v>2014</v>
      </c>
      <c r="M27" s="1" t="s">
        <v>1598</v>
      </c>
      <c r="N27" s="6">
        <v>43715</v>
      </c>
      <c r="O27" s="6">
        <v>31292</v>
      </c>
      <c r="P27" s="21">
        <v>0.71581836898089901</v>
      </c>
      <c r="Q27" s="1">
        <v>0</v>
      </c>
      <c r="R27" s="1" t="s">
        <v>1589</v>
      </c>
      <c r="S27" s="1">
        <v>5</v>
      </c>
      <c r="T27" s="1">
        <v>0.57999999999999996</v>
      </c>
      <c r="U27" s="22">
        <v>44648</v>
      </c>
      <c r="V27" s="8"/>
    </row>
    <row r="28" spans="1:22" x14ac:dyDescent="0.3">
      <c r="A28" s="1" t="s">
        <v>1587</v>
      </c>
      <c r="B28" s="1" t="s">
        <v>10</v>
      </c>
      <c r="D28" s="8">
        <v>213.53782519161894</v>
      </c>
      <c r="E28" s="9">
        <v>1</v>
      </c>
      <c r="F28" s="8">
        <v>228.74859125427048</v>
      </c>
      <c r="G28" s="9">
        <v>2</v>
      </c>
      <c r="H28" s="8">
        <v>224.13432206140067</v>
      </c>
      <c r="I28" s="8">
        <v>1</v>
      </c>
      <c r="J28" s="1">
        <v>1997</v>
      </c>
      <c r="N28" s="6">
        <v>13558.16</v>
      </c>
      <c r="O28" s="6">
        <v>9848</v>
      </c>
      <c r="P28" s="21">
        <v>0.72635224838768686</v>
      </c>
      <c r="Q28" s="1">
        <v>0</v>
      </c>
      <c r="R28" s="1" t="s">
        <v>1589</v>
      </c>
      <c r="S28" s="1">
        <v>13</v>
      </c>
      <c r="T28" s="1" t="s">
        <v>18</v>
      </c>
      <c r="U28" s="22" t="s">
        <v>18</v>
      </c>
      <c r="V28" s="8"/>
    </row>
    <row r="29" spans="1:22" x14ac:dyDescent="0.3">
      <c r="A29" s="1" t="s">
        <v>1587</v>
      </c>
      <c r="B29" s="1" t="s">
        <v>10</v>
      </c>
      <c r="D29" s="8"/>
      <c r="E29" s="9" t="s">
        <v>18</v>
      </c>
      <c r="F29" s="8"/>
      <c r="G29" s="9" t="s">
        <v>18</v>
      </c>
      <c r="H29" s="8"/>
      <c r="I29" s="8"/>
      <c r="J29" s="1">
        <v>2014</v>
      </c>
      <c r="N29" s="6">
        <v>1276</v>
      </c>
      <c r="O29" s="6">
        <v>155</v>
      </c>
      <c r="P29" s="21">
        <v>0.12147335423197492</v>
      </c>
      <c r="Q29" s="1">
        <v>18</v>
      </c>
      <c r="R29" s="1" t="s">
        <v>1590</v>
      </c>
      <c r="S29" s="1" t="s">
        <v>18</v>
      </c>
      <c r="T29" s="1" t="s">
        <v>18</v>
      </c>
      <c r="U29" s="22" t="s">
        <v>18</v>
      </c>
      <c r="V29" s="8"/>
    </row>
    <row r="30" spans="1:22" x14ac:dyDescent="0.3">
      <c r="A30" s="1" t="s">
        <v>1587</v>
      </c>
      <c r="B30" s="1" t="s">
        <v>10</v>
      </c>
      <c r="D30" s="8"/>
      <c r="E30" s="9" t="s">
        <v>18</v>
      </c>
      <c r="F30" s="8"/>
      <c r="G30" s="9" t="s">
        <v>18</v>
      </c>
      <c r="H30" s="8"/>
      <c r="I30" s="8" t="s">
        <v>18</v>
      </c>
      <c r="J30" s="1">
        <v>2018</v>
      </c>
      <c r="K30" s="1" t="s">
        <v>21</v>
      </c>
      <c r="L30" s="1">
        <v>2022</v>
      </c>
      <c r="M30" s="1" t="s">
        <v>1818</v>
      </c>
      <c r="N30" s="6">
        <v>34317</v>
      </c>
      <c r="O30" s="6">
        <v>29632</v>
      </c>
      <c r="P30" s="21">
        <v>0.86347874231430488</v>
      </c>
      <c r="Q30" s="1">
        <v>0</v>
      </c>
      <c r="R30" s="1" t="s">
        <v>1589</v>
      </c>
      <c r="S30" s="1">
        <v>5</v>
      </c>
      <c r="T30" s="1" t="s">
        <v>18</v>
      </c>
      <c r="U30" s="22" t="s">
        <v>18</v>
      </c>
      <c r="V30" s="8"/>
    </row>
    <row r="31" spans="1:22" x14ac:dyDescent="0.3">
      <c r="A31" s="1" t="s">
        <v>1587</v>
      </c>
      <c r="B31" s="1" t="s">
        <v>10</v>
      </c>
      <c r="D31" s="8"/>
      <c r="E31" s="9" t="s">
        <v>18</v>
      </c>
      <c r="F31" s="8"/>
      <c r="G31" s="9" t="s">
        <v>18</v>
      </c>
      <c r="H31" s="8"/>
      <c r="I31" s="8" t="s">
        <v>18</v>
      </c>
      <c r="J31" s="1">
        <v>2014</v>
      </c>
      <c r="N31" s="6">
        <v>1276</v>
      </c>
      <c r="O31" s="6">
        <v>970</v>
      </c>
      <c r="P31" s="21">
        <v>0.7601880877742947</v>
      </c>
      <c r="Q31" s="1">
        <v>24</v>
      </c>
      <c r="R31" s="1" t="s">
        <v>1590</v>
      </c>
      <c r="S31" s="1" t="s">
        <v>18</v>
      </c>
      <c r="T31" s="1" t="s">
        <v>18</v>
      </c>
      <c r="U31" s="22" t="s">
        <v>18</v>
      </c>
      <c r="V31" s="8"/>
    </row>
    <row r="32" spans="1:22" x14ac:dyDescent="0.3">
      <c r="A32" s="1" t="s">
        <v>1587</v>
      </c>
      <c r="B32" s="1" t="s">
        <v>10</v>
      </c>
      <c r="D32" s="8"/>
      <c r="E32" s="9" t="s">
        <v>18</v>
      </c>
      <c r="F32" s="8"/>
      <c r="G32" s="9" t="s">
        <v>18</v>
      </c>
      <c r="H32" s="8"/>
      <c r="I32" s="8" t="s">
        <v>18</v>
      </c>
      <c r="J32" s="1">
        <v>2003</v>
      </c>
      <c r="N32" s="6">
        <v>9753</v>
      </c>
      <c r="O32" s="6">
        <v>6000</v>
      </c>
      <c r="P32" s="21">
        <v>0.61519532451553371</v>
      </c>
      <c r="Q32" s="1">
        <v>94</v>
      </c>
      <c r="R32" s="1" t="s">
        <v>1590</v>
      </c>
      <c r="S32" s="1" t="s">
        <v>18</v>
      </c>
      <c r="T32" s="1" t="s">
        <v>18</v>
      </c>
      <c r="U32" s="22" t="s">
        <v>18</v>
      </c>
      <c r="V32" s="8"/>
    </row>
    <row r="33" spans="1:22" x14ac:dyDescent="0.3">
      <c r="A33" s="1" t="s">
        <v>1587</v>
      </c>
      <c r="B33" s="1" t="s">
        <v>11</v>
      </c>
      <c r="D33" s="8">
        <v>220.48234971428573</v>
      </c>
      <c r="E33" s="9">
        <v>11</v>
      </c>
      <c r="F33" s="8">
        <v>227.459136</v>
      </c>
      <c r="G33" s="9">
        <v>11</v>
      </c>
      <c r="H33" s="8">
        <v>230.94277714285715</v>
      </c>
      <c r="I33" s="8">
        <v>11</v>
      </c>
      <c r="J33" s="1">
        <v>2017</v>
      </c>
      <c r="N33" s="6">
        <v>8750</v>
      </c>
      <c r="O33" s="6">
        <v>6610</v>
      </c>
      <c r="P33" s="21">
        <v>0.75542857142857145</v>
      </c>
      <c r="Q33" s="1">
        <v>0</v>
      </c>
      <c r="R33" s="1" t="s">
        <v>1589</v>
      </c>
      <c r="S33" s="1">
        <v>4</v>
      </c>
      <c r="T33" s="1">
        <v>0.48</v>
      </c>
      <c r="U33" s="22">
        <v>43546</v>
      </c>
      <c r="V33" s="8"/>
    </row>
    <row r="34" spans="1:22" x14ac:dyDescent="0.3">
      <c r="A34" s="1" t="s">
        <v>1587</v>
      </c>
      <c r="B34" s="1" t="s">
        <v>11</v>
      </c>
      <c r="D34" s="8">
        <v>218.17587325216653</v>
      </c>
      <c r="E34" s="9">
        <v>10</v>
      </c>
      <c r="F34" s="8">
        <v>213.22624807273115</v>
      </c>
      <c r="G34" s="9">
        <v>10</v>
      </c>
      <c r="H34" s="8">
        <v>203.7330799085544</v>
      </c>
      <c r="I34" s="8">
        <v>10</v>
      </c>
      <c r="J34" s="1">
        <v>1999</v>
      </c>
      <c r="N34" s="6">
        <v>18809</v>
      </c>
      <c r="O34" s="6">
        <v>15000</v>
      </c>
      <c r="P34" s="21">
        <v>0.79749056302833754</v>
      </c>
      <c r="Q34" s="1">
        <v>0</v>
      </c>
      <c r="R34" s="1" t="s">
        <v>1589</v>
      </c>
      <c r="S34" s="1">
        <v>8</v>
      </c>
      <c r="T34" s="1" t="s">
        <v>18</v>
      </c>
      <c r="U34" s="22" t="s">
        <v>18</v>
      </c>
      <c r="V34" s="8"/>
    </row>
    <row r="35" spans="1:22" x14ac:dyDescent="0.3">
      <c r="A35" s="1" t="s">
        <v>1587</v>
      </c>
      <c r="B35" s="1" t="s">
        <v>11</v>
      </c>
      <c r="D35" s="8">
        <v>177.30636576155368</v>
      </c>
      <c r="E35" s="9">
        <v>8</v>
      </c>
      <c r="F35" s="8">
        <v>180.52057183959721</v>
      </c>
      <c r="G35" s="9">
        <v>9</v>
      </c>
      <c r="H35" s="8">
        <v>180.91586944794102</v>
      </c>
      <c r="I35" s="8">
        <v>9</v>
      </c>
      <c r="J35" s="1">
        <v>1991</v>
      </c>
      <c r="N35" s="6">
        <v>5561</v>
      </c>
      <c r="O35" s="6">
        <v>2120</v>
      </c>
      <c r="P35" s="21">
        <v>0.38122639812983278</v>
      </c>
      <c r="Q35" s="1">
        <v>0</v>
      </c>
      <c r="R35" s="1" t="s">
        <v>28</v>
      </c>
      <c r="U35" s="22"/>
      <c r="V35" s="8"/>
    </row>
    <row r="36" spans="1:22" x14ac:dyDescent="0.3">
      <c r="A36" s="1" t="s">
        <v>1587</v>
      </c>
      <c r="B36" s="1" t="s">
        <v>11</v>
      </c>
      <c r="D36" s="8">
        <v>160.96744130710661</v>
      </c>
      <c r="E36" s="9">
        <v>7</v>
      </c>
      <c r="F36" s="8">
        <v>174.18174175126902</v>
      </c>
      <c r="G36" s="9">
        <v>8</v>
      </c>
      <c r="H36" s="8">
        <v>176.7503807106599</v>
      </c>
      <c r="I36" s="8">
        <v>8</v>
      </c>
      <c r="J36" s="1">
        <v>1993</v>
      </c>
      <c r="N36" s="6">
        <v>6304</v>
      </c>
      <c r="O36" s="6">
        <v>3206</v>
      </c>
      <c r="P36" s="21">
        <v>0.50856598984771573</v>
      </c>
      <c r="Q36" s="1">
        <v>0</v>
      </c>
      <c r="R36" s="1" t="s">
        <v>28</v>
      </c>
      <c r="U36" s="22"/>
      <c r="V36" s="8"/>
    </row>
    <row r="37" spans="1:22" x14ac:dyDescent="0.3">
      <c r="A37" s="1" t="s">
        <v>1587</v>
      </c>
      <c r="B37" s="1" t="s">
        <v>11</v>
      </c>
      <c r="D37" s="8">
        <v>154.14767525035765</v>
      </c>
      <c r="E37" s="9">
        <v>5</v>
      </c>
      <c r="F37" s="8">
        <v>150.90185979971386</v>
      </c>
      <c r="G37" s="9">
        <v>4</v>
      </c>
      <c r="H37" s="8">
        <v>160.4963340486409</v>
      </c>
      <c r="I37" s="8">
        <v>7</v>
      </c>
      <c r="J37" s="1">
        <v>1990</v>
      </c>
      <c r="N37" s="6">
        <v>5592</v>
      </c>
      <c r="O37" s="6">
        <v>5592</v>
      </c>
      <c r="P37" s="21">
        <v>1</v>
      </c>
      <c r="Q37" s="1">
        <v>0</v>
      </c>
      <c r="R37" s="1" t="s">
        <v>28</v>
      </c>
      <c r="S37" s="1" t="s">
        <v>18</v>
      </c>
      <c r="T37" s="1" t="s">
        <v>18</v>
      </c>
      <c r="U37" s="22" t="s">
        <v>18</v>
      </c>
      <c r="V37" s="8"/>
    </row>
    <row r="38" spans="1:22" x14ac:dyDescent="0.3">
      <c r="A38" s="1" t="s">
        <v>1587</v>
      </c>
      <c r="B38" s="1" t="s">
        <v>11</v>
      </c>
      <c r="D38" s="8">
        <v>188.59593150169363</v>
      </c>
      <c r="E38" s="9">
        <v>9</v>
      </c>
      <c r="F38" s="8">
        <v>167.6189273616861</v>
      </c>
      <c r="G38" s="9">
        <v>7</v>
      </c>
      <c r="H38" s="8">
        <v>158.47191945803539</v>
      </c>
      <c r="I38" s="8">
        <v>6</v>
      </c>
      <c r="J38" s="1">
        <v>2012</v>
      </c>
      <c r="K38" s="1" t="s">
        <v>19</v>
      </c>
      <c r="L38" s="1">
        <v>2022</v>
      </c>
      <c r="M38" s="1" t="s">
        <v>1599</v>
      </c>
      <c r="N38" s="6">
        <v>5314</v>
      </c>
      <c r="O38" s="6">
        <v>3864</v>
      </c>
      <c r="P38" s="21">
        <v>0.72713586751975912</v>
      </c>
      <c r="Q38" s="1">
        <v>0</v>
      </c>
      <c r="R38" s="1" t="s">
        <v>1589</v>
      </c>
      <c r="S38" s="1">
        <v>0</v>
      </c>
      <c r="T38" s="1">
        <v>0.53100000000000003</v>
      </c>
      <c r="U38" s="22">
        <v>44907</v>
      </c>
      <c r="V38" s="8"/>
    </row>
    <row r="39" spans="1:22" x14ac:dyDescent="0.3">
      <c r="A39" s="1" t="s">
        <v>1587</v>
      </c>
      <c r="B39" s="1" t="s">
        <v>11</v>
      </c>
      <c r="D39" s="8">
        <v>158.39464536243182</v>
      </c>
      <c r="E39" s="9">
        <v>6</v>
      </c>
      <c r="F39" s="8">
        <v>160.87248636009352</v>
      </c>
      <c r="G39" s="9">
        <v>6</v>
      </c>
      <c r="H39" s="8">
        <v>155.53267342166797</v>
      </c>
      <c r="I39" s="8">
        <v>5</v>
      </c>
      <c r="J39" s="1">
        <v>1997</v>
      </c>
      <c r="N39" s="6">
        <v>6415</v>
      </c>
      <c r="O39" s="6">
        <v>2925</v>
      </c>
      <c r="P39" s="21">
        <v>0.455962587685113</v>
      </c>
      <c r="Q39" s="1">
        <v>0</v>
      </c>
      <c r="R39" s="1" t="s">
        <v>28</v>
      </c>
      <c r="S39" s="1" t="s">
        <v>18</v>
      </c>
      <c r="T39" s="1" t="s">
        <v>18</v>
      </c>
      <c r="U39" s="22" t="s">
        <v>18</v>
      </c>
      <c r="V39" s="8"/>
    </row>
    <row r="40" spans="1:22" x14ac:dyDescent="0.3">
      <c r="A40" s="1" t="s">
        <v>1587</v>
      </c>
      <c r="B40" s="1" t="s">
        <v>11</v>
      </c>
      <c r="D40" s="8">
        <v>151.73366764814133</v>
      </c>
      <c r="E40" s="9">
        <v>4</v>
      </c>
      <c r="F40" s="8">
        <v>151.38215863084284</v>
      </c>
      <c r="G40" s="9">
        <v>5</v>
      </c>
      <c r="H40" s="8">
        <v>141.34851858667648</v>
      </c>
      <c r="I40" s="8">
        <v>4</v>
      </c>
      <c r="J40" s="1">
        <v>1997</v>
      </c>
      <c r="N40" s="6">
        <v>5434</v>
      </c>
      <c r="O40" s="6">
        <v>2200</v>
      </c>
      <c r="P40" s="21">
        <v>0.40485829959514169</v>
      </c>
      <c r="Q40" s="1">
        <v>0</v>
      </c>
      <c r="R40" s="1" t="s">
        <v>28</v>
      </c>
      <c r="S40" s="1" t="s">
        <v>18</v>
      </c>
      <c r="T40" s="1" t="s">
        <v>18</v>
      </c>
      <c r="U40" s="22" t="s">
        <v>18</v>
      </c>
      <c r="V40" s="8"/>
    </row>
    <row r="41" spans="1:22" x14ac:dyDescent="0.3">
      <c r="A41" s="1" t="s">
        <v>1587</v>
      </c>
      <c r="B41" s="1" t="s">
        <v>11</v>
      </c>
      <c r="D41" s="8">
        <v>127.76282899799908</v>
      </c>
      <c r="E41" s="9">
        <v>1</v>
      </c>
      <c r="F41" s="8">
        <v>139.29475142373403</v>
      </c>
      <c r="G41" s="9">
        <v>3</v>
      </c>
      <c r="H41" s="8">
        <v>138.52725873480068</v>
      </c>
      <c r="I41" s="8">
        <v>3</v>
      </c>
      <c r="J41" s="1">
        <v>1991</v>
      </c>
      <c r="N41" s="6">
        <v>6497</v>
      </c>
      <c r="O41" s="6">
        <v>2806</v>
      </c>
      <c r="P41" s="21">
        <v>0.4318916422964445</v>
      </c>
      <c r="Q41" s="1">
        <v>0</v>
      </c>
      <c r="R41" s="1" t="s">
        <v>28</v>
      </c>
      <c r="S41" s="1" t="s">
        <v>18</v>
      </c>
      <c r="T41" s="1" t="s">
        <v>18</v>
      </c>
      <c r="U41" s="22" t="s">
        <v>18</v>
      </c>
      <c r="V41" s="8"/>
    </row>
    <row r="42" spans="1:22" x14ac:dyDescent="0.3">
      <c r="A42" s="1" t="s">
        <v>1587</v>
      </c>
      <c r="B42" s="1" t="s">
        <v>11</v>
      </c>
      <c r="D42" s="8">
        <v>136.39158967741938</v>
      </c>
      <c r="E42" s="9">
        <v>3</v>
      </c>
      <c r="F42" s="8">
        <v>138.83195999999998</v>
      </c>
      <c r="G42" s="9">
        <v>1</v>
      </c>
      <c r="H42" s="8">
        <v>137.43043741935483</v>
      </c>
      <c r="I42" s="8">
        <v>2</v>
      </c>
      <c r="J42" s="1">
        <v>2017</v>
      </c>
      <c r="K42" s="1" t="s">
        <v>19</v>
      </c>
      <c r="L42" s="1">
        <v>2016</v>
      </c>
      <c r="M42" s="1" t="s">
        <v>1609</v>
      </c>
      <c r="N42" s="6">
        <v>7750</v>
      </c>
      <c r="O42" s="6">
        <v>4306</v>
      </c>
      <c r="P42" s="21">
        <v>0.55561290322580648</v>
      </c>
      <c r="Q42" s="1">
        <v>0</v>
      </c>
      <c r="R42" s="1" t="s">
        <v>1589</v>
      </c>
      <c r="S42" s="1">
        <v>5</v>
      </c>
      <c r="T42" s="1">
        <v>0.61499999999999999</v>
      </c>
      <c r="U42" s="22">
        <v>43614</v>
      </c>
      <c r="V42" s="8"/>
    </row>
    <row r="43" spans="1:22" x14ac:dyDescent="0.3">
      <c r="A43" s="1" t="s">
        <v>1587</v>
      </c>
      <c r="B43" s="1" t="s">
        <v>11</v>
      </c>
      <c r="D43" s="8">
        <v>131.65495722578675</v>
      </c>
      <c r="E43" s="9">
        <v>2</v>
      </c>
      <c r="F43" s="8">
        <v>138.97574091047969</v>
      </c>
      <c r="G43" s="9">
        <v>2</v>
      </c>
      <c r="H43" s="8">
        <v>128.44775435380384</v>
      </c>
      <c r="I43" s="8">
        <v>1</v>
      </c>
      <c r="J43" s="1">
        <v>2013</v>
      </c>
      <c r="N43" s="6">
        <v>6546</v>
      </c>
      <c r="O43" s="6">
        <v>3462</v>
      </c>
      <c r="P43" s="21">
        <v>0.52887259395050412</v>
      </c>
      <c r="Q43" s="1">
        <v>0</v>
      </c>
      <c r="R43" s="1" t="s">
        <v>28</v>
      </c>
      <c r="U43" s="22"/>
      <c r="V43" s="8"/>
    </row>
    <row r="44" spans="1:22" x14ac:dyDescent="0.3">
      <c r="A44" s="1" t="s">
        <v>1587</v>
      </c>
      <c r="B44" s="1" t="s">
        <v>1593</v>
      </c>
      <c r="D44" s="8">
        <v>192.89766322050698</v>
      </c>
      <c r="E44" s="9">
        <v>37</v>
      </c>
      <c r="F44" s="8">
        <v>190.05460982863619</v>
      </c>
      <c r="G44" s="9">
        <v>40</v>
      </c>
      <c r="H44" s="8">
        <v>192.46011896331964</v>
      </c>
      <c r="I44" s="8">
        <v>41</v>
      </c>
      <c r="J44" s="1">
        <v>2005</v>
      </c>
      <c r="N44" s="6">
        <v>14122</v>
      </c>
      <c r="O44" s="6">
        <v>8276</v>
      </c>
      <c r="P44" s="21">
        <v>0.58603597224189208</v>
      </c>
      <c r="Q44" s="1">
        <v>0</v>
      </c>
      <c r="R44" s="1" t="s">
        <v>1590</v>
      </c>
      <c r="S44" s="1" t="s">
        <v>18</v>
      </c>
      <c r="T44" s="1" t="s">
        <v>18</v>
      </c>
      <c r="U44" s="22" t="s">
        <v>18</v>
      </c>
      <c r="V44" s="8"/>
    </row>
    <row r="45" spans="1:22" x14ac:dyDescent="0.3">
      <c r="A45" s="1" t="s">
        <v>1587</v>
      </c>
      <c r="B45" s="1" t="s">
        <v>1593</v>
      </c>
      <c r="D45" s="8">
        <v>176.36573373012001</v>
      </c>
      <c r="E45" s="9">
        <v>36</v>
      </c>
      <c r="F45" s="8">
        <v>178.2747760757147</v>
      </c>
      <c r="G45" s="9">
        <v>39</v>
      </c>
      <c r="H45" s="8">
        <v>185.04708947214363</v>
      </c>
      <c r="I45" s="8">
        <v>40</v>
      </c>
      <c r="J45" s="1">
        <v>2008</v>
      </c>
      <c r="N45" s="6">
        <v>20498</v>
      </c>
      <c r="O45" s="6">
        <v>8156</v>
      </c>
      <c r="P45" s="21">
        <v>0.39789247731485999</v>
      </c>
      <c r="Q45" s="1">
        <v>0</v>
      </c>
      <c r="R45" s="1" t="s">
        <v>1590</v>
      </c>
      <c r="S45" s="1" t="s">
        <v>18</v>
      </c>
      <c r="T45" s="1" t="s">
        <v>18</v>
      </c>
      <c r="U45" s="22" t="s">
        <v>18</v>
      </c>
      <c r="V45" s="8"/>
    </row>
    <row r="46" spans="1:22" x14ac:dyDescent="0.3">
      <c r="A46" s="1" t="s">
        <v>1587</v>
      </c>
      <c r="B46" s="1" t="s">
        <v>1593</v>
      </c>
      <c r="D46" s="8">
        <v>157.12339324763988</v>
      </c>
      <c r="E46" s="9">
        <v>35</v>
      </c>
      <c r="F46" s="8">
        <v>159.1665599943108</v>
      </c>
      <c r="G46" s="9">
        <v>38</v>
      </c>
      <c r="H46" s="8">
        <v>165.25436023254574</v>
      </c>
      <c r="I46" s="8">
        <v>39</v>
      </c>
      <c r="J46" s="1">
        <v>2015</v>
      </c>
      <c r="K46" s="1" t="s">
        <v>19</v>
      </c>
      <c r="L46" s="1">
        <v>2023</v>
      </c>
      <c r="M46" s="1" t="s">
        <v>1783</v>
      </c>
      <c r="N46" s="6">
        <v>56247</v>
      </c>
      <c r="O46" s="6">
        <v>24121</v>
      </c>
      <c r="P46" s="21">
        <v>0.42884064927907267</v>
      </c>
      <c r="Q46" s="1">
        <v>0</v>
      </c>
      <c r="R46" s="1" t="s">
        <v>1589</v>
      </c>
      <c r="S46" s="1">
        <v>7</v>
      </c>
      <c r="T46" s="1">
        <v>0.59</v>
      </c>
      <c r="U46" s="22">
        <v>44926</v>
      </c>
      <c r="V46" s="8"/>
    </row>
    <row r="47" spans="1:22" x14ac:dyDescent="0.3">
      <c r="A47" s="1" t="s">
        <v>1587</v>
      </c>
      <c r="B47" s="1" t="s">
        <v>1593</v>
      </c>
      <c r="D47" s="8">
        <v>149.84753307114767</v>
      </c>
      <c r="E47" s="9">
        <v>33</v>
      </c>
      <c r="F47" s="8">
        <v>146.8879478012156</v>
      </c>
      <c r="G47" s="9">
        <v>36</v>
      </c>
      <c r="H47" s="8">
        <v>154.82234179478013</v>
      </c>
      <c r="I47" s="8">
        <v>38</v>
      </c>
      <c r="J47" s="1">
        <v>2016</v>
      </c>
      <c r="K47" s="1" t="s">
        <v>19</v>
      </c>
      <c r="L47" s="1">
        <v>2022</v>
      </c>
      <c r="M47" s="1" t="s">
        <v>1598</v>
      </c>
      <c r="N47" s="6">
        <v>11188</v>
      </c>
      <c r="O47" s="6">
        <v>8260</v>
      </c>
      <c r="P47" s="21">
        <v>0.73829102609939223</v>
      </c>
      <c r="Q47" s="1">
        <v>0</v>
      </c>
      <c r="R47" s="1" t="s">
        <v>1589</v>
      </c>
      <c r="S47" s="1">
        <v>2016</v>
      </c>
      <c r="T47" s="1">
        <v>0.54</v>
      </c>
      <c r="U47" s="22">
        <v>44984</v>
      </c>
      <c r="V47" s="8"/>
    </row>
    <row r="48" spans="1:22" x14ac:dyDescent="0.3">
      <c r="A48" s="1" t="s">
        <v>1587</v>
      </c>
      <c r="B48" s="1" t="s">
        <v>1593</v>
      </c>
      <c r="D48" s="8">
        <v>156.70465000800897</v>
      </c>
      <c r="E48" s="9">
        <v>34</v>
      </c>
      <c r="F48" s="8">
        <v>153.42123978856318</v>
      </c>
      <c r="G48" s="9">
        <v>37</v>
      </c>
      <c r="H48" s="8">
        <v>152.05247477174436</v>
      </c>
      <c r="I48" s="8">
        <v>37</v>
      </c>
      <c r="J48" s="1">
        <v>2014</v>
      </c>
      <c r="N48" s="6">
        <v>6243</v>
      </c>
      <c r="O48" s="6">
        <v>970</v>
      </c>
      <c r="P48" s="21">
        <v>0.15537401890116931</v>
      </c>
      <c r="Q48" s="1">
        <v>0</v>
      </c>
      <c r="R48" s="1" t="s">
        <v>28</v>
      </c>
      <c r="S48" s="1" t="s">
        <v>18</v>
      </c>
      <c r="T48" s="1">
        <v>0.42</v>
      </c>
      <c r="U48" s="22">
        <v>41912</v>
      </c>
      <c r="V48" s="8"/>
    </row>
    <row r="49" spans="1:22" x14ac:dyDescent="0.3">
      <c r="A49" s="1" t="s">
        <v>1587</v>
      </c>
      <c r="B49" s="1" t="s">
        <v>1593</v>
      </c>
      <c r="D49" s="8">
        <v>144.44648678853676</v>
      </c>
      <c r="E49" s="9">
        <v>32</v>
      </c>
      <c r="F49" s="8">
        <v>142.38569968867247</v>
      </c>
      <c r="G49" s="9">
        <v>35</v>
      </c>
      <c r="H49" s="8">
        <v>148.74756765386763</v>
      </c>
      <c r="I49" s="8">
        <v>36</v>
      </c>
      <c r="J49" s="1">
        <v>1996</v>
      </c>
      <c r="N49" s="6">
        <v>12527</v>
      </c>
      <c r="O49" s="6">
        <v>3700</v>
      </c>
      <c r="P49" s="21">
        <v>0.29536201804103135</v>
      </c>
      <c r="Q49" s="1">
        <v>0</v>
      </c>
      <c r="R49" s="1" t="s">
        <v>28</v>
      </c>
      <c r="S49" s="1" t="s">
        <v>18</v>
      </c>
      <c r="T49" s="1" t="s">
        <v>18</v>
      </c>
      <c r="U49" s="22" t="s">
        <v>18</v>
      </c>
      <c r="V49" s="8"/>
    </row>
    <row r="50" spans="1:22" x14ac:dyDescent="0.3">
      <c r="A50" s="1" t="s">
        <v>1587</v>
      </c>
      <c r="B50" s="1" t="s">
        <v>1593</v>
      </c>
      <c r="D50" s="8">
        <v>143.14698335644937</v>
      </c>
      <c r="E50" s="9">
        <v>31</v>
      </c>
      <c r="F50" s="8">
        <v>129.17241678224687</v>
      </c>
      <c r="G50" s="9">
        <v>33</v>
      </c>
      <c r="H50" s="8">
        <v>134.12987170596392</v>
      </c>
      <c r="I50" s="8">
        <v>35</v>
      </c>
      <c r="J50" s="1">
        <v>2015</v>
      </c>
      <c r="N50" s="6">
        <v>8652</v>
      </c>
      <c r="O50" s="6">
        <v>1225</v>
      </c>
      <c r="P50" s="21">
        <v>0.14158576051779936</v>
      </c>
      <c r="Q50" s="1">
        <v>0</v>
      </c>
      <c r="R50" s="1" t="s">
        <v>28</v>
      </c>
      <c r="S50" s="1" t="s">
        <v>18</v>
      </c>
      <c r="T50" s="1" t="s">
        <v>18</v>
      </c>
      <c r="U50" s="22" t="s">
        <v>18</v>
      </c>
      <c r="V50" s="8"/>
    </row>
    <row r="51" spans="1:22" x14ac:dyDescent="0.3">
      <c r="A51" s="1" t="s">
        <v>1587</v>
      </c>
      <c r="B51" s="1" t="s">
        <v>1593</v>
      </c>
      <c r="D51" s="8">
        <v>133.62152727272726</v>
      </c>
      <c r="E51" s="9">
        <v>29</v>
      </c>
      <c r="F51" s="8">
        <v>129.47189090909092</v>
      </c>
      <c r="G51" s="9">
        <v>34</v>
      </c>
      <c r="H51" s="8">
        <v>133.16493636363637</v>
      </c>
      <c r="I51" s="8">
        <v>34</v>
      </c>
      <c r="J51" s="1">
        <v>2016</v>
      </c>
      <c r="N51" s="6">
        <v>5500</v>
      </c>
      <c r="O51" s="6">
        <v>593</v>
      </c>
      <c r="P51" s="21">
        <v>0.10781818181818181</v>
      </c>
      <c r="Q51" s="1">
        <v>0</v>
      </c>
      <c r="R51" s="1" t="s">
        <v>28</v>
      </c>
      <c r="S51" s="1" t="s">
        <v>18</v>
      </c>
      <c r="T51" s="1" t="s">
        <v>18</v>
      </c>
      <c r="U51" s="22" t="s">
        <v>18</v>
      </c>
      <c r="V51" s="8"/>
    </row>
    <row r="52" spans="1:22" x14ac:dyDescent="0.3">
      <c r="A52" s="1" t="s">
        <v>1587</v>
      </c>
      <c r="B52" s="1" t="s">
        <v>1593</v>
      </c>
      <c r="D52" s="8">
        <v>123.29465993623803</v>
      </c>
      <c r="E52" s="9">
        <v>28</v>
      </c>
      <c r="F52" s="8">
        <v>125.40903028692881</v>
      </c>
      <c r="G52" s="9">
        <v>31</v>
      </c>
      <c r="H52" s="8">
        <v>129.86062699256112</v>
      </c>
      <c r="I52" s="8">
        <v>33</v>
      </c>
      <c r="J52" s="1">
        <v>2017</v>
      </c>
      <c r="N52" s="6">
        <v>7528</v>
      </c>
      <c r="O52" s="6">
        <v>1138</v>
      </c>
      <c r="P52" s="21">
        <v>0.15116896918172157</v>
      </c>
      <c r="Q52" s="1">
        <v>0</v>
      </c>
      <c r="R52" s="1" t="s">
        <v>28</v>
      </c>
      <c r="S52" s="1" t="s">
        <v>18</v>
      </c>
      <c r="T52" s="1" t="s">
        <v>18</v>
      </c>
      <c r="U52" s="22" t="s">
        <v>18</v>
      </c>
      <c r="V52" s="8"/>
    </row>
    <row r="53" spans="1:22" x14ac:dyDescent="0.3">
      <c r="A53" s="1" t="s">
        <v>1587</v>
      </c>
      <c r="B53" s="1" t="s">
        <v>1593</v>
      </c>
      <c r="D53" s="8">
        <v>115.72306738962045</v>
      </c>
      <c r="E53" s="9">
        <v>25</v>
      </c>
      <c r="F53" s="8">
        <v>115.74163439194423</v>
      </c>
      <c r="G53" s="9">
        <v>30</v>
      </c>
      <c r="H53" s="8">
        <v>128.15346243222308</v>
      </c>
      <c r="I53" s="8">
        <v>32</v>
      </c>
      <c r="J53" s="1">
        <v>1998</v>
      </c>
      <c r="N53" s="6">
        <v>6455</v>
      </c>
      <c r="O53" s="6">
        <v>3000</v>
      </c>
      <c r="P53" s="21">
        <v>0.46475600309837334</v>
      </c>
      <c r="Q53" s="1">
        <v>0</v>
      </c>
      <c r="R53" s="1" t="s">
        <v>28</v>
      </c>
      <c r="S53" s="1" t="s">
        <v>18</v>
      </c>
      <c r="T53" s="1" t="s">
        <v>18</v>
      </c>
      <c r="U53" s="22" t="s">
        <v>18</v>
      </c>
      <c r="V53" s="8"/>
    </row>
    <row r="54" spans="1:22" x14ac:dyDescent="0.3">
      <c r="A54" s="1" t="s">
        <v>1587</v>
      </c>
      <c r="B54" s="1" t="s">
        <v>1593</v>
      </c>
      <c r="D54" s="8">
        <v>137.53589875275128</v>
      </c>
      <c r="E54" s="9">
        <v>30</v>
      </c>
      <c r="F54" s="8">
        <v>127.20500366837858</v>
      </c>
      <c r="G54" s="9">
        <v>32</v>
      </c>
      <c r="H54" s="8">
        <v>120.02286867204695</v>
      </c>
      <c r="I54" s="8">
        <v>31</v>
      </c>
      <c r="J54" s="1">
        <v>2017</v>
      </c>
      <c r="N54" s="6">
        <v>8178</v>
      </c>
      <c r="O54" s="6">
        <v>9998</v>
      </c>
      <c r="P54" s="21">
        <v>1.2225483003179261</v>
      </c>
      <c r="Q54" s="1">
        <v>0</v>
      </c>
      <c r="R54" s="1" t="s">
        <v>28</v>
      </c>
      <c r="S54" s="1" t="s">
        <v>18</v>
      </c>
      <c r="T54" s="1" t="s">
        <v>18</v>
      </c>
      <c r="U54" s="22" t="s">
        <v>18</v>
      </c>
      <c r="V54" s="8"/>
    </row>
    <row r="55" spans="1:22" x14ac:dyDescent="0.3">
      <c r="A55" s="1" t="s">
        <v>1587</v>
      </c>
      <c r="B55" s="1" t="s">
        <v>1593</v>
      </c>
      <c r="D55" s="8">
        <v>116.99320831500221</v>
      </c>
      <c r="E55" s="9">
        <v>27</v>
      </c>
      <c r="F55" s="8">
        <v>115.28346898372196</v>
      </c>
      <c r="G55" s="9">
        <v>28</v>
      </c>
      <c r="H55" s="8">
        <v>118.33717553893534</v>
      </c>
      <c r="I55" s="8">
        <v>30</v>
      </c>
      <c r="J55" s="1">
        <v>2013</v>
      </c>
      <c r="N55" s="6">
        <v>9092</v>
      </c>
      <c r="O55" s="6">
        <v>1198</v>
      </c>
      <c r="P55" s="21">
        <v>0.1317641882974043</v>
      </c>
      <c r="Q55" s="1">
        <v>0</v>
      </c>
      <c r="R55" s="1" t="s">
        <v>28</v>
      </c>
      <c r="S55" s="1" t="s">
        <v>18</v>
      </c>
      <c r="T55" s="1" t="s">
        <v>18</v>
      </c>
      <c r="U55" s="22" t="s">
        <v>18</v>
      </c>
      <c r="V55" s="8"/>
    </row>
    <row r="56" spans="1:22" x14ac:dyDescent="0.3">
      <c r="A56" s="1" t="s">
        <v>1587</v>
      </c>
      <c r="B56" s="1" t="s">
        <v>1593</v>
      </c>
      <c r="D56" s="8">
        <v>116.33220073503675</v>
      </c>
      <c r="E56" s="9">
        <v>26</v>
      </c>
      <c r="F56" s="8">
        <v>115.29214341967098</v>
      </c>
      <c r="G56" s="9">
        <v>29</v>
      </c>
      <c r="H56" s="8">
        <v>117.48027957647882</v>
      </c>
      <c r="I56" s="8">
        <v>29</v>
      </c>
      <c r="J56" s="1">
        <v>2017</v>
      </c>
      <c r="N56" s="6">
        <v>22856</v>
      </c>
      <c r="O56" s="6">
        <v>13713</v>
      </c>
      <c r="P56" s="21">
        <v>0.59997374868743436</v>
      </c>
      <c r="Q56" s="1">
        <v>0</v>
      </c>
      <c r="R56" s="1" t="s">
        <v>28</v>
      </c>
      <c r="S56" s="1" t="s">
        <v>18</v>
      </c>
      <c r="T56" s="1" t="s">
        <v>18</v>
      </c>
      <c r="U56" s="22" t="s">
        <v>18</v>
      </c>
      <c r="V56" s="8"/>
    </row>
    <row r="57" spans="1:22" x14ac:dyDescent="0.3">
      <c r="A57" s="1" t="s">
        <v>1587</v>
      </c>
      <c r="B57" s="1" t="s">
        <v>1593</v>
      </c>
      <c r="D57" s="8">
        <v>110.36618250710453</v>
      </c>
      <c r="E57" s="9">
        <v>24</v>
      </c>
      <c r="F57" s="8">
        <v>110.72058414903695</v>
      </c>
      <c r="G57" s="9">
        <v>27</v>
      </c>
      <c r="H57" s="8">
        <v>111.20919482159773</v>
      </c>
      <c r="I57" s="8">
        <v>28</v>
      </c>
      <c r="J57" s="1">
        <v>2013</v>
      </c>
      <c r="N57" s="6">
        <v>6334</v>
      </c>
      <c r="O57" s="6">
        <v>441</v>
      </c>
      <c r="P57" s="21">
        <v>6.9624250078939062E-2</v>
      </c>
      <c r="Q57" s="1">
        <v>0</v>
      </c>
      <c r="R57" s="1" t="s">
        <v>28</v>
      </c>
      <c r="S57" s="1" t="s">
        <v>18</v>
      </c>
      <c r="T57" s="1" t="s">
        <v>18</v>
      </c>
      <c r="U57" s="22" t="s">
        <v>18</v>
      </c>
      <c r="V57" s="8"/>
    </row>
    <row r="58" spans="1:22" x14ac:dyDescent="0.3">
      <c r="A58" s="1" t="s">
        <v>1587</v>
      </c>
      <c r="B58" s="1" t="s">
        <v>1593</v>
      </c>
      <c r="D58" s="8">
        <v>105.78327939233819</v>
      </c>
      <c r="E58" s="9">
        <v>23</v>
      </c>
      <c r="F58" s="8">
        <v>100.32585535006605</v>
      </c>
      <c r="G58" s="9">
        <v>25</v>
      </c>
      <c r="H58" s="8">
        <v>109.72876486129459</v>
      </c>
      <c r="I58" s="8">
        <v>27</v>
      </c>
      <c r="J58" s="1">
        <v>1986</v>
      </c>
      <c r="N58" s="6">
        <v>6056</v>
      </c>
      <c r="O58" s="6">
        <v>1602</v>
      </c>
      <c r="P58" s="21">
        <v>0.26453104359313079</v>
      </c>
      <c r="Q58" s="1">
        <v>0</v>
      </c>
      <c r="R58" s="1" t="s">
        <v>28</v>
      </c>
      <c r="S58" s="1" t="s">
        <v>18</v>
      </c>
      <c r="T58" s="1" t="s">
        <v>18</v>
      </c>
      <c r="U58" s="22" t="s">
        <v>18</v>
      </c>
      <c r="V58" s="8"/>
    </row>
    <row r="59" spans="1:22" x14ac:dyDescent="0.3">
      <c r="A59" s="1" t="s">
        <v>1587</v>
      </c>
      <c r="B59" s="1" t="s">
        <v>1593</v>
      </c>
      <c r="D59" s="8">
        <v>105.01573149035171</v>
      </c>
      <c r="E59" s="9">
        <v>22</v>
      </c>
      <c r="F59" s="8">
        <v>106.96936499247298</v>
      </c>
      <c r="G59" s="9">
        <v>26</v>
      </c>
      <c r="H59" s="8">
        <v>107.74414260298343</v>
      </c>
      <c r="I59" s="8">
        <v>26</v>
      </c>
      <c r="J59" s="1">
        <v>2015</v>
      </c>
      <c r="N59" s="6">
        <v>7307</v>
      </c>
      <c r="O59" s="6">
        <v>632</v>
      </c>
      <c r="P59" s="21">
        <v>8.6492404543588336E-2</v>
      </c>
      <c r="Q59" s="1">
        <v>0</v>
      </c>
      <c r="R59" s="1" t="s">
        <v>28</v>
      </c>
      <c r="S59" s="1" t="s">
        <v>18</v>
      </c>
      <c r="T59" s="1" t="s">
        <v>18</v>
      </c>
      <c r="U59" s="22" t="s">
        <v>18</v>
      </c>
      <c r="V59" s="8"/>
    </row>
    <row r="60" spans="1:22" x14ac:dyDescent="0.3">
      <c r="A60" s="1" t="s">
        <v>1587</v>
      </c>
      <c r="B60" s="1" t="s">
        <v>1593</v>
      </c>
      <c r="D60" s="8">
        <v>92.885765116279075</v>
      </c>
      <c r="E60" s="9">
        <v>18</v>
      </c>
      <c r="F60" s="8">
        <v>92.82715348837209</v>
      </c>
      <c r="G60" s="9">
        <v>23</v>
      </c>
      <c r="H60" s="8">
        <v>94.422976744186045</v>
      </c>
      <c r="I60" s="8">
        <v>25</v>
      </c>
      <c r="J60" s="1">
        <v>2016</v>
      </c>
      <c r="N60" s="6">
        <v>12900</v>
      </c>
      <c r="O60" s="6">
        <v>1489</v>
      </c>
      <c r="P60" s="21">
        <v>0.11542635658914728</v>
      </c>
      <c r="Q60" s="1">
        <v>0</v>
      </c>
      <c r="R60" s="1" t="s">
        <v>28</v>
      </c>
      <c r="S60" s="1" t="s">
        <v>18</v>
      </c>
      <c r="T60" s="1" t="s">
        <v>18</v>
      </c>
      <c r="U60" s="22" t="s">
        <v>18</v>
      </c>
      <c r="V60" s="8"/>
    </row>
    <row r="61" spans="1:22" x14ac:dyDescent="0.3">
      <c r="A61" s="1" t="s">
        <v>1587</v>
      </c>
      <c r="B61" s="1" t="s">
        <v>1593</v>
      </c>
      <c r="D61" s="8">
        <v>97.171476045416796</v>
      </c>
      <c r="E61" s="9">
        <v>20</v>
      </c>
      <c r="F61" s="8">
        <v>87.80527554693991</v>
      </c>
      <c r="G61" s="9">
        <v>20</v>
      </c>
      <c r="H61" s="8">
        <v>92.550772639158126</v>
      </c>
      <c r="I61" s="8">
        <v>24</v>
      </c>
      <c r="J61" s="1">
        <v>2018</v>
      </c>
      <c r="N61" s="6">
        <v>10833</v>
      </c>
      <c r="O61" s="6">
        <v>1164</v>
      </c>
      <c r="P61" s="21">
        <v>0.10744945998338411</v>
      </c>
      <c r="Q61" s="1">
        <v>0</v>
      </c>
      <c r="R61" s="1" t="s">
        <v>28</v>
      </c>
      <c r="S61" s="1" t="s">
        <v>18</v>
      </c>
      <c r="T61" s="1" t="s">
        <v>18</v>
      </c>
      <c r="U61" s="22" t="s">
        <v>18</v>
      </c>
      <c r="V61" s="8"/>
    </row>
    <row r="62" spans="1:22" x14ac:dyDescent="0.3">
      <c r="A62" s="1" t="s">
        <v>1587</v>
      </c>
      <c r="B62" s="1" t="s">
        <v>1593</v>
      </c>
      <c r="D62" s="8">
        <v>91.766457423580789</v>
      </c>
      <c r="E62" s="9">
        <v>16</v>
      </c>
      <c r="F62" s="8">
        <v>87.765665938864629</v>
      </c>
      <c r="G62" s="9">
        <v>19</v>
      </c>
      <c r="H62" s="8">
        <v>88.996271834061133</v>
      </c>
      <c r="I62" s="8">
        <v>23</v>
      </c>
      <c r="J62" s="1">
        <v>2016</v>
      </c>
      <c r="N62" s="6">
        <v>10992</v>
      </c>
      <c r="O62" s="6">
        <v>1</v>
      </c>
      <c r="P62" s="21">
        <v>9.097525473071325E-5</v>
      </c>
      <c r="Q62" s="1">
        <v>0</v>
      </c>
      <c r="R62" s="1" t="s">
        <v>1590</v>
      </c>
      <c r="S62" s="1" t="s">
        <v>18</v>
      </c>
      <c r="T62" s="1">
        <v>0</v>
      </c>
      <c r="U62" s="22">
        <v>44907</v>
      </c>
      <c r="V62" s="8"/>
    </row>
    <row r="63" spans="1:22" x14ac:dyDescent="0.3">
      <c r="A63" s="1" t="s">
        <v>1587</v>
      </c>
      <c r="B63" s="1" t="s">
        <v>1593</v>
      </c>
      <c r="D63" s="8">
        <v>100.16543645907589</v>
      </c>
      <c r="E63" s="9">
        <v>21</v>
      </c>
      <c r="F63" s="8">
        <v>97.27451558550969</v>
      </c>
      <c r="G63" s="9">
        <v>24</v>
      </c>
      <c r="H63" s="8">
        <v>88.374716479813358</v>
      </c>
      <c r="I63" s="8">
        <v>22</v>
      </c>
      <c r="J63" s="1">
        <v>1996</v>
      </c>
      <c r="N63" s="6">
        <v>15431</v>
      </c>
      <c r="O63" s="6">
        <v>1416</v>
      </c>
      <c r="P63" s="21">
        <v>9.1763333549348708E-2</v>
      </c>
      <c r="Q63" s="1">
        <v>0</v>
      </c>
      <c r="R63" s="1" t="s">
        <v>28</v>
      </c>
      <c r="S63" s="1" t="s">
        <v>18</v>
      </c>
      <c r="T63" s="1" t="s">
        <v>18</v>
      </c>
      <c r="U63" s="22" t="s">
        <v>18</v>
      </c>
      <c r="V63" s="8"/>
    </row>
    <row r="64" spans="1:22" x14ac:dyDescent="0.3">
      <c r="A64" s="1" t="s">
        <v>1587</v>
      </c>
      <c r="B64" s="1" t="s">
        <v>1593</v>
      </c>
      <c r="D64" s="8">
        <v>92.229668067226882</v>
      </c>
      <c r="E64" s="9">
        <v>17</v>
      </c>
      <c r="F64" s="8">
        <v>90.073436974789914</v>
      </c>
      <c r="G64" s="9">
        <v>21</v>
      </c>
      <c r="H64" s="8">
        <v>87.857977941176472</v>
      </c>
      <c r="I64" s="8">
        <v>21</v>
      </c>
      <c r="J64" s="1">
        <v>2016</v>
      </c>
      <c r="N64" s="6">
        <v>9520</v>
      </c>
      <c r="O64" s="6">
        <v>1900</v>
      </c>
      <c r="P64" s="21">
        <v>0.19957983193277312</v>
      </c>
      <c r="Q64" s="1">
        <v>0</v>
      </c>
      <c r="R64" s="1" t="s">
        <v>28</v>
      </c>
      <c r="S64" s="1" t="s">
        <v>18</v>
      </c>
      <c r="T64" s="1" t="s">
        <v>18</v>
      </c>
      <c r="U64" s="22" t="s">
        <v>18</v>
      </c>
      <c r="V64" s="8"/>
    </row>
    <row r="65" spans="1:22" x14ac:dyDescent="0.3">
      <c r="A65" s="1" t="s">
        <v>1587</v>
      </c>
      <c r="B65" s="1" t="s">
        <v>1593</v>
      </c>
      <c r="D65" s="8">
        <v>78.229808422791081</v>
      </c>
      <c r="E65" s="9">
        <v>8</v>
      </c>
      <c r="F65" s="8">
        <v>85.770257638315442</v>
      </c>
      <c r="G65" s="9">
        <v>18</v>
      </c>
      <c r="H65" s="8">
        <v>87.843919075144512</v>
      </c>
      <c r="I65" s="8">
        <v>20</v>
      </c>
      <c r="J65" s="1">
        <v>1997</v>
      </c>
      <c r="N65" s="6">
        <v>12110</v>
      </c>
      <c r="O65" s="6">
        <v>1699</v>
      </c>
      <c r="P65" s="21">
        <v>0.1402972749793559</v>
      </c>
      <c r="Q65" s="1">
        <v>0</v>
      </c>
      <c r="R65" s="1" t="s">
        <v>28</v>
      </c>
      <c r="S65" s="1" t="s">
        <v>18</v>
      </c>
      <c r="T65" s="1" t="s">
        <v>18</v>
      </c>
      <c r="U65" s="22" t="s">
        <v>18</v>
      </c>
      <c r="V65" s="8"/>
    </row>
    <row r="66" spans="1:22" x14ac:dyDescent="0.3">
      <c r="A66" s="1" t="s">
        <v>1587</v>
      </c>
      <c r="B66" s="1" t="s">
        <v>1593</v>
      </c>
      <c r="D66" s="8">
        <v>90.235388888888878</v>
      </c>
      <c r="E66" s="9">
        <v>14</v>
      </c>
      <c r="F66" s="8">
        <v>91.319074074074081</v>
      </c>
      <c r="G66" s="9">
        <v>22</v>
      </c>
      <c r="H66" s="8">
        <v>87.489703703703711</v>
      </c>
      <c r="I66" s="8">
        <v>19</v>
      </c>
      <c r="J66" s="1">
        <v>1997</v>
      </c>
      <c r="N66" s="6">
        <v>5400</v>
      </c>
      <c r="O66" s="6">
        <v>700</v>
      </c>
      <c r="P66" s="21">
        <v>0.12962962962962962</v>
      </c>
      <c r="Q66" s="1">
        <v>0</v>
      </c>
      <c r="R66" s="1" t="s">
        <v>28</v>
      </c>
      <c r="S66" s="1" t="s">
        <v>18</v>
      </c>
      <c r="T66" s="1" t="s">
        <v>18</v>
      </c>
      <c r="U66" s="22" t="s">
        <v>18</v>
      </c>
      <c r="V66" s="8"/>
    </row>
    <row r="67" spans="1:22" x14ac:dyDescent="0.3">
      <c r="A67" s="1" t="s">
        <v>1587</v>
      </c>
      <c r="B67" s="1" t="s">
        <v>1593</v>
      </c>
      <c r="D67" s="8">
        <v>81.666694972826093</v>
      </c>
      <c r="E67" s="9">
        <v>10</v>
      </c>
      <c r="F67" s="8">
        <v>84.479551630434784</v>
      </c>
      <c r="G67" s="9">
        <v>16</v>
      </c>
      <c r="H67" s="8">
        <v>85.273494112318843</v>
      </c>
      <c r="I67" s="8">
        <v>18</v>
      </c>
      <c r="J67" s="1">
        <v>2001</v>
      </c>
      <c r="N67" s="6">
        <v>8832</v>
      </c>
      <c r="O67" s="6">
        <v>1297</v>
      </c>
      <c r="P67" s="21">
        <v>0.14685235507246377</v>
      </c>
      <c r="Q67" s="1">
        <v>0</v>
      </c>
      <c r="R67" s="1" t="s">
        <v>28</v>
      </c>
      <c r="S67" s="1" t="s">
        <v>18</v>
      </c>
      <c r="T67" s="1" t="s">
        <v>18</v>
      </c>
      <c r="U67" s="22" t="s">
        <v>18</v>
      </c>
      <c r="V67" s="8"/>
    </row>
    <row r="68" spans="1:22" x14ac:dyDescent="0.3">
      <c r="A68" s="1" t="s">
        <v>1587</v>
      </c>
      <c r="B68" s="1" t="s">
        <v>1593</v>
      </c>
      <c r="D68" s="8">
        <v>85.07209655172413</v>
      </c>
      <c r="E68" s="9">
        <v>12</v>
      </c>
      <c r="F68" s="8">
        <v>83.59142068965518</v>
      </c>
      <c r="G68" s="9">
        <v>15</v>
      </c>
      <c r="H68" s="8">
        <v>84.683703448275864</v>
      </c>
      <c r="I68" s="8">
        <v>17</v>
      </c>
      <c r="J68" s="1">
        <v>2001</v>
      </c>
      <c r="N68" s="6">
        <v>7250</v>
      </c>
      <c r="O68" s="6">
        <v>1421</v>
      </c>
      <c r="P68" s="21">
        <v>0.19600000000000001</v>
      </c>
      <c r="Q68" s="1">
        <v>0</v>
      </c>
      <c r="R68" s="1" t="s">
        <v>28</v>
      </c>
      <c r="S68" s="1" t="s">
        <v>18</v>
      </c>
      <c r="T68" s="1" t="s">
        <v>18</v>
      </c>
      <c r="U68" s="1" t="s">
        <v>18</v>
      </c>
      <c r="V68" s="8"/>
    </row>
    <row r="69" spans="1:22" x14ac:dyDescent="0.3">
      <c r="A69" s="1" t="s">
        <v>1587</v>
      </c>
      <c r="B69" s="1" t="s">
        <v>1593</v>
      </c>
      <c r="D69" s="8">
        <v>77.592523675290337</v>
      </c>
      <c r="E69" s="9">
        <v>7</v>
      </c>
      <c r="F69" s="8">
        <v>77.789166501648239</v>
      </c>
      <c r="G69" s="9">
        <v>9</v>
      </c>
      <c r="H69" s="8">
        <v>83.868079010821319</v>
      </c>
      <c r="I69" s="8">
        <v>16</v>
      </c>
      <c r="J69" s="1">
        <v>1993</v>
      </c>
      <c r="N69" s="6">
        <v>171698</v>
      </c>
      <c r="O69" s="6">
        <v>31200</v>
      </c>
      <c r="P69" s="21">
        <v>0.18171440552598167</v>
      </c>
      <c r="Q69" s="1">
        <v>0</v>
      </c>
      <c r="R69" s="1" t="s">
        <v>1590</v>
      </c>
      <c r="U69" s="22"/>
      <c r="V69" s="8"/>
    </row>
    <row r="70" spans="1:22" x14ac:dyDescent="0.3">
      <c r="A70" s="1" t="s">
        <v>1587</v>
      </c>
      <c r="B70" s="1" t="s">
        <v>1593</v>
      </c>
      <c r="D70" s="8">
        <v>90.744937802349682</v>
      </c>
      <c r="E70" s="9">
        <v>15</v>
      </c>
      <c r="F70" s="8">
        <v>84.849136143745682</v>
      </c>
      <c r="G70" s="9">
        <v>17</v>
      </c>
      <c r="H70" s="8">
        <v>82.703178991015889</v>
      </c>
      <c r="I70" s="8">
        <v>15</v>
      </c>
      <c r="J70" s="1">
        <v>2002</v>
      </c>
      <c r="N70" s="6">
        <v>5788</v>
      </c>
      <c r="O70" s="6">
        <v>1007</v>
      </c>
      <c r="P70" s="21">
        <v>0.17398064961990325</v>
      </c>
      <c r="Q70" s="1">
        <v>0</v>
      </c>
      <c r="R70" s="1" t="s">
        <v>28</v>
      </c>
      <c r="S70" s="1" t="s">
        <v>18</v>
      </c>
      <c r="T70" s="1" t="s">
        <v>18</v>
      </c>
      <c r="U70" s="22" t="s">
        <v>18</v>
      </c>
      <c r="V70" s="8"/>
    </row>
    <row r="71" spans="1:22" x14ac:dyDescent="0.3">
      <c r="A71" s="1" t="s">
        <v>1587</v>
      </c>
      <c r="B71" s="1" t="s">
        <v>1593</v>
      </c>
      <c r="D71" s="8" t="s">
        <v>18</v>
      </c>
      <c r="E71" s="9" t="s">
        <v>18</v>
      </c>
      <c r="F71" s="8">
        <v>32.608695652173914</v>
      </c>
      <c r="G71" s="9">
        <v>2</v>
      </c>
      <c r="H71" s="8">
        <v>81.120069104520582</v>
      </c>
      <c r="I71" s="8">
        <v>14</v>
      </c>
      <c r="J71" s="1">
        <v>2021</v>
      </c>
      <c r="N71" s="6">
        <v>6946</v>
      </c>
      <c r="O71" s="6">
        <v>556</v>
      </c>
      <c r="P71" s="21">
        <v>8.0046069680391588E-2</v>
      </c>
      <c r="Q71" s="1">
        <v>0</v>
      </c>
      <c r="R71" s="1" t="s">
        <v>28</v>
      </c>
      <c r="S71" s="1" t="s">
        <v>18</v>
      </c>
      <c r="T71" s="1" t="s">
        <v>18</v>
      </c>
      <c r="U71" s="22" t="s">
        <v>18</v>
      </c>
      <c r="V71" s="8"/>
    </row>
    <row r="72" spans="1:22" x14ac:dyDescent="0.3">
      <c r="A72" s="1" t="s">
        <v>1587</v>
      </c>
      <c r="B72" s="1" t="s">
        <v>1593</v>
      </c>
      <c r="D72" s="8">
        <v>79.669693128752499</v>
      </c>
      <c r="E72" s="9">
        <v>9</v>
      </c>
      <c r="F72" s="8">
        <v>77.292655103402268</v>
      </c>
      <c r="G72" s="9">
        <v>8</v>
      </c>
      <c r="H72" s="8">
        <v>79.699269513008673</v>
      </c>
      <c r="I72" s="8">
        <v>13</v>
      </c>
      <c r="J72" s="1">
        <v>2017</v>
      </c>
      <c r="N72" s="6">
        <v>8994</v>
      </c>
      <c r="O72" s="6">
        <v>900</v>
      </c>
      <c r="P72" s="21">
        <v>0.1000667111407605</v>
      </c>
      <c r="Q72" s="1">
        <v>0</v>
      </c>
      <c r="R72" s="1" t="s">
        <v>28</v>
      </c>
      <c r="S72" s="1" t="s">
        <v>18</v>
      </c>
      <c r="T72" s="1" t="s">
        <v>18</v>
      </c>
      <c r="U72" s="22" t="s">
        <v>18</v>
      </c>
      <c r="V72" s="8"/>
    </row>
    <row r="73" spans="1:22" x14ac:dyDescent="0.3">
      <c r="A73" s="1" t="s">
        <v>1587</v>
      </c>
      <c r="B73" s="1" t="s">
        <v>1593</v>
      </c>
      <c r="D73" s="8">
        <v>84.373362445414841</v>
      </c>
      <c r="E73" s="9">
        <v>11</v>
      </c>
      <c r="F73" s="8">
        <v>79.126637554585159</v>
      </c>
      <c r="G73" s="9">
        <v>11</v>
      </c>
      <c r="H73" s="8">
        <v>78.613537117903931</v>
      </c>
      <c r="I73" s="8">
        <v>12</v>
      </c>
      <c r="J73" s="1">
        <v>2014</v>
      </c>
      <c r="N73" s="6">
        <v>6870</v>
      </c>
      <c r="O73" s="6">
        <v>680</v>
      </c>
      <c r="P73" s="21">
        <v>9.8981077147016011E-2</v>
      </c>
      <c r="Q73" s="1">
        <v>0</v>
      </c>
      <c r="R73" s="1" t="s">
        <v>28</v>
      </c>
      <c r="S73" s="1" t="s">
        <v>18</v>
      </c>
      <c r="T73" s="1" t="s">
        <v>18</v>
      </c>
      <c r="U73" s="22" t="s">
        <v>18</v>
      </c>
      <c r="V73" s="8"/>
    </row>
    <row r="74" spans="1:22" x14ac:dyDescent="0.3">
      <c r="A74" s="1" t="s">
        <v>1587</v>
      </c>
      <c r="B74" s="1" t="s">
        <v>1593</v>
      </c>
      <c r="D74" s="8">
        <v>93.707419667366395</v>
      </c>
      <c r="E74" s="9">
        <v>19</v>
      </c>
      <c r="F74" s="8">
        <v>81.041345067011136</v>
      </c>
      <c r="G74" s="9">
        <v>13</v>
      </c>
      <c r="H74" s="8">
        <v>78.335278540287419</v>
      </c>
      <c r="I74" s="8">
        <v>11</v>
      </c>
      <c r="J74" s="1">
        <v>2012</v>
      </c>
      <c r="N74" s="6">
        <v>6193</v>
      </c>
      <c r="O74" s="6">
        <v>1000</v>
      </c>
      <c r="P74" s="21">
        <v>0.16147263038914905</v>
      </c>
      <c r="Q74" s="1">
        <v>0</v>
      </c>
      <c r="R74" s="1" t="s">
        <v>28</v>
      </c>
      <c r="S74" s="1" t="s">
        <v>18</v>
      </c>
      <c r="T74" s="1" t="s">
        <v>18</v>
      </c>
      <c r="U74" s="22" t="s">
        <v>18</v>
      </c>
      <c r="V74" s="8"/>
    </row>
    <row r="75" spans="1:22" x14ac:dyDescent="0.3">
      <c r="A75" s="1" t="s">
        <v>1587</v>
      </c>
      <c r="B75" s="1" t="s">
        <v>1593</v>
      </c>
      <c r="D75" s="8">
        <v>73.334184032171891</v>
      </c>
      <c r="E75" s="9">
        <v>4</v>
      </c>
      <c r="F75" s="8">
        <v>83.127548581231196</v>
      </c>
      <c r="G75" s="9">
        <v>14</v>
      </c>
      <c r="H75" s="8">
        <v>76.893058016254685</v>
      </c>
      <c r="I75" s="8">
        <v>10</v>
      </c>
      <c r="J75" s="1">
        <v>2019</v>
      </c>
      <c r="N75" s="6">
        <v>8534.16</v>
      </c>
      <c r="O75" s="6">
        <v>2837</v>
      </c>
      <c r="P75" s="21">
        <v>0.33242873346644547</v>
      </c>
      <c r="Q75" s="1">
        <v>0</v>
      </c>
      <c r="R75" s="1" t="s">
        <v>28</v>
      </c>
      <c r="S75" s="1" t="s">
        <v>18</v>
      </c>
      <c r="T75" s="1" t="s">
        <v>18</v>
      </c>
      <c r="U75" s="22" t="s">
        <v>18</v>
      </c>
      <c r="V75" s="8"/>
    </row>
    <row r="76" spans="1:22" x14ac:dyDescent="0.3">
      <c r="A76" s="1" t="s">
        <v>1587</v>
      </c>
      <c r="B76" s="1" t="s">
        <v>1593</v>
      </c>
      <c r="D76" s="8">
        <v>71.328231821194052</v>
      </c>
      <c r="E76" s="9">
        <v>3</v>
      </c>
      <c r="F76" s="8">
        <v>74.626343755647923</v>
      </c>
      <c r="G76" s="9">
        <v>6</v>
      </c>
      <c r="H76" s="8">
        <v>76.484891860955472</v>
      </c>
      <c r="I76" s="8">
        <v>9</v>
      </c>
      <c r="J76" s="1">
        <v>2018</v>
      </c>
      <c r="N76" s="6">
        <v>16599</v>
      </c>
      <c r="O76" s="6">
        <v>1853</v>
      </c>
      <c r="P76" s="21">
        <v>0.11163323091752515</v>
      </c>
      <c r="Q76" s="1">
        <v>0</v>
      </c>
      <c r="R76" s="1" t="s">
        <v>28</v>
      </c>
      <c r="S76" s="1" t="s">
        <v>18</v>
      </c>
      <c r="T76" s="1">
        <v>0.68</v>
      </c>
      <c r="U76" s="22">
        <v>43276</v>
      </c>
      <c r="V76" s="8"/>
    </row>
    <row r="77" spans="1:22" x14ac:dyDescent="0.3">
      <c r="A77" s="1" t="s">
        <v>1587</v>
      </c>
      <c r="B77" s="1" t="s">
        <v>1593</v>
      </c>
      <c r="D77" s="8" t="s">
        <v>18</v>
      </c>
      <c r="E77" s="9" t="s">
        <v>18</v>
      </c>
      <c r="F77" s="8">
        <v>74.667853054183325</v>
      </c>
      <c r="G77" s="9">
        <v>7</v>
      </c>
      <c r="H77" s="8">
        <v>75.147264173135738</v>
      </c>
      <c r="I77" s="8">
        <v>8</v>
      </c>
      <c r="J77" s="1">
        <v>2021</v>
      </c>
      <c r="N77" s="6">
        <v>12753</v>
      </c>
      <c r="O77" s="6">
        <v>2810</v>
      </c>
      <c r="P77" s="21">
        <v>0.22034031208343136</v>
      </c>
      <c r="Q77" s="1">
        <v>0</v>
      </c>
      <c r="R77" s="1" t="s">
        <v>28</v>
      </c>
      <c r="S77" s="1" t="s">
        <v>18</v>
      </c>
      <c r="T77" s="1">
        <v>0.83</v>
      </c>
      <c r="U77" s="22">
        <v>44913</v>
      </c>
      <c r="V77" s="8"/>
    </row>
    <row r="78" spans="1:22" x14ac:dyDescent="0.3">
      <c r="A78" s="1" t="s">
        <v>1587</v>
      </c>
      <c r="B78" s="1" t="s">
        <v>1593</v>
      </c>
      <c r="D78" s="8">
        <v>89.2363218832309</v>
      </c>
      <c r="E78" s="9">
        <v>13</v>
      </c>
      <c r="F78" s="8">
        <v>78.235792361720812</v>
      </c>
      <c r="G78" s="9">
        <v>10</v>
      </c>
      <c r="H78" s="8">
        <v>74.841288410886733</v>
      </c>
      <c r="I78" s="8">
        <v>7</v>
      </c>
      <c r="J78" s="1">
        <v>2003</v>
      </c>
      <c r="N78" s="6">
        <v>18224</v>
      </c>
      <c r="O78" s="6">
        <v>680</v>
      </c>
      <c r="P78" s="21">
        <v>3.7313432835820892E-2</v>
      </c>
      <c r="Q78" s="1">
        <v>0</v>
      </c>
      <c r="R78" s="1" t="s">
        <v>28</v>
      </c>
      <c r="S78" s="1" t="s">
        <v>18</v>
      </c>
      <c r="T78" s="1" t="s">
        <v>18</v>
      </c>
      <c r="U78" s="22" t="s">
        <v>18</v>
      </c>
      <c r="V78" s="8"/>
    </row>
    <row r="79" spans="1:22" x14ac:dyDescent="0.3">
      <c r="A79" s="1" t="s">
        <v>1587</v>
      </c>
      <c r="B79" s="1" t="s">
        <v>1593</v>
      </c>
      <c r="D79" s="8">
        <v>75.843590631929047</v>
      </c>
      <c r="E79" s="9">
        <v>6</v>
      </c>
      <c r="F79" s="8">
        <v>79.445378325942343</v>
      </c>
      <c r="G79" s="9">
        <v>12</v>
      </c>
      <c r="H79" s="8">
        <v>74.190264689578711</v>
      </c>
      <c r="I79" s="8">
        <v>6</v>
      </c>
      <c r="J79" s="1">
        <v>1999</v>
      </c>
      <c r="N79" s="6">
        <v>7216</v>
      </c>
      <c r="O79" s="6">
        <v>586</v>
      </c>
      <c r="P79" s="21">
        <v>8.1208425720620842E-2</v>
      </c>
      <c r="Q79" s="1">
        <v>0</v>
      </c>
      <c r="R79" s="1" t="s">
        <v>28</v>
      </c>
      <c r="S79" s="1" t="s">
        <v>18</v>
      </c>
      <c r="T79" s="1" t="s">
        <v>18</v>
      </c>
      <c r="U79" s="22" t="s">
        <v>18</v>
      </c>
      <c r="V79" s="8"/>
    </row>
    <row r="80" spans="1:22" x14ac:dyDescent="0.3">
      <c r="A80" s="1" t="s">
        <v>1587</v>
      </c>
      <c r="B80" s="1" t="s">
        <v>1593</v>
      </c>
      <c r="D80" s="8">
        <v>74.503759064673673</v>
      </c>
      <c r="E80" s="9">
        <v>5</v>
      </c>
      <c r="F80" s="8">
        <v>69.98207784519758</v>
      </c>
      <c r="G80" s="9">
        <v>5</v>
      </c>
      <c r="H80" s="8">
        <v>70.063741305313016</v>
      </c>
      <c r="I80" s="8">
        <v>5</v>
      </c>
      <c r="J80" s="1">
        <v>2014</v>
      </c>
      <c r="N80" s="6">
        <v>6757</v>
      </c>
      <c r="O80" s="6">
        <v>389</v>
      </c>
      <c r="P80" s="21">
        <v>5.7569927482610625E-2</v>
      </c>
      <c r="Q80" s="1">
        <v>0</v>
      </c>
      <c r="R80" s="1" t="s">
        <v>28</v>
      </c>
      <c r="S80" s="1" t="s">
        <v>18</v>
      </c>
      <c r="T80" s="1" t="s">
        <v>18</v>
      </c>
      <c r="U80" s="22" t="s">
        <v>18</v>
      </c>
      <c r="V80" s="8"/>
    </row>
    <row r="81" spans="1:22" x14ac:dyDescent="0.3">
      <c r="A81" s="1" t="s">
        <v>1587</v>
      </c>
      <c r="B81" s="1" t="s">
        <v>1593</v>
      </c>
      <c r="D81" s="8">
        <v>64.308520903237508</v>
      </c>
      <c r="E81" s="9">
        <v>2</v>
      </c>
      <c r="F81" s="8">
        <v>67.197409993651945</v>
      </c>
      <c r="G81" s="9">
        <v>4</v>
      </c>
      <c r="H81" s="8">
        <v>69.487253106012503</v>
      </c>
      <c r="I81" s="8">
        <v>4</v>
      </c>
      <c r="J81" s="1">
        <v>2017</v>
      </c>
      <c r="N81" s="6">
        <v>22054</v>
      </c>
      <c r="O81" s="6">
        <v>3010</v>
      </c>
      <c r="P81" s="21">
        <v>0.13648317765484719</v>
      </c>
      <c r="Q81" s="1">
        <v>0</v>
      </c>
      <c r="R81" s="1" t="s">
        <v>28</v>
      </c>
      <c r="S81" s="1" t="s">
        <v>18</v>
      </c>
      <c r="T81" s="1" t="s">
        <v>18</v>
      </c>
      <c r="U81" s="22" t="s">
        <v>18</v>
      </c>
      <c r="V81" s="8"/>
    </row>
    <row r="82" spans="1:22" x14ac:dyDescent="0.3">
      <c r="A82" s="1" t="s">
        <v>1587</v>
      </c>
      <c r="B82" s="1" t="s">
        <v>1593</v>
      </c>
      <c r="D82" s="8" t="s">
        <v>18</v>
      </c>
      <c r="E82" s="9" t="s">
        <v>18</v>
      </c>
      <c r="F82" s="8">
        <v>2.970440845377297</v>
      </c>
      <c r="G82" s="9">
        <v>1</v>
      </c>
      <c r="H82" s="8">
        <v>45.338190137264874</v>
      </c>
      <c r="I82" s="8">
        <v>3</v>
      </c>
      <c r="J82" s="1">
        <v>2021</v>
      </c>
      <c r="N82" s="6">
        <v>13769</v>
      </c>
      <c r="O82" s="6">
        <v>1459</v>
      </c>
      <c r="P82" s="21">
        <v>0.10596266976541506</v>
      </c>
      <c r="Q82" s="1">
        <v>0</v>
      </c>
      <c r="R82" s="1" t="s">
        <v>28</v>
      </c>
      <c r="S82" s="1" t="s">
        <v>18</v>
      </c>
      <c r="T82" s="1" t="s">
        <v>18</v>
      </c>
      <c r="U82" s="22" t="s">
        <v>18</v>
      </c>
      <c r="V82" s="8"/>
    </row>
    <row r="83" spans="1:22" x14ac:dyDescent="0.3">
      <c r="A83" s="1" t="s">
        <v>1587</v>
      </c>
      <c r="B83" s="1" t="s">
        <v>1593</v>
      </c>
      <c r="D83" s="8">
        <v>35.726030610675281</v>
      </c>
      <c r="E83" s="9">
        <v>1</v>
      </c>
      <c r="F83" s="8">
        <v>35.346873557914165</v>
      </c>
      <c r="G83" s="9">
        <v>3</v>
      </c>
      <c r="H83" s="8">
        <v>34.656537455776032</v>
      </c>
      <c r="I83" s="8">
        <v>2</v>
      </c>
      <c r="J83" s="1">
        <v>1939</v>
      </c>
      <c r="N83" s="6">
        <v>13002</v>
      </c>
      <c r="O83" s="6">
        <v>360</v>
      </c>
      <c r="P83" s="21">
        <v>2.7688047992616521E-2</v>
      </c>
      <c r="Q83" s="1">
        <v>0</v>
      </c>
      <c r="R83" s="1" t="s">
        <v>28</v>
      </c>
      <c r="S83" s="1" t="s">
        <v>18</v>
      </c>
      <c r="T83" s="1" t="s">
        <v>18</v>
      </c>
      <c r="U83" s="22" t="s">
        <v>18</v>
      </c>
      <c r="V83" s="8"/>
    </row>
    <row r="84" spans="1:22" x14ac:dyDescent="0.3">
      <c r="A84" s="1" t="s">
        <v>1587</v>
      </c>
      <c r="B84" s="1" t="s">
        <v>1593</v>
      </c>
      <c r="D84" s="8" t="s">
        <v>18</v>
      </c>
      <c r="E84" s="9" t="s">
        <v>18</v>
      </c>
      <c r="F84" s="8" t="s">
        <v>18</v>
      </c>
      <c r="G84" s="9" t="s">
        <v>18</v>
      </c>
      <c r="H84" s="8">
        <v>24.044414481441592</v>
      </c>
      <c r="I84" s="8">
        <v>1</v>
      </c>
      <c r="J84" s="1">
        <v>2022</v>
      </c>
      <c r="K84" s="1" t="s">
        <v>25</v>
      </c>
      <c r="L84" s="1">
        <v>2022</v>
      </c>
      <c r="M84" s="1" t="s">
        <v>1875</v>
      </c>
      <c r="N84" s="6">
        <v>11169.33</v>
      </c>
      <c r="O84" s="6">
        <v>500</v>
      </c>
      <c r="P84" s="21">
        <v>4.4765442510875768E-2</v>
      </c>
      <c r="Q84" s="1">
        <v>0</v>
      </c>
      <c r="R84" s="1" t="s">
        <v>28</v>
      </c>
      <c r="S84" s="1" t="s">
        <v>18</v>
      </c>
      <c r="T84" s="1" t="s">
        <v>18</v>
      </c>
      <c r="U84" s="22" t="s">
        <v>18</v>
      </c>
      <c r="V84" s="8"/>
    </row>
  </sheetData>
  <sheetProtection selectLockedCells="1" selectUnlockedCells="1"/>
  <autoFilter ref="A1:V84">
    <sortState ref="A2:X84">
      <sortCondition ref="A2:A84" customList="Commercial Building,Healthcare Facility,Educational Institution,Civic,Community &amp; Cultural Institution,Sports &amp; Recreation Centre"/>
      <sortCondition ref="B2:B84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C2:C84" customList="Large,Medium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6"/>
  <sheetViews>
    <sheetView topLeftCell="K1" zoomScale="85" zoomScaleNormal="85" workbookViewId="0">
      <pane ySplit="1" topLeftCell="A116" activePane="bottomLeft" state="frozen"/>
      <selection pane="bottomLeft" activeCell="T116" sqref="T116:T146"/>
    </sheetView>
  </sheetViews>
  <sheetFormatPr defaultColWidth="27.77734375" defaultRowHeight="14.4" x14ac:dyDescent="0.3"/>
  <cols>
    <col min="1" max="1" width="33.33203125" style="1" customWidth="1"/>
    <col min="2" max="2" width="20.33203125" style="1" customWidth="1"/>
    <col min="3" max="3" width="15.5546875" style="1" customWidth="1"/>
    <col min="4" max="4" width="21.77734375" style="1" customWidth="1"/>
    <col min="5" max="5" width="36.77734375" style="1" customWidth="1"/>
    <col min="6" max="6" width="23.77734375" style="1" customWidth="1"/>
    <col min="7" max="7" width="36.77734375" style="1" customWidth="1"/>
    <col min="8" max="8" width="21.77734375" style="1" bestFit="1" customWidth="1"/>
    <col min="9" max="9" width="33.33203125" style="1" customWidth="1"/>
    <col min="10" max="13" width="12.21875" style="1" customWidth="1"/>
    <col min="14" max="14" width="22.33203125" style="1" customWidth="1"/>
    <col min="15" max="15" width="17.77734375" style="1" customWidth="1"/>
    <col min="16" max="16" width="27.77734375" style="1" customWidth="1"/>
    <col min="17" max="17" width="27.109375" style="1" customWidth="1"/>
    <col min="18" max="18" width="15" style="1" customWidth="1"/>
    <col min="19" max="19" width="12.21875" style="1" customWidth="1"/>
    <col min="20" max="20" width="21.5546875" style="1" customWidth="1"/>
    <col min="21" max="21" width="27.5546875" style="2" customWidth="1"/>
    <col min="22" max="22" width="77.77734375" style="1" customWidth="1"/>
  </cols>
  <sheetData>
    <row r="1" spans="1:22" s="3" customFormat="1" ht="43.2" x14ac:dyDescent="0.3">
      <c r="A1" s="4" t="s">
        <v>1759</v>
      </c>
      <c r="B1" s="4" t="s">
        <v>7</v>
      </c>
      <c r="C1" s="4" t="s">
        <v>1760</v>
      </c>
      <c r="D1" s="4" t="s">
        <v>1765</v>
      </c>
      <c r="E1" s="4" t="s">
        <v>1766</v>
      </c>
      <c r="F1" s="4" t="s">
        <v>1768</v>
      </c>
      <c r="G1" s="4" t="s">
        <v>1767</v>
      </c>
      <c r="H1" s="4" t="s">
        <v>2619</v>
      </c>
      <c r="I1" s="4" t="s">
        <v>2620</v>
      </c>
      <c r="J1" s="4" t="s">
        <v>6</v>
      </c>
      <c r="K1" s="4" t="s">
        <v>1594</v>
      </c>
      <c r="L1" s="4" t="s">
        <v>1595</v>
      </c>
      <c r="M1" s="4" t="s">
        <v>1596</v>
      </c>
      <c r="N1" s="4" t="s">
        <v>1761</v>
      </c>
      <c r="O1" s="4" t="s">
        <v>1762</v>
      </c>
      <c r="P1" s="4" t="s">
        <v>1763</v>
      </c>
      <c r="Q1" s="4" t="s">
        <v>1764</v>
      </c>
      <c r="R1" s="4" t="s">
        <v>2</v>
      </c>
      <c r="S1" s="4" t="s">
        <v>3</v>
      </c>
      <c r="T1" s="4" t="s">
        <v>4</v>
      </c>
      <c r="U1" s="5" t="s">
        <v>5</v>
      </c>
      <c r="V1" s="4" t="s">
        <v>1772</v>
      </c>
    </row>
    <row r="2" spans="1:22" x14ac:dyDescent="0.3">
      <c r="A2" s="1" t="s">
        <v>82</v>
      </c>
      <c r="B2" s="1" t="s">
        <v>110</v>
      </c>
      <c r="D2" s="8">
        <v>303.63874150564675</v>
      </c>
      <c r="E2" s="9">
        <v>11</v>
      </c>
      <c r="F2" s="8">
        <v>304.18859036057171</v>
      </c>
      <c r="G2" s="9">
        <v>11</v>
      </c>
      <c r="H2" s="8">
        <v>293.66086430799737</v>
      </c>
      <c r="I2" s="8">
        <v>11</v>
      </c>
      <c r="J2" s="1">
        <v>2018</v>
      </c>
      <c r="K2" s="1" t="s">
        <v>19</v>
      </c>
      <c r="L2" s="1">
        <v>2019</v>
      </c>
      <c r="M2" s="1" t="s">
        <v>1601</v>
      </c>
      <c r="N2" s="6">
        <v>41351</v>
      </c>
      <c r="O2" s="6">
        <v>32462</v>
      </c>
      <c r="P2" s="21">
        <v>0.78503542840560081</v>
      </c>
      <c r="Q2" s="1">
        <v>0</v>
      </c>
      <c r="R2" s="1" t="s">
        <v>1589</v>
      </c>
      <c r="S2" s="1">
        <v>2017</v>
      </c>
      <c r="T2" s="1">
        <v>0.61399999999999999</v>
      </c>
      <c r="U2" s="22">
        <v>43224</v>
      </c>
      <c r="V2" s="8"/>
    </row>
    <row r="3" spans="1:22" x14ac:dyDescent="0.3">
      <c r="A3" s="1" t="s">
        <v>82</v>
      </c>
      <c r="B3" s="1" t="s">
        <v>110</v>
      </c>
      <c r="D3" s="8">
        <v>123.45335005144032</v>
      </c>
      <c r="E3" s="9">
        <v>7</v>
      </c>
      <c r="F3" s="8">
        <v>130.13077117626887</v>
      </c>
      <c r="G3" s="9">
        <v>7</v>
      </c>
      <c r="H3" s="8">
        <v>184.68191915294923</v>
      </c>
      <c r="I3" s="8">
        <v>10</v>
      </c>
      <c r="J3" s="1">
        <v>2016</v>
      </c>
      <c r="N3" s="6">
        <v>23328</v>
      </c>
      <c r="O3" s="6">
        <v>1441453</v>
      </c>
      <c r="P3" s="21">
        <v>61.790680727023322</v>
      </c>
      <c r="Q3" s="1">
        <v>0</v>
      </c>
      <c r="R3" s="1" t="s">
        <v>1589</v>
      </c>
      <c r="S3" s="1">
        <v>6</v>
      </c>
      <c r="T3" s="1">
        <v>0.60699999999999998</v>
      </c>
      <c r="U3" s="22">
        <v>43971</v>
      </c>
      <c r="V3" s="8"/>
    </row>
    <row r="4" spans="1:22" x14ac:dyDescent="0.3">
      <c r="A4" s="1" t="s">
        <v>82</v>
      </c>
      <c r="B4" s="1" t="s">
        <v>110</v>
      </c>
      <c r="D4" s="8">
        <v>159.37647770534551</v>
      </c>
      <c r="E4" s="9">
        <v>9</v>
      </c>
      <c r="F4" s="8">
        <v>164.01719217731423</v>
      </c>
      <c r="G4" s="9">
        <v>9</v>
      </c>
      <c r="H4" s="8">
        <v>182.94126101694917</v>
      </c>
      <c r="I4" s="8">
        <v>9</v>
      </c>
      <c r="J4" s="1">
        <v>2014</v>
      </c>
      <c r="N4" s="6">
        <v>19175</v>
      </c>
      <c r="O4" s="6">
        <v>16699</v>
      </c>
      <c r="P4" s="21">
        <v>0.87087353324641459</v>
      </c>
      <c r="Q4" s="1">
        <v>0</v>
      </c>
      <c r="R4" s="1" t="s">
        <v>1589</v>
      </c>
      <c r="S4" s="1">
        <v>20</v>
      </c>
      <c r="T4" s="1" t="s">
        <v>18</v>
      </c>
      <c r="U4" s="22" t="s">
        <v>18</v>
      </c>
      <c r="V4" s="8"/>
    </row>
    <row r="5" spans="1:22" x14ac:dyDescent="0.3">
      <c r="A5" s="1" t="s">
        <v>82</v>
      </c>
      <c r="B5" s="1" t="s">
        <v>110</v>
      </c>
      <c r="D5" s="8">
        <v>166.81403425612791</v>
      </c>
      <c r="E5" s="9">
        <v>10</v>
      </c>
      <c r="F5" s="8">
        <v>174.41539429186076</v>
      </c>
      <c r="G5" s="9">
        <v>10</v>
      </c>
      <c r="H5" s="8">
        <v>180.09409952325825</v>
      </c>
      <c r="I5" s="8">
        <v>8</v>
      </c>
      <c r="J5" s="1">
        <v>2014</v>
      </c>
      <c r="K5" s="1" t="s">
        <v>21</v>
      </c>
      <c r="L5" s="1">
        <v>2022</v>
      </c>
      <c r="M5" s="1" t="s">
        <v>1783</v>
      </c>
      <c r="N5" s="6">
        <v>100637</v>
      </c>
      <c r="O5" s="6">
        <v>54191</v>
      </c>
      <c r="P5" s="21">
        <v>0.53847988314437034</v>
      </c>
      <c r="Q5" s="1">
        <v>0</v>
      </c>
      <c r="R5" s="1" t="s">
        <v>1589</v>
      </c>
      <c r="S5" s="1">
        <v>7</v>
      </c>
      <c r="T5" s="1">
        <v>0.65</v>
      </c>
      <c r="U5" s="22">
        <v>45078</v>
      </c>
      <c r="V5" s="8"/>
    </row>
    <row r="6" spans="1:22" x14ac:dyDescent="0.3">
      <c r="A6" s="1" t="s">
        <v>82</v>
      </c>
      <c r="B6" s="1" t="s">
        <v>110</v>
      </c>
      <c r="D6" s="8">
        <v>146.74902154513003</v>
      </c>
      <c r="E6" s="9">
        <v>8</v>
      </c>
      <c r="F6" s="8">
        <v>144.10236486486485</v>
      </c>
      <c r="G6" s="9">
        <v>8</v>
      </c>
      <c r="H6" s="8">
        <v>161.41688551759307</v>
      </c>
      <c r="I6" s="8">
        <v>7</v>
      </c>
      <c r="J6" s="1">
        <v>1999</v>
      </c>
      <c r="N6" s="6">
        <v>78440</v>
      </c>
      <c r="O6" s="6">
        <v>74944</v>
      </c>
      <c r="P6" s="21">
        <v>0.95543090260071395</v>
      </c>
      <c r="Q6" s="1">
        <v>0</v>
      </c>
      <c r="R6" s="1" t="s">
        <v>1589</v>
      </c>
      <c r="S6" s="1">
        <v>7</v>
      </c>
      <c r="T6" s="1">
        <v>0.63200000000000001</v>
      </c>
      <c r="U6" s="22">
        <v>44679</v>
      </c>
      <c r="V6" s="8"/>
    </row>
    <row r="7" spans="1:22" x14ac:dyDescent="0.3">
      <c r="A7" s="1" t="s">
        <v>82</v>
      </c>
      <c r="B7" s="1" t="s">
        <v>110</v>
      </c>
      <c r="D7" s="8">
        <v>107.13225678227168</v>
      </c>
      <c r="E7" s="9">
        <v>6</v>
      </c>
      <c r="F7" s="8">
        <v>125.34228957567325</v>
      </c>
      <c r="G7" s="9">
        <v>6</v>
      </c>
      <c r="H7" s="8">
        <v>131.91843386664016</v>
      </c>
      <c r="I7" s="8">
        <v>6</v>
      </c>
      <c r="J7" s="1">
        <v>1988</v>
      </c>
      <c r="N7" s="6">
        <v>10063</v>
      </c>
      <c r="O7" s="6">
        <v>1503</v>
      </c>
      <c r="P7" s="21">
        <v>0.14935903806022061</v>
      </c>
      <c r="Q7" s="1">
        <v>0</v>
      </c>
      <c r="R7" s="1" t="s">
        <v>1787</v>
      </c>
      <c r="S7" s="1" t="s">
        <v>18</v>
      </c>
      <c r="T7" s="1" t="s">
        <v>18</v>
      </c>
      <c r="U7" s="22" t="s">
        <v>18</v>
      </c>
      <c r="V7" s="8"/>
    </row>
    <row r="8" spans="1:22" x14ac:dyDescent="0.3">
      <c r="A8" s="1" t="s">
        <v>82</v>
      </c>
      <c r="B8" s="1" t="s">
        <v>110</v>
      </c>
      <c r="D8" s="8">
        <v>105.54457049425085</v>
      </c>
      <c r="E8" s="9">
        <v>5</v>
      </c>
      <c r="F8" s="8">
        <v>110.03095391858247</v>
      </c>
      <c r="G8" s="9">
        <v>5</v>
      </c>
      <c r="H8" s="8">
        <v>123.57458819239032</v>
      </c>
      <c r="I8" s="8">
        <v>5</v>
      </c>
      <c r="J8" s="1">
        <v>2005</v>
      </c>
      <c r="K8" s="1" t="s">
        <v>19</v>
      </c>
      <c r="L8" s="1">
        <v>2018</v>
      </c>
      <c r="M8" s="1" t="s">
        <v>1601</v>
      </c>
      <c r="N8" s="6">
        <v>102750</v>
      </c>
      <c r="O8" s="6">
        <v>69060</v>
      </c>
      <c r="P8" s="21">
        <v>0.67211678832116784</v>
      </c>
      <c r="Q8" s="1">
        <v>0</v>
      </c>
      <c r="R8" s="1" t="s">
        <v>1589</v>
      </c>
      <c r="S8" s="1">
        <v>7</v>
      </c>
      <c r="T8" s="1">
        <v>0.53</v>
      </c>
      <c r="U8" s="22">
        <v>44350</v>
      </c>
      <c r="V8" s="8"/>
    </row>
    <row r="9" spans="1:22" x14ac:dyDescent="0.3">
      <c r="A9" s="1" t="s">
        <v>82</v>
      </c>
      <c r="B9" s="1" t="s">
        <v>110</v>
      </c>
      <c r="D9" s="8">
        <v>94.251534328358218</v>
      </c>
      <c r="E9" s="9">
        <v>4</v>
      </c>
      <c r="F9" s="8">
        <v>93.93304626865671</v>
      </c>
      <c r="G9" s="9">
        <v>4</v>
      </c>
      <c r="H9" s="8">
        <v>93.597762686567165</v>
      </c>
      <c r="I9" s="8">
        <v>4</v>
      </c>
      <c r="J9" s="1">
        <v>2015</v>
      </c>
      <c r="K9" s="1" t="s">
        <v>19</v>
      </c>
      <c r="L9" s="1">
        <v>2020</v>
      </c>
      <c r="M9" s="1" t="s">
        <v>1600</v>
      </c>
      <c r="N9" s="6">
        <v>20100</v>
      </c>
      <c r="O9" s="6">
        <v>9769</v>
      </c>
      <c r="P9" s="21">
        <v>0.48601990049751242</v>
      </c>
      <c r="Q9" s="1">
        <v>0</v>
      </c>
      <c r="R9" s="1" t="s">
        <v>1589</v>
      </c>
      <c r="S9" s="1">
        <v>6</v>
      </c>
      <c r="T9" s="1">
        <v>0.63600000000000001</v>
      </c>
      <c r="U9" s="22">
        <v>43495</v>
      </c>
      <c r="V9" s="8"/>
    </row>
    <row r="10" spans="1:22" x14ac:dyDescent="0.3">
      <c r="A10" s="1" t="s">
        <v>82</v>
      </c>
      <c r="B10" s="1" t="s">
        <v>110</v>
      </c>
      <c r="D10" s="8">
        <v>77.831165381319622</v>
      </c>
      <c r="E10" s="9">
        <v>3</v>
      </c>
      <c r="F10" s="8">
        <v>76.817917737789202</v>
      </c>
      <c r="G10" s="9">
        <v>3</v>
      </c>
      <c r="H10" s="8">
        <v>74.436409597257935</v>
      </c>
      <c r="I10" s="8">
        <v>3</v>
      </c>
      <c r="J10" s="1">
        <v>2014</v>
      </c>
      <c r="K10" s="1" t="s">
        <v>19</v>
      </c>
      <c r="L10" s="1">
        <v>2020</v>
      </c>
      <c r="M10" s="1" t="s">
        <v>1600</v>
      </c>
      <c r="N10" s="6">
        <v>11670</v>
      </c>
      <c r="O10" s="6">
        <v>6113</v>
      </c>
      <c r="P10" s="21">
        <v>0.52382176520994006</v>
      </c>
      <c r="Q10" s="1">
        <v>0</v>
      </c>
      <c r="R10" s="1" t="s">
        <v>1589</v>
      </c>
      <c r="S10" s="1">
        <v>9</v>
      </c>
      <c r="T10" s="1">
        <v>0.56999999999999995</v>
      </c>
      <c r="U10" s="22">
        <v>43628</v>
      </c>
      <c r="V10" s="8"/>
    </row>
    <row r="11" spans="1:22" x14ac:dyDescent="0.3">
      <c r="A11" s="1" t="s">
        <v>82</v>
      </c>
      <c r="B11" s="1" t="s">
        <v>110</v>
      </c>
      <c r="D11" s="8">
        <v>70.43980179701596</v>
      </c>
      <c r="E11" s="9">
        <v>2</v>
      </c>
      <c r="F11" s="8">
        <v>71.433463697896158</v>
      </c>
      <c r="G11" s="9">
        <v>2</v>
      </c>
      <c r="H11" s="8">
        <v>72.23878696842857</v>
      </c>
      <c r="I11" s="8">
        <v>2</v>
      </c>
      <c r="J11" s="1">
        <v>2000</v>
      </c>
      <c r="K11" s="1" t="s">
        <v>19</v>
      </c>
      <c r="L11" s="1">
        <v>2017</v>
      </c>
      <c r="M11" s="1" t="s">
        <v>1601</v>
      </c>
      <c r="N11" s="6">
        <v>109181</v>
      </c>
      <c r="O11" s="6">
        <v>60000</v>
      </c>
      <c r="P11" s="21">
        <v>0.54954616645753385</v>
      </c>
      <c r="Q11" s="1">
        <v>0</v>
      </c>
      <c r="R11" s="1" t="s">
        <v>1589</v>
      </c>
      <c r="S11" s="1">
        <v>7</v>
      </c>
      <c r="T11" s="1">
        <v>0.6</v>
      </c>
      <c r="U11" s="22">
        <v>44428</v>
      </c>
      <c r="V11" s="8"/>
    </row>
    <row r="12" spans="1:22" x14ac:dyDescent="0.3">
      <c r="A12" s="1" t="s">
        <v>82</v>
      </c>
      <c r="B12" s="1" t="s">
        <v>110</v>
      </c>
      <c r="D12" s="8">
        <v>52.806706130728159</v>
      </c>
      <c r="E12" s="9">
        <v>1</v>
      </c>
      <c r="F12" s="8">
        <v>53.74137310096453</v>
      </c>
      <c r="G12" s="9">
        <v>1</v>
      </c>
      <c r="H12" s="8">
        <v>62.80813014861117</v>
      </c>
      <c r="I12" s="8">
        <v>1</v>
      </c>
      <c r="J12" s="1">
        <v>2015</v>
      </c>
      <c r="N12" s="6">
        <v>24157</v>
      </c>
      <c r="O12" s="6">
        <v>7907</v>
      </c>
      <c r="P12" s="21">
        <v>0.32731713375005173</v>
      </c>
      <c r="Q12" s="1">
        <v>0</v>
      </c>
      <c r="R12" s="1" t="s">
        <v>28</v>
      </c>
      <c r="S12" s="1" t="s">
        <v>18</v>
      </c>
      <c r="T12" s="1">
        <v>0.73</v>
      </c>
      <c r="U12" s="22">
        <v>42114</v>
      </c>
      <c r="V12" s="8"/>
    </row>
    <row r="13" spans="1:22" x14ac:dyDescent="0.3">
      <c r="A13" s="1" t="s">
        <v>82</v>
      </c>
      <c r="B13" s="1" t="s">
        <v>110</v>
      </c>
      <c r="D13" s="8"/>
      <c r="E13" s="9" t="s">
        <v>18</v>
      </c>
      <c r="F13" s="8"/>
      <c r="G13" s="9" t="s">
        <v>18</v>
      </c>
      <c r="H13" s="8"/>
      <c r="I13" s="8" t="s">
        <v>18</v>
      </c>
      <c r="J13" s="1">
        <v>1998</v>
      </c>
      <c r="N13" s="6">
        <v>20335</v>
      </c>
      <c r="O13" s="6">
        <v>14851</v>
      </c>
      <c r="P13" s="21">
        <v>0.73031718711581017</v>
      </c>
      <c r="Q13" s="1">
        <v>0</v>
      </c>
      <c r="R13" s="1" t="s">
        <v>1589</v>
      </c>
      <c r="S13" s="1">
        <v>19</v>
      </c>
      <c r="T13" s="1" t="s">
        <v>18</v>
      </c>
      <c r="U13" s="22" t="s">
        <v>18</v>
      </c>
      <c r="V13" s="8"/>
    </row>
    <row r="14" spans="1:22" x14ac:dyDescent="0.3">
      <c r="A14" s="1" t="s">
        <v>82</v>
      </c>
      <c r="B14" s="1" t="s">
        <v>110</v>
      </c>
      <c r="D14" s="8"/>
      <c r="E14" s="9" t="s">
        <v>18</v>
      </c>
      <c r="F14" s="8"/>
      <c r="G14" s="9" t="s">
        <v>18</v>
      </c>
      <c r="H14" s="8"/>
      <c r="I14" s="8" t="s">
        <v>18</v>
      </c>
      <c r="J14" s="1">
        <v>2014</v>
      </c>
      <c r="K14" s="1" t="s">
        <v>19</v>
      </c>
      <c r="L14" s="1">
        <v>2020</v>
      </c>
      <c r="M14" s="1" t="s">
        <v>1600</v>
      </c>
      <c r="N14" s="6">
        <v>15063</v>
      </c>
      <c r="O14" s="6">
        <v>7153</v>
      </c>
      <c r="P14" s="21">
        <v>0.47487220341233488</v>
      </c>
      <c r="Q14" s="1">
        <v>0</v>
      </c>
      <c r="R14" s="1" t="s">
        <v>1589</v>
      </c>
      <c r="S14" s="1">
        <v>8</v>
      </c>
      <c r="T14" s="1">
        <v>0.62</v>
      </c>
      <c r="U14" s="22">
        <v>43632</v>
      </c>
      <c r="V14" s="8"/>
    </row>
    <row r="15" spans="1:22" x14ac:dyDescent="0.3">
      <c r="A15" s="1" t="s">
        <v>82</v>
      </c>
      <c r="B15" s="1" t="s">
        <v>110</v>
      </c>
      <c r="D15" s="8"/>
      <c r="E15" s="9" t="s">
        <v>18</v>
      </c>
      <c r="F15" s="8"/>
      <c r="G15" s="9" t="s">
        <v>18</v>
      </c>
      <c r="H15" s="8"/>
      <c r="I15" s="8" t="s">
        <v>18</v>
      </c>
      <c r="J15" s="1">
        <v>2015</v>
      </c>
      <c r="K15" s="1" t="s">
        <v>19</v>
      </c>
      <c r="L15" s="1">
        <v>2020</v>
      </c>
      <c r="M15" s="1" t="s">
        <v>1601</v>
      </c>
      <c r="N15" s="6">
        <v>15931</v>
      </c>
      <c r="O15" s="6">
        <v>12745</v>
      </c>
      <c r="P15" s="21">
        <v>0.80001255413972761</v>
      </c>
      <c r="Q15" s="1">
        <v>280</v>
      </c>
      <c r="R15" s="1" t="s">
        <v>1589</v>
      </c>
      <c r="S15" s="1">
        <v>8</v>
      </c>
      <c r="T15" s="1">
        <v>0.62</v>
      </c>
      <c r="U15" s="22">
        <v>43838</v>
      </c>
      <c r="V15" s="8"/>
    </row>
    <row r="16" spans="1:22" x14ac:dyDescent="0.3">
      <c r="A16" s="1" t="s">
        <v>82</v>
      </c>
      <c r="B16" s="1" t="s">
        <v>110</v>
      </c>
      <c r="D16" s="8"/>
      <c r="E16" s="9"/>
      <c r="F16" s="8"/>
      <c r="G16" s="9"/>
      <c r="H16" s="8"/>
      <c r="I16" s="8"/>
      <c r="J16" s="1">
        <v>2008</v>
      </c>
      <c r="K16" s="1" t="s">
        <v>19</v>
      </c>
      <c r="L16" s="1">
        <v>2020</v>
      </c>
      <c r="M16" s="1" t="s">
        <v>1599</v>
      </c>
      <c r="N16" s="6">
        <v>44151</v>
      </c>
      <c r="O16" s="6">
        <v>39883</v>
      </c>
      <c r="P16" s="21">
        <v>0.90333174786528048</v>
      </c>
      <c r="Q16" s="1">
        <v>0</v>
      </c>
      <c r="R16" s="1" t="s">
        <v>1821</v>
      </c>
      <c r="S16" s="1" t="s">
        <v>18</v>
      </c>
      <c r="T16" s="1">
        <v>0.74</v>
      </c>
      <c r="U16" s="22">
        <v>40360</v>
      </c>
      <c r="V16" s="8"/>
    </row>
    <row r="17" spans="1:22" x14ac:dyDescent="0.3">
      <c r="A17" s="1" t="s">
        <v>82</v>
      </c>
      <c r="B17" s="1" t="s">
        <v>110</v>
      </c>
      <c r="D17" s="8"/>
      <c r="E17" s="9" t="s">
        <v>18</v>
      </c>
      <c r="F17" s="8"/>
      <c r="G17" s="9" t="s">
        <v>18</v>
      </c>
      <c r="H17" s="8"/>
      <c r="I17" s="8" t="s">
        <v>18</v>
      </c>
      <c r="J17" s="1">
        <v>1997</v>
      </c>
      <c r="K17" s="1" t="s">
        <v>19</v>
      </c>
      <c r="L17" s="1">
        <v>2018</v>
      </c>
      <c r="M17" s="1" t="s">
        <v>1601</v>
      </c>
      <c r="N17" s="6">
        <v>10260</v>
      </c>
      <c r="O17" s="6">
        <v>9113</v>
      </c>
      <c r="P17" s="21">
        <v>0.88820662768031189</v>
      </c>
      <c r="Q17" s="1">
        <v>0</v>
      </c>
      <c r="R17" s="1" t="s">
        <v>1589</v>
      </c>
      <c r="S17" s="1">
        <v>3</v>
      </c>
      <c r="T17" s="1">
        <v>0.64200000000000002</v>
      </c>
      <c r="U17" s="22">
        <v>43157</v>
      </c>
      <c r="V17" s="8"/>
    </row>
    <row r="18" spans="1:22" x14ac:dyDescent="0.3">
      <c r="A18" s="1" t="s">
        <v>82</v>
      </c>
      <c r="B18" s="1" t="s">
        <v>110</v>
      </c>
      <c r="D18" s="8"/>
      <c r="E18" s="9" t="s">
        <v>18</v>
      </c>
      <c r="F18" s="8"/>
      <c r="G18" s="9" t="s">
        <v>18</v>
      </c>
      <c r="H18" s="8"/>
      <c r="I18" s="8" t="s">
        <v>18</v>
      </c>
      <c r="J18" s="1">
        <v>1958</v>
      </c>
      <c r="N18" s="6">
        <v>1190</v>
      </c>
      <c r="O18" s="6">
        <v>974</v>
      </c>
      <c r="P18" s="21">
        <v>0.81848739495798317</v>
      </c>
      <c r="Q18" s="1">
        <v>0</v>
      </c>
      <c r="R18" s="1" t="s">
        <v>28</v>
      </c>
      <c r="S18" s="1" t="s">
        <v>18</v>
      </c>
      <c r="T18" s="1" t="s">
        <v>18</v>
      </c>
      <c r="U18" s="22" t="s">
        <v>18</v>
      </c>
      <c r="V18" s="8"/>
    </row>
    <row r="19" spans="1:22" x14ac:dyDescent="0.3">
      <c r="A19" s="1" t="s">
        <v>82</v>
      </c>
      <c r="B19" s="1" t="s">
        <v>110</v>
      </c>
      <c r="D19" s="8"/>
      <c r="E19" s="9" t="s">
        <v>18</v>
      </c>
      <c r="F19" s="8"/>
      <c r="G19" s="9" t="s">
        <v>18</v>
      </c>
      <c r="H19" s="8"/>
      <c r="I19" s="8" t="s">
        <v>18</v>
      </c>
      <c r="J19" s="1">
        <v>1966</v>
      </c>
      <c r="K19" s="1" t="s">
        <v>19</v>
      </c>
      <c r="L19" s="1">
        <v>2020</v>
      </c>
      <c r="M19" s="1" t="s">
        <v>1601</v>
      </c>
      <c r="N19" s="6">
        <v>7440</v>
      </c>
      <c r="O19" s="6">
        <v>6305</v>
      </c>
      <c r="P19" s="21">
        <v>0.84744623655913975</v>
      </c>
      <c r="Q19" s="1">
        <v>0</v>
      </c>
      <c r="R19" s="1" t="s">
        <v>1589</v>
      </c>
      <c r="S19" s="1">
        <v>3</v>
      </c>
      <c r="T19" s="1">
        <v>0.64</v>
      </c>
      <c r="U19" s="22">
        <v>42027</v>
      </c>
      <c r="V19" s="8"/>
    </row>
    <row r="20" spans="1:22" x14ac:dyDescent="0.3">
      <c r="A20" s="1" t="s">
        <v>82</v>
      </c>
      <c r="B20" s="1" t="s">
        <v>110</v>
      </c>
      <c r="D20" s="8"/>
      <c r="E20" s="9" t="s">
        <v>18</v>
      </c>
      <c r="F20" s="8"/>
      <c r="G20" s="9" t="s">
        <v>18</v>
      </c>
      <c r="H20" s="8"/>
      <c r="I20" s="8" t="s">
        <v>18</v>
      </c>
      <c r="J20" s="1">
        <v>1954</v>
      </c>
      <c r="K20" s="1" t="s">
        <v>19</v>
      </c>
      <c r="L20" s="1">
        <v>2020</v>
      </c>
      <c r="M20" s="1" t="s">
        <v>1599</v>
      </c>
      <c r="N20" s="6">
        <v>3186</v>
      </c>
      <c r="O20" s="6">
        <v>2389</v>
      </c>
      <c r="P20" s="21">
        <v>0.74984306340238549</v>
      </c>
      <c r="Q20" s="1">
        <v>0</v>
      </c>
      <c r="R20" s="1" t="s">
        <v>28</v>
      </c>
      <c r="S20" s="1" t="s">
        <v>18</v>
      </c>
      <c r="T20" s="1" t="s">
        <v>18</v>
      </c>
      <c r="U20" s="22" t="s">
        <v>18</v>
      </c>
      <c r="V20" s="8"/>
    </row>
    <row r="21" spans="1:22" x14ac:dyDescent="0.3">
      <c r="A21" s="1" t="s">
        <v>82</v>
      </c>
      <c r="B21" s="1" t="s">
        <v>110</v>
      </c>
      <c r="D21" s="8"/>
      <c r="E21" s="9" t="s">
        <v>18</v>
      </c>
      <c r="F21" s="8"/>
      <c r="G21" s="9" t="s">
        <v>18</v>
      </c>
      <c r="H21" s="8"/>
      <c r="I21" s="8" t="s">
        <v>18</v>
      </c>
      <c r="J21" s="1">
        <v>2009</v>
      </c>
      <c r="K21" s="1" t="s">
        <v>19</v>
      </c>
      <c r="L21" s="1">
        <v>2019</v>
      </c>
      <c r="M21" s="1" t="s">
        <v>1601</v>
      </c>
      <c r="N21" s="6">
        <v>15420</v>
      </c>
      <c r="O21" s="6">
        <v>14000</v>
      </c>
      <c r="P21" s="21">
        <v>0.90791180285343709</v>
      </c>
      <c r="Q21" s="1">
        <v>0</v>
      </c>
      <c r="R21" s="1" t="s">
        <v>1589</v>
      </c>
      <c r="S21" s="1">
        <v>7</v>
      </c>
      <c r="T21" s="1">
        <v>0.64</v>
      </c>
      <c r="U21" s="22">
        <v>43520</v>
      </c>
      <c r="V21" s="8"/>
    </row>
    <row r="22" spans="1:22" x14ac:dyDescent="0.3">
      <c r="A22" s="1" t="s">
        <v>82</v>
      </c>
      <c r="B22" s="1" t="s">
        <v>110</v>
      </c>
      <c r="D22" s="8"/>
      <c r="E22" s="9" t="s">
        <v>18</v>
      </c>
      <c r="F22" s="8"/>
      <c r="G22" s="9" t="s">
        <v>18</v>
      </c>
      <c r="H22" s="8"/>
      <c r="I22" s="8" t="s">
        <v>18</v>
      </c>
      <c r="J22" s="1">
        <v>2003</v>
      </c>
      <c r="K22" s="1" t="s">
        <v>19</v>
      </c>
      <c r="L22" s="1">
        <v>2018</v>
      </c>
      <c r="M22" s="1" t="s">
        <v>1601</v>
      </c>
      <c r="N22" s="6">
        <v>20792</v>
      </c>
      <c r="O22" s="6">
        <v>14887</v>
      </c>
      <c r="P22" s="21">
        <v>0.71599653712966527</v>
      </c>
      <c r="Q22" s="1">
        <v>0</v>
      </c>
      <c r="R22" s="1" t="s">
        <v>1589</v>
      </c>
      <c r="S22" s="1">
        <v>3</v>
      </c>
      <c r="T22" s="1">
        <v>0.63</v>
      </c>
      <c r="U22" s="22">
        <v>42088</v>
      </c>
      <c r="V22" s="8"/>
    </row>
    <row r="23" spans="1:22" x14ac:dyDescent="0.3">
      <c r="A23" s="1" t="s">
        <v>82</v>
      </c>
      <c r="B23" s="1" t="s">
        <v>110</v>
      </c>
      <c r="D23" s="8"/>
      <c r="E23" s="9" t="s">
        <v>18</v>
      </c>
      <c r="F23" s="8"/>
      <c r="G23" s="9" t="s">
        <v>18</v>
      </c>
      <c r="H23" s="8"/>
      <c r="I23" s="8" t="s">
        <v>18</v>
      </c>
      <c r="J23" s="1">
        <v>1986</v>
      </c>
      <c r="K23" s="1" t="s">
        <v>19</v>
      </c>
      <c r="L23" s="1">
        <v>2020</v>
      </c>
      <c r="M23" s="1" t="s">
        <v>1599</v>
      </c>
      <c r="N23" s="6">
        <v>3356</v>
      </c>
      <c r="O23" s="6">
        <v>1542</v>
      </c>
      <c r="P23" s="21">
        <v>0.45947556615017876</v>
      </c>
      <c r="Q23" s="1">
        <v>0</v>
      </c>
      <c r="R23" s="1" t="s">
        <v>28</v>
      </c>
      <c r="S23" s="1" t="s">
        <v>18</v>
      </c>
      <c r="T23" s="1" t="s">
        <v>18</v>
      </c>
      <c r="U23" s="22" t="s">
        <v>18</v>
      </c>
      <c r="V23" s="8"/>
    </row>
    <row r="24" spans="1:22" x14ac:dyDescent="0.3">
      <c r="A24" s="1" t="s">
        <v>82</v>
      </c>
      <c r="B24" s="1" t="s">
        <v>110</v>
      </c>
      <c r="D24" s="8"/>
      <c r="E24" s="9" t="s">
        <v>18</v>
      </c>
      <c r="F24" s="8"/>
      <c r="G24" s="9" t="s">
        <v>18</v>
      </c>
      <c r="H24" s="8"/>
      <c r="I24" s="8" t="s">
        <v>18</v>
      </c>
      <c r="J24" s="1">
        <v>2015</v>
      </c>
      <c r="K24" s="1" t="s">
        <v>19</v>
      </c>
      <c r="L24" s="1">
        <v>2016</v>
      </c>
      <c r="M24" s="1" t="s">
        <v>1598</v>
      </c>
      <c r="N24" s="6">
        <v>15273</v>
      </c>
      <c r="O24" s="6">
        <v>5216</v>
      </c>
      <c r="P24" s="21">
        <v>0.34151771099325606</v>
      </c>
      <c r="Q24" s="1">
        <v>0</v>
      </c>
      <c r="R24" s="1" t="s">
        <v>1589</v>
      </c>
      <c r="S24" s="1">
        <v>2</v>
      </c>
      <c r="T24" s="1">
        <v>0.67</v>
      </c>
      <c r="U24" s="22">
        <v>44867</v>
      </c>
      <c r="V24" s="8"/>
    </row>
    <row r="25" spans="1:22" x14ac:dyDescent="0.3">
      <c r="A25" s="1" t="s">
        <v>82</v>
      </c>
      <c r="B25" s="1" t="s">
        <v>110</v>
      </c>
      <c r="D25" s="8"/>
      <c r="E25" s="9" t="s">
        <v>18</v>
      </c>
      <c r="F25" s="8"/>
      <c r="G25" s="9" t="s">
        <v>18</v>
      </c>
      <c r="H25" s="8"/>
      <c r="I25" s="8" t="s">
        <v>18</v>
      </c>
      <c r="J25" s="1">
        <v>2005</v>
      </c>
      <c r="K25" s="1" t="s">
        <v>19</v>
      </c>
      <c r="L25" s="1">
        <v>2022</v>
      </c>
      <c r="M25" s="1" t="s">
        <v>1818</v>
      </c>
      <c r="N25" s="6">
        <v>22071.03</v>
      </c>
      <c r="O25" s="6">
        <v>19804</v>
      </c>
      <c r="P25" s="21">
        <v>0.8972848118098703</v>
      </c>
      <c r="Q25" s="1">
        <v>0</v>
      </c>
      <c r="R25" s="1" t="s">
        <v>1589</v>
      </c>
      <c r="S25" s="1">
        <v>9</v>
      </c>
      <c r="T25" s="1">
        <v>0.56499999999999995</v>
      </c>
      <c r="U25" s="22">
        <v>44865</v>
      </c>
      <c r="V25" s="8"/>
    </row>
    <row r="26" spans="1:22" x14ac:dyDescent="0.3">
      <c r="A26" s="1" t="s">
        <v>82</v>
      </c>
      <c r="B26" s="1" t="s">
        <v>110</v>
      </c>
      <c r="D26" s="8"/>
      <c r="E26" s="9" t="s">
        <v>18</v>
      </c>
      <c r="F26" s="8"/>
      <c r="G26" s="9" t="s">
        <v>18</v>
      </c>
      <c r="H26" s="8"/>
      <c r="I26" s="8" t="s">
        <v>18</v>
      </c>
      <c r="J26" s="1">
        <v>2004</v>
      </c>
      <c r="K26" s="1" t="s">
        <v>19</v>
      </c>
      <c r="L26" s="1">
        <v>2020</v>
      </c>
      <c r="M26" s="1" t="s">
        <v>1601</v>
      </c>
      <c r="N26" s="6">
        <v>37181</v>
      </c>
      <c r="O26" s="6">
        <v>36185</v>
      </c>
      <c r="P26" s="21">
        <v>0.97321212447217664</v>
      </c>
      <c r="Q26" s="1">
        <v>0</v>
      </c>
      <c r="R26" s="1" t="s">
        <v>1589</v>
      </c>
      <c r="S26" s="1">
        <v>2</v>
      </c>
      <c r="T26" s="1">
        <v>0.65</v>
      </c>
      <c r="U26" s="22">
        <v>41915</v>
      </c>
      <c r="V26" s="8"/>
    </row>
    <row r="27" spans="1:22" x14ac:dyDescent="0.3">
      <c r="A27" s="1" t="s">
        <v>82</v>
      </c>
      <c r="B27" s="1" t="s">
        <v>110</v>
      </c>
      <c r="D27" s="8"/>
      <c r="E27" s="9" t="s">
        <v>18</v>
      </c>
      <c r="F27" s="8"/>
      <c r="G27" s="9" t="s">
        <v>18</v>
      </c>
      <c r="H27" s="8"/>
      <c r="I27" s="8" t="s">
        <v>18</v>
      </c>
      <c r="J27" s="1">
        <v>2003</v>
      </c>
      <c r="K27" s="1" t="s">
        <v>19</v>
      </c>
      <c r="L27" s="1">
        <v>2018</v>
      </c>
      <c r="M27" s="1" t="s">
        <v>1601</v>
      </c>
      <c r="N27" s="6">
        <v>18322</v>
      </c>
      <c r="O27" s="6">
        <v>16500</v>
      </c>
      <c r="P27" s="21">
        <v>0.90055670778299313</v>
      </c>
      <c r="Q27" s="1">
        <v>170</v>
      </c>
      <c r="R27" s="1" t="s">
        <v>1589</v>
      </c>
      <c r="S27" s="1">
        <v>6</v>
      </c>
      <c r="T27" s="1">
        <v>0.65</v>
      </c>
      <c r="U27" s="22">
        <v>43203</v>
      </c>
      <c r="V27" s="8"/>
    </row>
    <row r="28" spans="1:22" x14ac:dyDescent="0.3">
      <c r="A28" s="1" t="s">
        <v>82</v>
      </c>
      <c r="B28" s="1" t="s">
        <v>110</v>
      </c>
      <c r="D28" s="8"/>
      <c r="E28" s="9" t="s">
        <v>18</v>
      </c>
      <c r="F28" s="8"/>
      <c r="G28" s="9" t="s">
        <v>18</v>
      </c>
      <c r="H28" s="8"/>
      <c r="I28" s="8" t="s">
        <v>18</v>
      </c>
      <c r="J28" s="1">
        <v>2006</v>
      </c>
      <c r="K28" s="1" t="s">
        <v>19</v>
      </c>
      <c r="L28" s="1">
        <v>2020</v>
      </c>
      <c r="M28" s="1" t="s">
        <v>1601</v>
      </c>
      <c r="N28" s="6">
        <v>19282</v>
      </c>
      <c r="O28" s="6">
        <v>15279</v>
      </c>
      <c r="P28" s="21">
        <v>0.79239705424748474</v>
      </c>
      <c r="Q28" s="1">
        <v>0</v>
      </c>
      <c r="R28" s="1" t="s">
        <v>1589</v>
      </c>
      <c r="S28" s="1">
        <v>2</v>
      </c>
      <c r="T28" s="1">
        <v>0.63</v>
      </c>
      <c r="U28" s="22">
        <v>41976</v>
      </c>
      <c r="V28" s="8"/>
    </row>
    <row r="29" spans="1:22" x14ac:dyDescent="0.3">
      <c r="A29" s="1" t="s">
        <v>82</v>
      </c>
      <c r="B29" s="1" t="s">
        <v>110</v>
      </c>
      <c r="D29" s="8"/>
      <c r="E29" s="9" t="s">
        <v>18</v>
      </c>
      <c r="F29" s="8"/>
      <c r="G29" s="9" t="s">
        <v>18</v>
      </c>
      <c r="H29" s="8"/>
      <c r="I29" s="8" t="s">
        <v>18</v>
      </c>
      <c r="J29" s="1">
        <v>2007</v>
      </c>
      <c r="K29" s="1" t="s">
        <v>19</v>
      </c>
      <c r="L29" s="1">
        <v>2020</v>
      </c>
      <c r="M29" s="1" t="s">
        <v>1601</v>
      </c>
      <c r="N29" s="6">
        <v>14798</v>
      </c>
      <c r="O29" s="6">
        <v>10896</v>
      </c>
      <c r="P29" s="21">
        <v>0.73631571834031628</v>
      </c>
      <c r="Q29" s="1">
        <v>0</v>
      </c>
      <c r="R29" s="1" t="s">
        <v>1589</v>
      </c>
      <c r="S29" s="1">
        <v>11</v>
      </c>
      <c r="T29" s="1">
        <v>0.64</v>
      </c>
      <c r="U29" s="22">
        <v>43455</v>
      </c>
      <c r="V29" s="8"/>
    </row>
    <row r="30" spans="1:22" x14ac:dyDescent="0.3">
      <c r="A30" s="1" t="s">
        <v>82</v>
      </c>
      <c r="B30" s="1" t="s">
        <v>110</v>
      </c>
      <c r="D30" s="8"/>
      <c r="E30" s="9" t="s">
        <v>18</v>
      </c>
      <c r="F30" s="8"/>
      <c r="G30" s="9" t="s">
        <v>18</v>
      </c>
      <c r="H30" s="8"/>
      <c r="I30" s="8" t="s">
        <v>18</v>
      </c>
      <c r="J30" s="1">
        <v>2006</v>
      </c>
      <c r="K30" s="1" t="s">
        <v>19</v>
      </c>
      <c r="L30" s="1">
        <v>2020</v>
      </c>
      <c r="M30" s="1" t="s">
        <v>1601</v>
      </c>
      <c r="N30" s="6">
        <v>11706</v>
      </c>
      <c r="O30" s="6">
        <v>6267</v>
      </c>
      <c r="P30" s="21">
        <v>0.53536647872885701</v>
      </c>
      <c r="Q30" s="1">
        <v>0</v>
      </c>
      <c r="R30" s="1" t="s">
        <v>1589</v>
      </c>
      <c r="S30" s="1">
        <v>10</v>
      </c>
      <c r="T30" s="1">
        <v>0.63</v>
      </c>
      <c r="U30" s="22">
        <v>41915</v>
      </c>
      <c r="V30" s="8"/>
    </row>
    <row r="31" spans="1:22" x14ac:dyDescent="0.3">
      <c r="A31" s="1" t="s">
        <v>82</v>
      </c>
      <c r="B31" s="1" t="s">
        <v>110</v>
      </c>
      <c r="D31" s="8"/>
      <c r="E31" s="9" t="s">
        <v>18</v>
      </c>
      <c r="F31" s="8"/>
      <c r="G31" s="9" t="s">
        <v>18</v>
      </c>
      <c r="H31" s="8"/>
      <c r="I31" s="8" t="s">
        <v>18</v>
      </c>
      <c r="J31" s="1">
        <v>2008</v>
      </c>
      <c r="K31" s="1" t="s">
        <v>19</v>
      </c>
      <c r="L31" s="1">
        <v>2022</v>
      </c>
      <c r="M31" s="1" t="s">
        <v>1783</v>
      </c>
      <c r="N31" s="6">
        <v>15484</v>
      </c>
      <c r="O31" s="6">
        <v>10408</v>
      </c>
      <c r="P31" s="21">
        <v>0.67217773185223462</v>
      </c>
      <c r="Q31" s="1">
        <v>0</v>
      </c>
      <c r="R31" s="1" t="s">
        <v>1589</v>
      </c>
      <c r="S31" s="1">
        <v>2</v>
      </c>
      <c r="T31" s="1">
        <v>0.59299999999999997</v>
      </c>
      <c r="U31" s="22">
        <v>43801</v>
      </c>
      <c r="V31" s="8"/>
    </row>
    <row r="32" spans="1:22" x14ac:dyDescent="0.3">
      <c r="A32" s="1" t="s">
        <v>82</v>
      </c>
      <c r="B32" s="1" t="s">
        <v>110</v>
      </c>
      <c r="D32" s="8"/>
      <c r="E32" s="9" t="s">
        <v>18</v>
      </c>
      <c r="F32" s="8"/>
      <c r="G32" s="9" t="s">
        <v>18</v>
      </c>
      <c r="H32" s="8"/>
      <c r="I32" s="8" t="s">
        <v>18</v>
      </c>
      <c r="J32" s="1">
        <v>2006</v>
      </c>
      <c r="K32" s="1" t="s">
        <v>19</v>
      </c>
      <c r="L32" s="1">
        <v>2018</v>
      </c>
      <c r="M32" s="1" t="s">
        <v>1601</v>
      </c>
      <c r="N32" s="6">
        <v>19039</v>
      </c>
      <c r="O32" s="6">
        <v>16826</v>
      </c>
      <c r="P32" s="21">
        <v>0.8837649036188876</v>
      </c>
      <c r="Q32" s="1">
        <v>0</v>
      </c>
      <c r="R32" s="1" t="s">
        <v>1589</v>
      </c>
      <c r="S32" s="1">
        <v>10</v>
      </c>
      <c r="T32" s="1">
        <v>0.67</v>
      </c>
      <c r="U32" s="22">
        <v>43439</v>
      </c>
      <c r="V32" s="8"/>
    </row>
    <row r="33" spans="1:22" x14ac:dyDescent="0.3">
      <c r="A33" s="1" t="s">
        <v>82</v>
      </c>
      <c r="B33" s="1" t="s">
        <v>110</v>
      </c>
      <c r="D33" s="8"/>
      <c r="E33" s="9" t="s">
        <v>18</v>
      </c>
      <c r="F33" s="8"/>
      <c r="G33" s="9" t="s">
        <v>18</v>
      </c>
      <c r="H33" s="8"/>
      <c r="I33" s="8" t="s">
        <v>18</v>
      </c>
      <c r="J33" s="1">
        <v>1993</v>
      </c>
      <c r="K33" s="1" t="s">
        <v>19</v>
      </c>
      <c r="L33" s="1">
        <v>2023</v>
      </c>
      <c r="M33" s="1" t="s">
        <v>1783</v>
      </c>
      <c r="N33" s="6">
        <v>11606</v>
      </c>
      <c r="O33" s="6">
        <v>7455</v>
      </c>
      <c r="P33" s="21">
        <v>0.64234016887816647</v>
      </c>
      <c r="Q33" s="1">
        <v>0</v>
      </c>
      <c r="R33" s="1" t="s">
        <v>1589</v>
      </c>
      <c r="S33" s="1">
        <v>4</v>
      </c>
      <c r="T33" s="1">
        <v>0.52</v>
      </c>
      <c r="U33" s="22">
        <v>44528</v>
      </c>
      <c r="V33" s="8"/>
    </row>
    <row r="34" spans="1:22" x14ac:dyDescent="0.3">
      <c r="A34" s="1" t="s">
        <v>82</v>
      </c>
      <c r="B34" s="1" t="s">
        <v>110</v>
      </c>
      <c r="D34" s="8"/>
      <c r="E34" s="9" t="s">
        <v>18</v>
      </c>
      <c r="F34" s="8"/>
      <c r="G34" s="9" t="s">
        <v>18</v>
      </c>
      <c r="H34" s="8"/>
      <c r="I34" s="8" t="s">
        <v>18</v>
      </c>
      <c r="J34" s="1">
        <v>1961</v>
      </c>
      <c r="K34" s="1" t="s">
        <v>19</v>
      </c>
      <c r="L34" s="1">
        <v>2020</v>
      </c>
      <c r="M34" s="1" t="s">
        <v>1601</v>
      </c>
      <c r="N34" s="6">
        <v>4370</v>
      </c>
      <c r="O34" s="6">
        <v>2861</v>
      </c>
      <c r="P34" s="21">
        <v>0.65469107551487415</v>
      </c>
      <c r="Q34" s="1">
        <v>0</v>
      </c>
      <c r="R34" s="1" t="s">
        <v>28</v>
      </c>
      <c r="S34" s="1" t="s">
        <v>18</v>
      </c>
      <c r="T34" s="1" t="s">
        <v>18</v>
      </c>
      <c r="U34" s="22" t="s">
        <v>18</v>
      </c>
      <c r="V34" s="8"/>
    </row>
    <row r="35" spans="1:22" x14ac:dyDescent="0.3">
      <c r="A35" s="1" t="s">
        <v>82</v>
      </c>
      <c r="B35" s="1" t="s">
        <v>110</v>
      </c>
      <c r="D35" s="8"/>
      <c r="E35" s="9"/>
      <c r="F35" s="8"/>
      <c r="G35" s="9"/>
      <c r="H35" s="8"/>
      <c r="I35" s="8"/>
      <c r="J35" s="1">
        <v>2016</v>
      </c>
      <c r="K35" s="1" t="s">
        <v>19</v>
      </c>
      <c r="L35" s="1">
        <v>2021</v>
      </c>
      <c r="M35" s="1" t="s">
        <v>1600</v>
      </c>
      <c r="N35" s="6">
        <v>68353</v>
      </c>
      <c r="O35" s="6">
        <v>29685</v>
      </c>
      <c r="P35" s="21">
        <v>0.43428964346846516</v>
      </c>
      <c r="Q35" s="1">
        <v>0</v>
      </c>
      <c r="R35" s="1" t="s">
        <v>1821</v>
      </c>
      <c r="S35" s="1" t="s">
        <v>18</v>
      </c>
      <c r="T35" s="1" t="s">
        <v>18</v>
      </c>
      <c r="U35" s="22" t="s">
        <v>18</v>
      </c>
      <c r="V35" s="8"/>
    </row>
    <row r="36" spans="1:22" x14ac:dyDescent="0.3">
      <c r="A36" s="1" t="s">
        <v>82</v>
      </c>
      <c r="B36" s="1" t="s">
        <v>110</v>
      </c>
      <c r="D36" s="8"/>
      <c r="E36" s="9" t="s">
        <v>18</v>
      </c>
      <c r="F36" s="8"/>
      <c r="G36" s="9" t="s">
        <v>18</v>
      </c>
      <c r="H36" s="8"/>
      <c r="I36" s="8" t="s">
        <v>18</v>
      </c>
      <c r="J36" s="1">
        <v>2009</v>
      </c>
      <c r="K36" s="1" t="s">
        <v>47</v>
      </c>
      <c r="L36" s="1">
        <v>2022</v>
      </c>
      <c r="M36" s="1" t="s">
        <v>1818</v>
      </c>
      <c r="N36" s="6">
        <v>28340</v>
      </c>
      <c r="O36" s="6">
        <v>20884</v>
      </c>
      <c r="P36" s="21">
        <v>0.73690896259703598</v>
      </c>
      <c r="Q36" s="1">
        <v>0</v>
      </c>
      <c r="R36" s="1" t="s">
        <v>1589</v>
      </c>
      <c r="S36" s="1">
        <v>14</v>
      </c>
      <c r="T36" s="1">
        <v>0.74</v>
      </c>
      <c r="U36" s="22">
        <v>42642</v>
      </c>
      <c r="V36" s="8"/>
    </row>
    <row r="37" spans="1:22" x14ac:dyDescent="0.3">
      <c r="A37" s="1" t="s">
        <v>82</v>
      </c>
      <c r="B37" s="1" t="s">
        <v>110</v>
      </c>
      <c r="D37" s="8"/>
      <c r="E37" s="9"/>
      <c r="F37" s="8"/>
      <c r="G37" s="9"/>
      <c r="H37" s="8"/>
      <c r="I37" s="8"/>
      <c r="J37" s="1">
        <v>2014</v>
      </c>
      <c r="K37" s="1" t="s">
        <v>19</v>
      </c>
      <c r="L37" s="1">
        <v>2021</v>
      </c>
      <c r="M37" s="1" t="s">
        <v>1601</v>
      </c>
      <c r="N37" s="6">
        <v>12835</v>
      </c>
      <c r="O37" s="6">
        <v>5605</v>
      </c>
      <c r="P37" s="21">
        <v>0.43669653291780286</v>
      </c>
      <c r="Q37" s="1">
        <v>0</v>
      </c>
      <c r="R37" s="1" t="s">
        <v>1821</v>
      </c>
      <c r="S37" s="1" t="s">
        <v>18</v>
      </c>
      <c r="T37" s="1" t="s">
        <v>18</v>
      </c>
      <c r="U37" s="22" t="s">
        <v>18</v>
      </c>
      <c r="V37" s="8"/>
    </row>
    <row r="38" spans="1:22" x14ac:dyDescent="0.3">
      <c r="A38" s="1" t="s">
        <v>82</v>
      </c>
      <c r="B38" s="1" t="s">
        <v>110</v>
      </c>
      <c r="D38" s="8"/>
      <c r="E38" s="9"/>
      <c r="F38" s="8"/>
      <c r="G38" s="9"/>
      <c r="H38" s="8"/>
      <c r="I38" s="8"/>
      <c r="J38" s="1">
        <v>2012</v>
      </c>
      <c r="K38" s="1" t="s">
        <v>19</v>
      </c>
      <c r="L38" s="1">
        <v>2021</v>
      </c>
      <c r="M38" s="1" t="s">
        <v>1603</v>
      </c>
      <c r="N38" s="6">
        <v>23848</v>
      </c>
      <c r="O38" s="6">
        <v>16693</v>
      </c>
      <c r="P38" s="21">
        <v>0.69997484065749749</v>
      </c>
      <c r="Q38" s="1">
        <v>0</v>
      </c>
      <c r="R38" s="1" t="s">
        <v>1821</v>
      </c>
      <c r="S38" s="1" t="s">
        <v>18</v>
      </c>
      <c r="T38" s="1" t="s">
        <v>18</v>
      </c>
      <c r="U38" s="22" t="s">
        <v>18</v>
      </c>
      <c r="V38" s="8"/>
    </row>
    <row r="39" spans="1:22" x14ac:dyDescent="0.3">
      <c r="A39" s="1" t="s">
        <v>82</v>
      </c>
      <c r="B39" s="1" t="s">
        <v>110</v>
      </c>
      <c r="D39" s="8"/>
      <c r="E39" s="9" t="s">
        <v>18</v>
      </c>
      <c r="F39" s="8"/>
      <c r="G39" s="9" t="s">
        <v>18</v>
      </c>
      <c r="H39" s="8"/>
      <c r="I39" s="8" t="s">
        <v>18</v>
      </c>
      <c r="J39" s="1">
        <v>1976</v>
      </c>
      <c r="K39" s="1" t="s">
        <v>25</v>
      </c>
      <c r="L39" s="1">
        <v>2021</v>
      </c>
      <c r="M39" s="1" t="s">
        <v>1599</v>
      </c>
      <c r="N39" s="6">
        <v>24475</v>
      </c>
      <c r="O39" s="6">
        <v>24240</v>
      </c>
      <c r="P39" s="21">
        <v>0.99039836567926454</v>
      </c>
      <c r="Q39" s="1">
        <v>0</v>
      </c>
      <c r="R39" s="1" t="s">
        <v>1589</v>
      </c>
      <c r="S39" s="1">
        <v>2</v>
      </c>
      <c r="T39" s="1">
        <v>0.57399999999999995</v>
      </c>
      <c r="U39" s="22">
        <v>44249</v>
      </c>
      <c r="V39" s="8"/>
    </row>
    <row r="40" spans="1:22" x14ac:dyDescent="0.3">
      <c r="A40" s="1" t="s">
        <v>82</v>
      </c>
      <c r="B40" s="1" t="s">
        <v>110</v>
      </c>
      <c r="D40" s="8"/>
      <c r="E40" s="9"/>
      <c r="F40" s="8"/>
      <c r="G40" s="9"/>
      <c r="H40" s="8"/>
      <c r="I40" s="8"/>
      <c r="J40" s="1">
        <v>2022</v>
      </c>
      <c r="N40" s="6">
        <v>16862</v>
      </c>
      <c r="O40" s="6">
        <v>8809</v>
      </c>
      <c r="P40" s="21">
        <v>0.52241726960028467</v>
      </c>
      <c r="Q40" s="1">
        <v>0</v>
      </c>
      <c r="R40" s="1" t="s">
        <v>1821</v>
      </c>
      <c r="S40" s="1" t="s">
        <v>18</v>
      </c>
      <c r="T40" s="1">
        <v>0.56499999999999995</v>
      </c>
      <c r="U40" s="22">
        <v>44279</v>
      </c>
      <c r="V40" s="8"/>
    </row>
    <row r="41" spans="1:22" x14ac:dyDescent="0.3">
      <c r="A41" s="1" t="s">
        <v>82</v>
      </c>
      <c r="B41" s="1" t="s">
        <v>110</v>
      </c>
      <c r="D41" s="8"/>
      <c r="E41" s="9"/>
      <c r="F41" s="8"/>
      <c r="G41" s="9"/>
      <c r="H41" s="8"/>
      <c r="I41" s="8"/>
      <c r="J41" s="1">
        <v>2020</v>
      </c>
      <c r="N41" s="6">
        <v>7450</v>
      </c>
      <c r="O41" s="6">
        <v>8525</v>
      </c>
      <c r="P41" s="21">
        <v>1.1442953020134228</v>
      </c>
      <c r="Q41" s="1">
        <v>0</v>
      </c>
      <c r="R41" s="1" t="s">
        <v>1821</v>
      </c>
      <c r="S41" s="1" t="s">
        <v>18</v>
      </c>
      <c r="T41" s="1">
        <v>0.53400000000000003</v>
      </c>
      <c r="U41" s="22">
        <v>44279</v>
      </c>
      <c r="V41" s="8"/>
    </row>
    <row r="42" spans="1:22" x14ac:dyDescent="0.3">
      <c r="A42" s="1" t="s">
        <v>82</v>
      </c>
      <c r="B42" s="1" t="s">
        <v>110</v>
      </c>
      <c r="D42" s="8"/>
      <c r="E42" s="9" t="s">
        <v>18</v>
      </c>
      <c r="F42" s="8"/>
      <c r="G42" s="9" t="s">
        <v>18</v>
      </c>
      <c r="H42" s="8"/>
      <c r="I42" s="8" t="s">
        <v>18</v>
      </c>
      <c r="J42" s="1">
        <v>2017</v>
      </c>
      <c r="N42" s="6">
        <v>9178</v>
      </c>
      <c r="O42" s="6">
        <v>714</v>
      </c>
      <c r="P42" s="21">
        <v>7.7794726519938989E-2</v>
      </c>
      <c r="Q42" s="1">
        <v>0</v>
      </c>
      <c r="R42" s="1" t="s">
        <v>28</v>
      </c>
      <c r="S42" s="1" t="s">
        <v>18</v>
      </c>
      <c r="T42" s="1" t="s">
        <v>18</v>
      </c>
      <c r="U42" s="22" t="s">
        <v>18</v>
      </c>
      <c r="V42" s="8"/>
    </row>
    <row r="43" spans="1:22" x14ac:dyDescent="0.3">
      <c r="A43" s="1" t="s">
        <v>82</v>
      </c>
      <c r="B43" s="1" t="s">
        <v>110</v>
      </c>
      <c r="D43" s="8"/>
      <c r="E43" s="9"/>
      <c r="F43" s="8"/>
      <c r="G43" s="9"/>
      <c r="H43" s="8"/>
      <c r="I43" s="8"/>
      <c r="J43" s="1">
        <v>2018</v>
      </c>
      <c r="K43" s="1" t="s">
        <v>19</v>
      </c>
      <c r="L43" s="1">
        <v>2022</v>
      </c>
      <c r="M43" s="1" t="s">
        <v>1783</v>
      </c>
      <c r="N43" s="6">
        <v>8333</v>
      </c>
      <c r="O43" s="6">
        <v>3362</v>
      </c>
      <c r="P43" s="21">
        <v>0.40345613824552984</v>
      </c>
      <c r="Q43" s="1">
        <v>0</v>
      </c>
      <c r="R43" s="1" t="s">
        <v>1821</v>
      </c>
      <c r="S43" s="1" t="s">
        <v>18</v>
      </c>
      <c r="T43" s="1" t="s">
        <v>18</v>
      </c>
      <c r="U43" s="22" t="s">
        <v>18</v>
      </c>
      <c r="V43" s="8"/>
    </row>
    <row r="44" spans="1:22" x14ac:dyDescent="0.3">
      <c r="A44" s="1" t="s">
        <v>82</v>
      </c>
      <c r="B44" s="1" t="s">
        <v>110</v>
      </c>
      <c r="D44" s="8"/>
      <c r="E44" s="9"/>
      <c r="F44" s="8"/>
      <c r="G44" s="9"/>
      <c r="H44" s="8"/>
      <c r="I44" s="8"/>
      <c r="J44" s="1">
        <v>2015</v>
      </c>
      <c r="K44" s="1" t="s">
        <v>21</v>
      </c>
      <c r="L44" s="1">
        <v>2021</v>
      </c>
      <c r="M44" s="1" t="s">
        <v>1783</v>
      </c>
      <c r="N44" s="6">
        <v>2107</v>
      </c>
      <c r="O44" s="6">
        <v>1475</v>
      </c>
      <c r="P44" s="21">
        <v>0.70004746084480307</v>
      </c>
      <c r="Q44" s="1">
        <v>0</v>
      </c>
      <c r="R44" s="1" t="s">
        <v>1821</v>
      </c>
      <c r="S44" s="1" t="s">
        <v>18</v>
      </c>
      <c r="T44" s="1" t="s">
        <v>18</v>
      </c>
      <c r="U44" s="22" t="s">
        <v>18</v>
      </c>
      <c r="V44" s="8"/>
    </row>
    <row r="45" spans="1:22" x14ac:dyDescent="0.3">
      <c r="A45" s="1" t="s">
        <v>82</v>
      </c>
      <c r="B45" s="1" t="s">
        <v>110</v>
      </c>
      <c r="D45" s="8"/>
      <c r="E45" s="9"/>
      <c r="F45" s="8"/>
      <c r="G45" s="9"/>
      <c r="H45" s="8"/>
      <c r="I45" s="8"/>
      <c r="J45" s="1">
        <v>2006</v>
      </c>
      <c r="N45" s="6">
        <v>18083</v>
      </c>
      <c r="O45" s="6">
        <v>11295</v>
      </c>
      <c r="P45" s="21">
        <v>0.6246198086600675</v>
      </c>
      <c r="Q45" s="1">
        <v>0</v>
      </c>
      <c r="R45" s="1" t="s">
        <v>1821</v>
      </c>
      <c r="S45" s="1" t="s">
        <v>18</v>
      </c>
      <c r="T45" s="1">
        <v>0.77500000000000002</v>
      </c>
      <c r="U45" s="22">
        <v>43628</v>
      </c>
      <c r="V45" s="8"/>
    </row>
    <row r="46" spans="1:22" x14ac:dyDescent="0.3">
      <c r="A46" s="1" t="s">
        <v>82</v>
      </c>
      <c r="B46" s="1" t="s">
        <v>110</v>
      </c>
      <c r="D46" s="8"/>
      <c r="E46" s="9"/>
      <c r="F46" s="8"/>
      <c r="G46" s="9"/>
      <c r="H46" s="8"/>
      <c r="I46" s="8"/>
      <c r="J46" s="1">
        <v>2014</v>
      </c>
      <c r="K46" s="1" t="s">
        <v>25</v>
      </c>
      <c r="L46" s="1">
        <v>2014</v>
      </c>
      <c r="M46" s="1" t="s">
        <v>1600</v>
      </c>
      <c r="N46" s="6">
        <v>8369</v>
      </c>
      <c r="O46" s="6">
        <v>5858</v>
      </c>
      <c r="P46" s="21">
        <v>0.69996415342334806</v>
      </c>
      <c r="Q46" s="1">
        <v>0</v>
      </c>
      <c r="R46" s="1" t="s">
        <v>1821</v>
      </c>
      <c r="S46" s="1" t="s">
        <v>18</v>
      </c>
      <c r="T46" s="1">
        <v>0.77500000000000002</v>
      </c>
      <c r="U46" s="22">
        <v>43640</v>
      </c>
      <c r="V46" s="8"/>
    </row>
    <row r="47" spans="1:22" x14ac:dyDescent="0.3">
      <c r="A47" s="1" t="s">
        <v>82</v>
      </c>
      <c r="B47" s="1" t="s">
        <v>110</v>
      </c>
      <c r="D47" s="8"/>
      <c r="E47" s="9"/>
      <c r="F47" s="8"/>
      <c r="G47" s="9"/>
      <c r="H47" s="8"/>
      <c r="I47" s="8"/>
      <c r="J47" s="1">
        <v>2006</v>
      </c>
      <c r="K47" s="1" t="s">
        <v>25</v>
      </c>
      <c r="L47" s="1">
        <v>2016</v>
      </c>
      <c r="M47" s="1" t="s">
        <v>1597</v>
      </c>
      <c r="N47" s="6">
        <v>19587</v>
      </c>
      <c r="O47" s="6">
        <v>19487</v>
      </c>
      <c r="P47" s="21">
        <v>0.99489457293102568</v>
      </c>
      <c r="Q47" s="1">
        <v>0</v>
      </c>
      <c r="R47" s="1" t="s">
        <v>1821</v>
      </c>
      <c r="S47" s="1" t="s">
        <v>18</v>
      </c>
      <c r="T47" s="1">
        <v>0.54149999999999998</v>
      </c>
      <c r="U47" s="22">
        <v>44279</v>
      </c>
      <c r="V47" s="8"/>
    </row>
    <row r="48" spans="1:22" x14ac:dyDescent="0.3">
      <c r="A48" s="1" t="s">
        <v>82</v>
      </c>
      <c r="B48" s="1" t="s">
        <v>110</v>
      </c>
      <c r="D48" s="8"/>
      <c r="E48" s="9"/>
      <c r="F48" s="8"/>
      <c r="G48" s="9"/>
      <c r="H48" s="8"/>
      <c r="I48" s="8"/>
      <c r="J48" s="1">
        <v>1980</v>
      </c>
      <c r="N48" s="6">
        <v>11734</v>
      </c>
      <c r="O48" s="6">
        <v>7243</v>
      </c>
      <c r="P48" s="21">
        <v>0.61726606442815746</v>
      </c>
      <c r="Q48" s="1">
        <v>0</v>
      </c>
      <c r="R48" s="1" t="s">
        <v>1821</v>
      </c>
      <c r="S48" s="1" t="s">
        <v>18</v>
      </c>
      <c r="T48" s="1">
        <v>0.93500000000000005</v>
      </c>
      <c r="U48" s="22">
        <v>43571</v>
      </c>
      <c r="V48" s="8"/>
    </row>
    <row r="49" spans="1:22" x14ac:dyDescent="0.3">
      <c r="A49" s="1" t="s">
        <v>82</v>
      </c>
      <c r="B49" s="1" t="s">
        <v>110</v>
      </c>
      <c r="D49" s="8"/>
      <c r="E49" s="9"/>
      <c r="F49" s="8"/>
      <c r="G49" s="9"/>
      <c r="H49" s="8"/>
      <c r="I49" s="8"/>
      <c r="J49" s="1">
        <v>2001</v>
      </c>
      <c r="K49" s="1" t="s">
        <v>19</v>
      </c>
      <c r="L49" s="1">
        <v>2017</v>
      </c>
      <c r="M49" s="1" t="s">
        <v>1601</v>
      </c>
      <c r="N49" s="6">
        <v>20116</v>
      </c>
      <c r="O49" s="6">
        <v>12379</v>
      </c>
      <c r="P49" s="21">
        <v>0.61538079140982305</v>
      </c>
      <c r="Q49" s="1">
        <v>0</v>
      </c>
      <c r="R49" s="1" t="s">
        <v>1821</v>
      </c>
      <c r="S49" s="1" t="s">
        <v>18</v>
      </c>
      <c r="T49" s="1">
        <v>0.60599999999999998</v>
      </c>
      <c r="U49" s="22">
        <v>44556</v>
      </c>
      <c r="V49" s="8"/>
    </row>
    <row r="50" spans="1:22" x14ac:dyDescent="0.3">
      <c r="A50" s="1" t="s">
        <v>82</v>
      </c>
      <c r="B50" s="1" t="s">
        <v>110</v>
      </c>
      <c r="D50" s="8"/>
      <c r="E50" s="9"/>
      <c r="F50" s="8"/>
      <c r="G50" s="9"/>
      <c r="H50" s="8"/>
      <c r="I50" s="8"/>
      <c r="J50" s="1">
        <v>1986</v>
      </c>
      <c r="N50" s="6">
        <v>6842</v>
      </c>
      <c r="O50" s="6">
        <v>4768</v>
      </c>
      <c r="P50" s="21">
        <v>0.69687225957322418</v>
      </c>
      <c r="Q50" s="1">
        <v>0</v>
      </c>
      <c r="R50" s="1" t="s">
        <v>1821</v>
      </c>
      <c r="S50" s="1" t="s">
        <v>18</v>
      </c>
      <c r="T50" s="1">
        <v>0.60599999999999998</v>
      </c>
      <c r="U50" s="22">
        <v>44556</v>
      </c>
      <c r="V50" s="8"/>
    </row>
    <row r="51" spans="1:22" x14ac:dyDescent="0.3">
      <c r="A51" s="1" t="s">
        <v>82</v>
      </c>
      <c r="B51" s="1" t="s">
        <v>110</v>
      </c>
      <c r="D51" s="8"/>
      <c r="E51" s="9"/>
      <c r="F51" s="8"/>
      <c r="G51" s="9"/>
      <c r="H51" s="8"/>
      <c r="I51" s="8"/>
      <c r="J51" s="1">
        <v>1986</v>
      </c>
      <c r="N51" s="6">
        <v>7163</v>
      </c>
      <c r="O51" s="6">
        <v>4750</v>
      </c>
      <c r="P51" s="21">
        <v>0.66312997347480107</v>
      </c>
      <c r="Q51" s="1">
        <v>0</v>
      </c>
      <c r="R51" s="1" t="s">
        <v>1821</v>
      </c>
      <c r="S51" s="1" t="s">
        <v>18</v>
      </c>
      <c r="T51" s="1">
        <v>0.60599999999999998</v>
      </c>
      <c r="U51" s="22">
        <v>44556</v>
      </c>
      <c r="V51" s="8"/>
    </row>
    <row r="52" spans="1:22" x14ac:dyDescent="0.3">
      <c r="A52" s="1" t="s">
        <v>82</v>
      </c>
      <c r="B52" s="1" t="s">
        <v>110</v>
      </c>
      <c r="D52" s="8"/>
      <c r="E52" s="9"/>
      <c r="F52" s="8"/>
      <c r="G52" s="9"/>
      <c r="H52" s="8"/>
      <c r="I52" s="8"/>
      <c r="J52" s="1">
        <v>1993</v>
      </c>
      <c r="N52" s="6">
        <v>15567</v>
      </c>
      <c r="O52" s="6">
        <v>9315</v>
      </c>
      <c r="P52" s="21">
        <v>0.59838119098092113</v>
      </c>
      <c r="Q52" s="1">
        <v>0</v>
      </c>
      <c r="R52" s="1" t="s">
        <v>1821</v>
      </c>
      <c r="S52" s="1" t="s">
        <v>18</v>
      </c>
      <c r="T52" s="1">
        <v>0.60599999999999998</v>
      </c>
      <c r="U52" s="22">
        <v>44556</v>
      </c>
      <c r="V52" s="8"/>
    </row>
    <row r="53" spans="1:22" x14ac:dyDescent="0.3">
      <c r="A53" s="1" t="s">
        <v>82</v>
      </c>
      <c r="B53" s="1" t="s">
        <v>110</v>
      </c>
      <c r="D53" s="8"/>
      <c r="E53" s="9"/>
      <c r="F53" s="8"/>
      <c r="G53" s="9"/>
      <c r="H53" s="8"/>
      <c r="I53" s="8"/>
      <c r="J53" s="1">
        <v>1981</v>
      </c>
      <c r="K53" s="1" t="s">
        <v>19</v>
      </c>
      <c r="L53" s="1">
        <v>2013</v>
      </c>
      <c r="M53" s="1" t="s">
        <v>1601</v>
      </c>
      <c r="N53" s="6">
        <v>8735</v>
      </c>
      <c r="O53" s="6">
        <v>5842</v>
      </c>
      <c r="P53" s="21">
        <v>0.6688036634230109</v>
      </c>
      <c r="Q53" s="1">
        <v>0</v>
      </c>
      <c r="R53" s="1" t="s">
        <v>1821</v>
      </c>
      <c r="S53" s="1" t="s">
        <v>18</v>
      </c>
      <c r="T53" s="1">
        <v>0.60599999999999998</v>
      </c>
      <c r="U53" s="22">
        <v>44556</v>
      </c>
      <c r="V53" s="8"/>
    </row>
    <row r="54" spans="1:22" x14ac:dyDescent="0.3">
      <c r="A54" s="1" t="s">
        <v>82</v>
      </c>
      <c r="B54" s="1" t="s">
        <v>110</v>
      </c>
      <c r="D54" s="8"/>
      <c r="E54" s="9"/>
      <c r="F54" s="8"/>
      <c r="G54" s="9"/>
      <c r="H54" s="8"/>
      <c r="I54" s="8"/>
      <c r="J54" s="1">
        <v>2016</v>
      </c>
      <c r="K54" s="1" t="s">
        <v>19</v>
      </c>
      <c r="L54" s="1">
        <v>2021</v>
      </c>
      <c r="M54" s="1" t="s">
        <v>1783</v>
      </c>
      <c r="N54" s="6">
        <v>4801</v>
      </c>
      <c r="O54" s="6">
        <v>1761</v>
      </c>
      <c r="P54" s="21">
        <v>0.36679858362841072</v>
      </c>
      <c r="Q54" s="1">
        <v>0</v>
      </c>
      <c r="R54" s="1" t="s">
        <v>1821</v>
      </c>
      <c r="S54" s="1" t="s">
        <v>18</v>
      </c>
      <c r="T54" s="1">
        <v>0.60599999999999998</v>
      </c>
      <c r="U54" s="22">
        <v>44556</v>
      </c>
      <c r="V54" s="8"/>
    </row>
    <row r="55" spans="1:22" x14ac:dyDescent="0.3">
      <c r="A55" s="1" t="s">
        <v>82</v>
      </c>
      <c r="B55" s="1" t="s">
        <v>110</v>
      </c>
      <c r="D55" s="8"/>
      <c r="E55" s="9"/>
      <c r="F55" s="8"/>
      <c r="G55" s="9"/>
      <c r="H55" s="8"/>
      <c r="I55" s="8"/>
      <c r="J55" s="1">
        <v>1986</v>
      </c>
      <c r="N55" s="6">
        <v>7823</v>
      </c>
      <c r="O55" s="6">
        <v>5033</v>
      </c>
      <c r="P55" s="21">
        <v>0.6433593250671098</v>
      </c>
      <c r="Q55" s="1">
        <v>0</v>
      </c>
      <c r="R55" s="1" t="s">
        <v>1821</v>
      </c>
      <c r="S55" s="1" t="s">
        <v>18</v>
      </c>
      <c r="T55" s="1">
        <v>0.60599999999999998</v>
      </c>
      <c r="U55" s="22">
        <v>44556</v>
      </c>
      <c r="V55" s="8"/>
    </row>
    <row r="56" spans="1:22" x14ac:dyDescent="0.3">
      <c r="A56" s="1" t="s">
        <v>82</v>
      </c>
      <c r="B56" s="1" t="s">
        <v>110</v>
      </c>
      <c r="D56" s="8"/>
      <c r="E56" s="9"/>
      <c r="F56" s="8"/>
      <c r="G56" s="9"/>
      <c r="H56" s="8"/>
      <c r="I56" s="8"/>
      <c r="J56" s="1">
        <v>1986</v>
      </c>
      <c r="N56" s="6">
        <v>9625</v>
      </c>
      <c r="O56" s="6">
        <v>3269</v>
      </c>
      <c r="P56" s="21">
        <v>0.33963636363636363</v>
      </c>
      <c r="Q56" s="1">
        <v>0</v>
      </c>
      <c r="R56" s="1" t="s">
        <v>1821</v>
      </c>
      <c r="S56" s="1" t="s">
        <v>18</v>
      </c>
      <c r="T56" s="1">
        <v>0.60599999999999998</v>
      </c>
      <c r="U56" s="22">
        <v>44556</v>
      </c>
      <c r="V56" s="8"/>
    </row>
    <row r="57" spans="1:22" x14ac:dyDescent="0.3">
      <c r="A57" s="1" t="s">
        <v>82</v>
      </c>
      <c r="B57" s="1" t="s">
        <v>110</v>
      </c>
      <c r="D57" s="8"/>
      <c r="E57" s="9"/>
      <c r="F57" s="8"/>
      <c r="G57" s="9"/>
      <c r="H57" s="8"/>
      <c r="I57" s="8"/>
      <c r="J57" s="1">
        <v>2014</v>
      </c>
      <c r="K57" s="1" t="s">
        <v>19</v>
      </c>
      <c r="L57" s="1">
        <v>2021</v>
      </c>
      <c r="M57" s="1" t="s">
        <v>1603</v>
      </c>
      <c r="N57" s="6">
        <v>38448</v>
      </c>
      <c r="O57" s="6">
        <v>23333</v>
      </c>
      <c r="P57" s="21">
        <v>0.6068716188098211</v>
      </c>
      <c r="Q57" s="1">
        <v>0</v>
      </c>
      <c r="R57" s="1" t="s">
        <v>1821</v>
      </c>
      <c r="S57" s="1" t="s">
        <v>18</v>
      </c>
      <c r="T57" s="1">
        <v>0.60599999999999998</v>
      </c>
      <c r="U57" s="22">
        <v>44556</v>
      </c>
      <c r="V57" s="8"/>
    </row>
    <row r="58" spans="1:22" x14ac:dyDescent="0.3">
      <c r="A58" s="1" t="s">
        <v>82</v>
      </c>
      <c r="B58" s="1" t="s">
        <v>110</v>
      </c>
      <c r="D58" s="8"/>
      <c r="E58" s="9" t="s">
        <v>18</v>
      </c>
      <c r="F58" s="8"/>
      <c r="G58" s="9" t="s">
        <v>18</v>
      </c>
      <c r="H58" s="8"/>
      <c r="I58" s="8" t="s">
        <v>18</v>
      </c>
      <c r="J58" s="1">
        <v>1986</v>
      </c>
      <c r="K58" s="1" t="s">
        <v>19</v>
      </c>
      <c r="L58" s="1">
        <v>2020</v>
      </c>
      <c r="M58" s="1" t="s">
        <v>1601</v>
      </c>
      <c r="N58" s="6">
        <v>738667</v>
      </c>
      <c r="O58" s="6">
        <v>517068</v>
      </c>
      <c r="P58" s="21">
        <v>0.70000148916900307</v>
      </c>
      <c r="Q58" s="1">
        <v>0</v>
      </c>
      <c r="R58" s="1" t="s">
        <v>1589</v>
      </c>
      <c r="S58" s="1" t="s">
        <v>18</v>
      </c>
      <c r="T58" s="1">
        <v>0.65</v>
      </c>
      <c r="U58" s="22">
        <v>43515</v>
      </c>
      <c r="V58" s="8"/>
    </row>
    <row r="59" spans="1:22" x14ac:dyDescent="0.3">
      <c r="A59" s="1" t="s">
        <v>82</v>
      </c>
      <c r="B59" s="1" t="s">
        <v>110</v>
      </c>
      <c r="D59" s="8"/>
      <c r="E59" s="9"/>
      <c r="F59" s="8"/>
      <c r="G59" s="9"/>
      <c r="H59" s="8"/>
      <c r="I59" s="8"/>
      <c r="J59" s="1">
        <v>1981</v>
      </c>
      <c r="N59" s="6">
        <v>5141</v>
      </c>
      <c r="O59" s="6">
        <v>3067</v>
      </c>
      <c r="P59" s="21">
        <v>0.5965765415288854</v>
      </c>
      <c r="Q59" s="1">
        <v>0</v>
      </c>
      <c r="R59" s="1" t="s">
        <v>1821</v>
      </c>
      <c r="S59" s="1" t="s">
        <v>18</v>
      </c>
      <c r="T59" s="1">
        <v>0.60599999999999998</v>
      </c>
      <c r="U59" s="22">
        <v>45286</v>
      </c>
      <c r="V59" s="8"/>
    </row>
    <row r="60" spans="1:22" x14ac:dyDescent="0.3">
      <c r="A60" s="1" t="s">
        <v>82</v>
      </c>
      <c r="B60" s="1" t="s">
        <v>110</v>
      </c>
      <c r="D60" s="8"/>
      <c r="E60" s="9"/>
      <c r="F60" s="8"/>
      <c r="G60" s="9"/>
      <c r="H60" s="8"/>
      <c r="I60" s="8"/>
      <c r="J60" s="1">
        <v>1981</v>
      </c>
      <c r="N60" s="6">
        <v>5678</v>
      </c>
      <c r="O60" s="6">
        <v>3106</v>
      </c>
      <c r="P60" s="21">
        <v>0.54702359985910531</v>
      </c>
      <c r="Q60" s="1">
        <v>0</v>
      </c>
      <c r="R60" s="1" t="s">
        <v>1821</v>
      </c>
      <c r="S60" s="1" t="s">
        <v>18</v>
      </c>
      <c r="T60" s="1">
        <v>0.60599999999999998</v>
      </c>
      <c r="U60" s="22">
        <v>44556</v>
      </c>
      <c r="V60" s="8"/>
    </row>
    <row r="61" spans="1:22" x14ac:dyDescent="0.3">
      <c r="A61" s="1" t="s">
        <v>82</v>
      </c>
      <c r="B61" s="1" t="s">
        <v>110</v>
      </c>
      <c r="D61" s="8"/>
      <c r="E61" s="9"/>
      <c r="F61" s="8"/>
      <c r="G61" s="9"/>
      <c r="H61" s="8"/>
      <c r="I61" s="8"/>
      <c r="J61" s="1">
        <v>1981</v>
      </c>
      <c r="N61" s="6">
        <v>3163</v>
      </c>
      <c r="O61" s="6">
        <v>2218</v>
      </c>
      <c r="P61" s="21">
        <v>0.70123300663926647</v>
      </c>
      <c r="Q61" s="1">
        <v>0</v>
      </c>
      <c r="R61" s="1" t="s">
        <v>1821</v>
      </c>
      <c r="S61" s="1" t="s">
        <v>18</v>
      </c>
      <c r="T61" s="1">
        <v>0.60599999999999998</v>
      </c>
      <c r="U61" s="22">
        <v>44556</v>
      </c>
      <c r="V61" s="8"/>
    </row>
    <row r="62" spans="1:22" x14ac:dyDescent="0.3">
      <c r="A62" s="1" t="s">
        <v>82</v>
      </c>
      <c r="B62" s="1" t="s">
        <v>110</v>
      </c>
      <c r="D62" s="8"/>
      <c r="E62" s="9"/>
      <c r="F62" s="8"/>
      <c r="G62" s="9"/>
      <c r="H62" s="8"/>
      <c r="I62" s="8"/>
      <c r="J62" s="1">
        <v>1981</v>
      </c>
      <c r="N62" s="6">
        <v>4658</v>
      </c>
      <c r="O62" s="6">
        <v>3269</v>
      </c>
      <c r="P62" s="21">
        <v>0.70180334907685704</v>
      </c>
      <c r="Q62" s="1">
        <v>0</v>
      </c>
      <c r="R62" s="1" t="s">
        <v>1821</v>
      </c>
      <c r="S62" s="1" t="s">
        <v>18</v>
      </c>
      <c r="T62" s="1">
        <v>0.60599999999999998</v>
      </c>
      <c r="U62" s="22">
        <v>44556</v>
      </c>
      <c r="V62" s="8"/>
    </row>
    <row r="63" spans="1:22" x14ac:dyDescent="0.3">
      <c r="A63" s="1" t="s">
        <v>82</v>
      </c>
      <c r="B63" s="1" t="s">
        <v>110</v>
      </c>
      <c r="D63" s="8"/>
      <c r="E63" s="9"/>
      <c r="F63" s="8"/>
      <c r="G63" s="9"/>
      <c r="H63" s="8"/>
      <c r="I63" s="8"/>
      <c r="J63" s="1">
        <v>1991</v>
      </c>
      <c r="N63" s="6">
        <v>10531</v>
      </c>
      <c r="O63" s="6">
        <v>7493</v>
      </c>
      <c r="P63" s="21">
        <v>0.71151837432342613</v>
      </c>
      <c r="Q63" s="1">
        <v>0</v>
      </c>
      <c r="R63" s="1" t="s">
        <v>1821</v>
      </c>
      <c r="S63" s="1" t="s">
        <v>18</v>
      </c>
      <c r="T63" s="1">
        <v>0.60599999999999998</v>
      </c>
      <c r="U63" s="22">
        <v>44556</v>
      </c>
      <c r="V63" s="8"/>
    </row>
    <row r="64" spans="1:22" x14ac:dyDescent="0.3">
      <c r="A64" s="1" t="s">
        <v>82</v>
      </c>
      <c r="B64" s="1" t="s">
        <v>110</v>
      </c>
      <c r="D64" s="8"/>
      <c r="E64" s="9"/>
      <c r="F64" s="8"/>
      <c r="G64" s="9"/>
      <c r="H64" s="8"/>
      <c r="I64" s="8"/>
      <c r="J64" s="1">
        <v>2003</v>
      </c>
      <c r="N64" s="6">
        <v>3103</v>
      </c>
      <c r="O64" s="6">
        <v>3103</v>
      </c>
      <c r="P64" s="21">
        <v>1</v>
      </c>
      <c r="Q64" s="1">
        <v>0</v>
      </c>
      <c r="R64" s="1" t="s">
        <v>1821</v>
      </c>
      <c r="S64" s="1" t="s">
        <v>18</v>
      </c>
      <c r="T64" s="1">
        <v>0.53400000000000003</v>
      </c>
      <c r="U64" s="22">
        <v>44279</v>
      </c>
      <c r="V64" s="8"/>
    </row>
    <row r="65" spans="1:22" x14ac:dyDescent="0.3">
      <c r="A65" s="1" t="s">
        <v>82</v>
      </c>
      <c r="B65" s="1" t="s">
        <v>110</v>
      </c>
      <c r="D65" s="8"/>
      <c r="E65" s="9"/>
      <c r="F65" s="8"/>
      <c r="G65" s="9"/>
      <c r="H65" s="8"/>
      <c r="I65" s="8"/>
      <c r="J65" s="1">
        <v>1981</v>
      </c>
      <c r="N65" s="6">
        <v>1180</v>
      </c>
      <c r="O65" s="6">
        <v>763</v>
      </c>
      <c r="P65" s="21">
        <v>0.64661016949152539</v>
      </c>
      <c r="Q65" s="1">
        <v>0</v>
      </c>
      <c r="R65" s="1" t="s">
        <v>1821</v>
      </c>
      <c r="S65" s="1" t="s">
        <v>18</v>
      </c>
      <c r="T65" s="1">
        <v>0.60599999999999998</v>
      </c>
      <c r="U65" s="22">
        <v>44554</v>
      </c>
      <c r="V65" s="8"/>
    </row>
    <row r="66" spans="1:22" x14ac:dyDescent="0.3">
      <c r="A66" s="1" t="s">
        <v>82</v>
      </c>
      <c r="B66" s="1" t="s">
        <v>110</v>
      </c>
      <c r="D66" s="8"/>
      <c r="E66" s="9"/>
      <c r="F66" s="8"/>
      <c r="G66" s="9"/>
      <c r="H66" s="8"/>
      <c r="I66" s="8"/>
      <c r="J66" s="1">
        <v>1981</v>
      </c>
      <c r="N66" s="6">
        <v>5047</v>
      </c>
      <c r="O66" s="6">
        <v>3471</v>
      </c>
      <c r="P66" s="21">
        <v>0.68773528829007335</v>
      </c>
      <c r="Q66" s="1">
        <v>0</v>
      </c>
      <c r="R66" s="1" t="s">
        <v>1821</v>
      </c>
      <c r="S66" s="1" t="s">
        <v>18</v>
      </c>
      <c r="T66" s="1">
        <v>0.60599999999999998</v>
      </c>
      <c r="U66" s="22">
        <v>44554</v>
      </c>
      <c r="V66" s="8"/>
    </row>
    <row r="67" spans="1:22" x14ac:dyDescent="0.3">
      <c r="A67" s="1" t="s">
        <v>82</v>
      </c>
      <c r="B67" s="1" t="s">
        <v>110</v>
      </c>
      <c r="D67" s="8"/>
      <c r="E67" s="9"/>
      <c r="F67" s="8"/>
      <c r="G67" s="9"/>
      <c r="H67" s="8"/>
      <c r="I67" s="8"/>
      <c r="J67" s="1">
        <v>1981</v>
      </c>
      <c r="N67" s="6">
        <v>6492</v>
      </c>
      <c r="O67" s="6">
        <v>3694</v>
      </c>
      <c r="P67" s="21">
        <v>0.56900800985828714</v>
      </c>
      <c r="Q67" s="1">
        <v>0</v>
      </c>
      <c r="R67" s="1" t="s">
        <v>1821</v>
      </c>
      <c r="S67" s="1" t="s">
        <v>18</v>
      </c>
      <c r="T67" s="1">
        <v>0.60599999999999998</v>
      </c>
      <c r="U67" s="22">
        <v>44554</v>
      </c>
      <c r="V67" s="8"/>
    </row>
    <row r="68" spans="1:22" x14ac:dyDescent="0.3">
      <c r="A68" s="1" t="s">
        <v>82</v>
      </c>
      <c r="B68" s="1" t="s">
        <v>110</v>
      </c>
      <c r="D68" s="8"/>
      <c r="E68" s="9"/>
      <c r="F68" s="8"/>
      <c r="G68" s="9"/>
      <c r="H68" s="8"/>
      <c r="I68" s="8"/>
      <c r="J68" s="1">
        <v>1981</v>
      </c>
      <c r="N68" s="6">
        <v>4553</v>
      </c>
      <c r="O68" s="6">
        <v>2978</v>
      </c>
      <c r="P68" s="21">
        <v>0.65407423676696685</v>
      </c>
      <c r="Q68" s="1">
        <v>0</v>
      </c>
      <c r="R68" s="1" t="s">
        <v>1821</v>
      </c>
      <c r="S68" s="1" t="s">
        <v>18</v>
      </c>
      <c r="T68" s="1">
        <v>0.60599999999999998</v>
      </c>
      <c r="U68" s="22">
        <v>44554</v>
      </c>
      <c r="V68" s="8"/>
    </row>
    <row r="69" spans="1:22" x14ac:dyDescent="0.3">
      <c r="A69" s="1" t="s">
        <v>82</v>
      </c>
      <c r="B69" s="1" t="s">
        <v>110</v>
      </c>
      <c r="D69" s="8"/>
      <c r="E69" s="9"/>
      <c r="F69" s="8"/>
      <c r="G69" s="9"/>
      <c r="H69" s="8"/>
      <c r="I69" s="8"/>
      <c r="J69" s="1">
        <v>1996</v>
      </c>
      <c r="N69" s="6">
        <v>2347</v>
      </c>
      <c r="O69" s="6">
        <v>1553</v>
      </c>
      <c r="P69" s="21">
        <v>0.66169578184916911</v>
      </c>
      <c r="Q69" s="1">
        <v>0</v>
      </c>
      <c r="R69" s="1" t="s">
        <v>1821</v>
      </c>
      <c r="S69" s="1" t="s">
        <v>18</v>
      </c>
      <c r="T69" s="1">
        <v>0.60599999999999998</v>
      </c>
      <c r="U69" s="22">
        <v>44554</v>
      </c>
      <c r="V69" s="8"/>
    </row>
    <row r="70" spans="1:22" x14ac:dyDescent="0.3">
      <c r="A70" s="1" t="s">
        <v>82</v>
      </c>
      <c r="B70" s="1" t="s">
        <v>110</v>
      </c>
      <c r="D70" s="8"/>
      <c r="E70" s="9"/>
      <c r="F70" s="8"/>
      <c r="G70" s="9"/>
      <c r="H70" s="8"/>
      <c r="I70" s="8"/>
      <c r="J70" s="1">
        <v>1981</v>
      </c>
      <c r="K70" s="1" t="s">
        <v>19</v>
      </c>
      <c r="L70" s="1">
        <v>2013</v>
      </c>
      <c r="M70" s="1" t="s">
        <v>1601</v>
      </c>
      <c r="N70" s="6">
        <v>4307</v>
      </c>
      <c r="O70" s="6">
        <v>2593</v>
      </c>
      <c r="P70" s="21">
        <v>0.60204318551195724</v>
      </c>
      <c r="Q70" s="1">
        <v>0</v>
      </c>
      <c r="R70" s="1" t="s">
        <v>1821</v>
      </c>
      <c r="S70" s="1" t="s">
        <v>18</v>
      </c>
      <c r="T70" s="1">
        <v>0.60599999999999998</v>
      </c>
      <c r="U70" s="22">
        <v>44554</v>
      </c>
      <c r="V70" s="8"/>
    </row>
    <row r="71" spans="1:22" x14ac:dyDescent="0.3">
      <c r="A71" s="1" t="s">
        <v>82</v>
      </c>
      <c r="B71" s="1" t="s">
        <v>110</v>
      </c>
      <c r="D71" s="8"/>
      <c r="E71" s="9"/>
      <c r="F71" s="8"/>
      <c r="G71" s="9"/>
      <c r="H71" s="8"/>
      <c r="I71" s="8"/>
      <c r="J71" s="1">
        <v>1981</v>
      </c>
      <c r="K71" s="1" t="s">
        <v>19</v>
      </c>
      <c r="L71" s="1">
        <v>2021</v>
      </c>
      <c r="M71" s="1" t="s">
        <v>1599</v>
      </c>
      <c r="N71" s="6">
        <v>4289</v>
      </c>
      <c r="O71" s="6">
        <v>3200</v>
      </c>
      <c r="P71" s="21">
        <v>0.74609466076008391</v>
      </c>
      <c r="Q71" s="1">
        <v>0</v>
      </c>
      <c r="R71" s="1" t="s">
        <v>1821</v>
      </c>
      <c r="S71" s="1" t="s">
        <v>18</v>
      </c>
      <c r="T71" s="1">
        <v>0.60599999999999998</v>
      </c>
      <c r="U71" s="22">
        <v>44554</v>
      </c>
      <c r="V71" s="8"/>
    </row>
    <row r="72" spans="1:22" x14ac:dyDescent="0.3">
      <c r="A72" s="1" t="s">
        <v>82</v>
      </c>
      <c r="B72" s="1" t="s">
        <v>110</v>
      </c>
      <c r="D72" s="8"/>
      <c r="E72" s="9"/>
      <c r="F72" s="8"/>
      <c r="G72" s="9"/>
      <c r="H72" s="8"/>
      <c r="I72" s="8"/>
      <c r="J72" s="1">
        <v>1981</v>
      </c>
      <c r="K72" s="1" t="s">
        <v>25</v>
      </c>
      <c r="L72" s="1">
        <v>2021</v>
      </c>
      <c r="M72" s="1" t="s">
        <v>1599</v>
      </c>
      <c r="N72" s="6">
        <v>5084</v>
      </c>
      <c r="O72" s="6">
        <v>3494</v>
      </c>
      <c r="P72" s="21">
        <v>0.68725413060582219</v>
      </c>
      <c r="Q72" s="1">
        <v>0</v>
      </c>
      <c r="R72" s="1" t="s">
        <v>1821</v>
      </c>
      <c r="S72" s="1" t="s">
        <v>18</v>
      </c>
      <c r="T72" s="1">
        <v>0.60599999999999998</v>
      </c>
      <c r="U72" s="22">
        <v>44554</v>
      </c>
      <c r="V72" s="8"/>
    </row>
    <row r="73" spans="1:22" x14ac:dyDescent="0.3">
      <c r="A73" s="1" t="s">
        <v>82</v>
      </c>
      <c r="B73" s="1" t="s">
        <v>110</v>
      </c>
      <c r="D73" s="8"/>
      <c r="E73" s="9"/>
      <c r="F73" s="8"/>
      <c r="G73" s="9"/>
      <c r="H73" s="8"/>
      <c r="I73" s="8"/>
      <c r="J73" s="1">
        <v>1995</v>
      </c>
      <c r="K73" s="1" t="s">
        <v>19</v>
      </c>
      <c r="L73" s="1">
        <v>2015</v>
      </c>
      <c r="M73" s="1" t="s">
        <v>1601</v>
      </c>
      <c r="N73" s="6">
        <v>16437</v>
      </c>
      <c r="O73" s="6">
        <v>11592</v>
      </c>
      <c r="P73" s="21">
        <v>0.70523818215002743</v>
      </c>
      <c r="Q73" s="1">
        <v>0</v>
      </c>
      <c r="R73" s="1" t="s">
        <v>1821</v>
      </c>
      <c r="S73" s="1" t="s">
        <v>18</v>
      </c>
      <c r="T73" s="1">
        <v>0.60599999999999998</v>
      </c>
      <c r="U73" s="22">
        <v>44554</v>
      </c>
      <c r="V73" s="8"/>
    </row>
    <row r="74" spans="1:22" x14ac:dyDescent="0.3">
      <c r="A74" s="1" t="s">
        <v>82</v>
      </c>
      <c r="B74" s="1" t="s">
        <v>110</v>
      </c>
      <c r="D74" s="8"/>
      <c r="E74" s="9"/>
      <c r="F74" s="8"/>
      <c r="G74" s="9"/>
      <c r="H74" s="8"/>
      <c r="I74" s="8"/>
      <c r="J74" s="1">
        <v>2011</v>
      </c>
      <c r="K74" s="1" t="s">
        <v>25</v>
      </c>
      <c r="L74" s="1">
        <v>2021</v>
      </c>
      <c r="M74" s="1" t="s">
        <v>1599</v>
      </c>
      <c r="N74" s="6">
        <v>40764</v>
      </c>
      <c r="O74" s="6">
        <v>23758</v>
      </c>
      <c r="P74" s="21">
        <v>0.58281817289765481</v>
      </c>
      <c r="Q74" s="1">
        <v>0</v>
      </c>
      <c r="R74" s="1" t="s">
        <v>1821</v>
      </c>
      <c r="S74" s="1" t="s">
        <v>18</v>
      </c>
      <c r="T74" s="1">
        <v>0.60599999999999998</v>
      </c>
      <c r="U74" s="22">
        <v>44554</v>
      </c>
      <c r="V74" s="8"/>
    </row>
    <row r="75" spans="1:22" x14ac:dyDescent="0.3">
      <c r="A75" s="1" t="s">
        <v>82</v>
      </c>
      <c r="B75" s="1" t="s">
        <v>110</v>
      </c>
      <c r="D75" s="8"/>
      <c r="E75" s="9"/>
      <c r="F75" s="8"/>
      <c r="G75" s="9"/>
      <c r="H75" s="8"/>
      <c r="I75" s="8"/>
      <c r="J75" s="1">
        <v>1997</v>
      </c>
      <c r="K75" s="1" t="s">
        <v>19</v>
      </c>
      <c r="L75" s="1">
        <v>2021</v>
      </c>
      <c r="M75" s="1" t="s">
        <v>1599</v>
      </c>
      <c r="N75" s="6">
        <v>5910</v>
      </c>
      <c r="O75" s="6">
        <v>3633</v>
      </c>
      <c r="P75" s="21">
        <v>0.61472081218274111</v>
      </c>
      <c r="Q75" s="1">
        <v>0</v>
      </c>
      <c r="R75" s="1" t="s">
        <v>1821</v>
      </c>
      <c r="S75" s="1" t="s">
        <v>18</v>
      </c>
      <c r="T75" s="1">
        <v>0.60599999999999998</v>
      </c>
      <c r="U75" s="22">
        <v>44554</v>
      </c>
      <c r="V75" s="8"/>
    </row>
    <row r="76" spans="1:22" x14ac:dyDescent="0.3">
      <c r="A76" s="1" t="s">
        <v>82</v>
      </c>
      <c r="B76" s="1" t="s">
        <v>110</v>
      </c>
      <c r="D76" s="8"/>
      <c r="E76" s="9"/>
      <c r="F76" s="8"/>
      <c r="G76" s="9"/>
      <c r="H76" s="8"/>
      <c r="I76" s="8"/>
      <c r="J76" s="1">
        <v>2008</v>
      </c>
      <c r="K76" s="1" t="s">
        <v>19</v>
      </c>
      <c r="L76" s="1">
        <v>2021</v>
      </c>
      <c r="M76" s="1" t="s">
        <v>1599</v>
      </c>
      <c r="N76" s="6">
        <v>7373</v>
      </c>
      <c r="O76" s="6">
        <v>3708</v>
      </c>
      <c r="P76" s="21">
        <v>0.50291604502916043</v>
      </c>
      <c r="Q76" s="1">
        <v>0</v>
      </c>
      <c r="R76" s="1" t="s">
        <v>1821</v>
      </c>
      <c r="S76" s="1" t="s">
        <v>18</v>
      </c>
      <c r="T76" s="1">
        <v>0.60599999999999998</v>
      </c>
      <c r="U76" s="22">
        <v>44554</v>
      </c>
      <c r="V76" s="8"/>
    </row>
    <row r="77" spans="1:22" x14ac:dyDescent="0.3">
      <c r="A77" s="1" t="s">
        <v>82</v>
      </c>
      <c r="B77" s="1" t="s">
        <v>110</v>
      </c>
      <c r="D77" s="8"/>
      <c r="E77" s="9"/>
      <c r="F77" s="8"/>
      <c r="G77" s="9"/>
      <c r="H77" s="8"/>
      <c r="I77" s="8"/>
      <c r="J77" s="1">
        <v>1998</v>
      </c>
      <c r="N77" s="6">
        <v>10454</v>
      </c>
      <c r="O77" s="6">
        <v>6597</v>
      </c>
      <c r="P77" s="21">
        <v>0.63105031566864356</v>
      </c>
      <c r="Q77" s="1">
        <v>0</v>
      </c>
      <c r="R77" s="1" t="s">
        <v>1821</v>
      </c>
      <c r="S77" s="1" t="s">
        <v>18</v>
      </c>
      <c r="T77" s="1">
        <v>0.60599999999999998</v>
      </c>
      <c r="U77" s="22">
        <v>44554</v>
      </c>
      <c r="V77" s="8"/>
    </row>
    <row r="78" spans="1:22" x14ac:dyDescent="0.3">
      <c r="A78" s="1" t="s">
        <v>82</v>
      </c>
      <c r="B78" s="1" t="s">
        <v>110</v>
      </c>
      <c r="D78" s="8"/>
      <c r="E78" s="9"/>
      <c r="F78" s="8"/>
      <c r="G78" s="9"/>
      <c r="H78" s="8"/>
      <c r="I78" s="8"/>
      <c r="J78" s="1">
        <v>2021</v>
      </c>
      <c r="K78" s="1" t="s">
        <v>19</v>
      </c>
      <c r="L78" s="1">
        <v>2022</v>
      </c>
      <c r="M78" s="1" t="s">
        <v>1783</v>
      </c>
      <c r="N78" s="6">
        <v>5717</v>
      </c>
      <c r="O78" s="6">
        <v>4758</v>
      </c>
      <c r="P78" s="21">
        <v>0.83225467902746197</v>
      </c>
      <c r="Q78" s="1">
        <v>0</v>
      </c>
      <c r="R78" s="1" t="s">
        <v>1821</v>
      </c>
      <c r="S78" s="1" t="s">
        <v>18</v>
      </c>
      <c r="T78" s="1">
        <v>0.53400000000000003</v>
      </c>
      <c r="U78" s="22">
        <v>44279</v>
      </c>
      <c r="V78" s="8"/>
    </row>
    <row r="79" spans="1:22" x14ac:dyDescent="0.3">
      <c r="A79" s="1" t="s">
        <v>82</v>
      </c>
      <c r="B79" s="1" t="s">
        <v>110</v>
      </c>
      <c r="D79" s="8"/>
      <c r="E79" s="9"/>
      <c r="F79" s="8"/>
      <c r="G79" s="9"/>
      <c r="H79" s="8"/>
      <c r="I79" s="8"/>
      <c r="J79" s="1">
        <v>1976</v>
      </c>
      <c r="N79" s="6">
        <v>5617</v>
      </c>
      <c r="O79" s="6">
        <v>3546</v>
      </c>
      <c r="P79" s="21">
        <v>0.63129784582517356</v>
      </c>
      <c r="Q79" s="1">
        <v>0</v>
      </c>
      <c r="R79" s="1" t="s">
        <v>1821</v>
      </c>
      <c r="S79" s="1" t="s">
        <v>18</v>
      </c>
      <c r="T79" s="1">
        <v>0.53400000000000003</v>
      </c>
      <c r="U79" s="22">
        <v>44279</v>
      </c>
      <c r="V79" s="8"/>
    </row>
    <row r="80" spans="1:22" x14ac:dyDescent="0.3">
      <c r="A80" s="1" t="s">
        <v>82</v>
      </c>
      <c r="B80" s="1" t="s">
        <v>110</v>
      </c>
      <c r="D80" s="8"/>
      <c r="E80" s="9"/>
      <c r="F80" s="8"/>
      <c r="G80" s="9"/>
      <c r="H80" s="8"/>
      <c r="I80" s="8"/>
      <c r="J80" s="1">
        <v>1999</v>
      </c>
      <c r="N80" s="6">
        <v>12130</v>
      </c>
      <c r="O80" s="6">
        <v>9035</v>
      </c>
      <c r="P80" s="21">
        <v>0.74484748557295966</v>
      </c>
      <c r="Q80" s="1">
        <v>0</v>
      </c>
      <c r="R80" s="1" t="s">
        <v>1821</v>
      </c>
      <c r="S80" s="1" t="s">
        <v>18</v>
      </c>
      <c r="T80" s="1">
        <v>0.53400000000000003</v>
      </c>
      <c r="U80" s="22">
        <v>44279</v>
      </c>
      <c r="V80" s="8"/>
    </row>
    <row r="81" spans="1:22" x14ac:dyDescent="0.3">
      <c r="A81" s="1" t="s">
        <v>82</v>
      </c>
      <c r="B81" s="1" t="s">
        <v>110</v>
      </c>
      <c r="D81" s="8"/>
      <c r="E81" s="9"/>
      <c r="F81" s="8"/>
      <c r="G81" s="9"/>
      <c r="H81" s="8"/>
      <c r="I81" s="8"/>
      <c r="J81" s="1">
        <v>1999</v>
      </c>
      <c r="K81" s="1" t="s">
        <v>19</v>
      </c>
      <c r="L81" s="1">
        <v>2022</v>
      </c>
      <c r="M81" s="1" t="s">
        <v>1783</v>
      </c>
      <c r="N81" s="6">
        <v>19178</v>
      </c>
      <c r="O81" s="6">
        <v>11559</v>
      </c>
      <c r="P81" s="21">
        <v>0.60272186880800915</v>
      </c>
      <c r="Q81" s="1">
        <v>0</v>
      </c>
      <c r="R81" s="1" t="s">
        <v>1821</v>
      </c>
      <c r="S81" s="1" t="s">
        <v>18</v>
      </c>
      <c r="T81" s="1">
        <v>0.53400000000000003</v>
      </c>
      <c r="U81" s="22">
        <v>44279</v>
      </c>
      <c r="V81" s="8"/>
    </row>
    <row r="82" spans="1:22" x14ac:dyDescent="0.3">
      <c r="A82" s="1" t="s">
        <v>82</v>
      </c>
      <c r="B82" s="1" t="s">
        <v>110</v>
      </c>
      <c r="D82" s="8"/>
      <c r="E82" s="9"/>
      <c r="F82" s="8"/>
      <c r="G82" s="9"/>
      <c r="H82" s="8"/>
      <c r="I82" s="8"/>
      <c r="J82" s="1">
        <v>1999</v>
      </c>
      <c r="K82" s="1" t="s">
        <v>21</v>
      </c>
      <c r="L82" s="1">
        <v>2020</v>
      </c>
      <c r="M82" s="1" t="s">
        <v>1611</v>
      </c>
      <c r="N82" s="6">
        <v>7584</v>
      </c>
      <c r="O82" s="6">
        <v>5115</v>
      </c>
      <c r="P82" s="21">
        <v>0.67444620253164556</v>
      </c>
      <c r="Q82" s="1">
        <v>0</v>
      </c>
      <c r="R82" s="1" t="s">
        <v>1821</v>
      </c>
      <c r="S82" s="1" t="s">
        <v>18</v>
      </c>
      <c r="T82" s="1">
        <v>0.53400000000000003</v>
      </c>
      <c r="U82" s="22">
        <v>44279</v>
      </c>
      <c r="V82" s="8"/>
    </row>
    <row r="83" spans="1:22" x14ac:dyDescent="0.3">
      <c r="A83" s="1" t="s">
        <v>82</v>
      </c>
      <c r="B83" s="1" t="s">
        <v>110</v>
      </c>
      <c r="D83" s="8"/>
      <c r="E83" s="9" t="s">
        <v>18</v>
      </c>
      <c r="F83" s="8"/>
      <c r="G83" s="9" t="s">
        <v>18</v>
      </c>
      <c r="H83" s="8"/>
      <c r="I83" s="8" t="s">
        <v>18</v>
      </c>
      <c r="J83" s="1">
        <v>1976</v>
      </c>
      <c r="N83" s="6">
        <v>8948</v>
      </c>
      <c r="O83" s="6">
        <v>4815</v>
      </c>
      <c r="P83" s="21">
        <v>0.53810907465355384</v>
      </c>
      <c r="Q83" s="1">
        <v>0</v>
      </c>
      <c r="R83" s="1" t="s">
        <v>28</v>
      </c>
      <c r="S83" s="1" t="s">
        <v>18</v>
      </c>
      <c r="T83" s="1" t="s">
        <v>18</v>
      </c>
      <c r="U83" s="22" t="s">
        <v>18</v>
      </c>
      <c r="V83" s="8"/>
    </row>
    <row r="84" spans="1:22" x14ac:dyDescent="0.3">
      <c r="A84" s="1" t="s">
        <v>82</v>
      </c>
      <c r="B84" s="1" t="s">
        <v>110</v>
      </c>
      <c r="D84" s="8"/>
      <c r="E84" s="9"/>
      <c r="F84" s="8"/>
      <c r="G84" s="9"/>
      <c r="H84" s="8"/>
      <c r="I84" s="8"/>
      <c r="J84" s="1">
        <v>1976</v>
      </c>
      <c r="N84" s="6">
        <v>12453</v>
      </c>
      <c r="O84" s="6">
        <v>11560</v>
      </c>
      <c r="P84" s="21">
        <v>0.92829037179796037</v>
      </c>
      <c r="Q84" s="1">
        <v>0</v>
      </c>
      <c r="R84" s="1" t="s">
        <v>1821</v>
      </c>
      <c r="S84" s="1" t="s">
        <v>18</v>
      </c>
      <c r="T84" s="1">
        <v>0.53400000000000003</v>
      </c>
      <c r="U84" s="22">
        <v>44279</v>
      </c>
      <c r="V84" s="8"/>
    </row>
    <row r="85" spans="1:22" x14ac:dyDescent="0.3">
      <c r="A85" s="1" t="s">
        <v>82</v>
      </c>
      <c r="B85" s="1" t="s">
        <v>110</v>
      </c>
      <c r="D85" s="8"/>
      <c r="E85" s="9"/>
      <c r="F85" s="8"/>
      <c r="G85" s="9"/>
      <c r="H85" s="8"/>
      <c r="I85" s="8"/>
      <c r="J85" s="1">
        <v>1976</v>
      </c>
      <c r="N85" s="6">
        <v>8663</v>
      </c>
      <c r="O85" s="6">
        <v>5119</v>
      </c>
      <c r="P85" s="21">
        <v>0.59090384393397211</v>
      </c>
      <c r="Q85" s="1">
        <v>0</v>
      </c>
      <c r="R85" s="1" t="s">
        <v>1821</v>
      </c>
      <c r="S85" s="1" t="s">
        <v>18</v>
      </c>
      <c r="T85" s="1">
        <v>0.53400000000000003</v>
      </c>
      <c r="U85" s="22">
        <v>44279</v>
      </c>
      <c r="V85" s="8"/>
    </row>
    <row r="86" spans="1:22" x14ac:dyDescent="0.3">
      <c r="A86" s="1" t="s">
        <v>82</v>
      </c>
      <c r="B86" s="1" t="s">
        <v>110</v>
      </c>
      <c r="D86" s="8"/>
      <c r="E86" s="9"/>
      <c r="F86" s="8"/>
      <c r="G86" s="9"/>
      <c r="H86" s="8"/>
      <c r="I86" s="8"/>
      <c r="J86" s="1">
        <v>2021</v>
      </c>
      <c r="K86" s="1" t="s">
        <v>19</v>
      </c>
      <c r="L86" s="1">
        <v>2022</v>
      </c>
      <c r="M86" s="1" t="s">
        <v>1783</v>
      </c>
      <c r="N86" s="6">
        <v>15737</v>
      </c>
      <c r="O86" s="6">
        <v>10079</v>
      </c>
      <c r="P86" s="21">
        <v>0.64046514583465719</v>
      </c>
      <c r="Q86" s="1">
        <v>0</v>
      </c>
      <c r="R86" s="1" t="s">
        <v>1821</v>
      </c>
      <c r="S86" s="1" t="s">
        <v>18</v>
      </c>
      <c r="T86" s="1">
        <v>0.53400000000000003</v>
      </c>
      <c r="U86" s="22">
        <v>44279</v>
      </c>
      <c r="V86" s="8"/>
    </row>
    <row r="87" spans="1:22" x14ac:dyDescent="0.3">
      <c r="A87" s="1" t="s">
        <v>82</v>
      </c>
      <c r="B87" s="1" t="s">
        <v>110</v>
      </c>
      <c r="D87" s="8"/>
      <c r="E87" s="9"/>
      <c r="F87" s="8"/>
      <c r="G87" s="9"/>
      <c r="H87" s="8"/>
      <c r="I87" s="8"/>
      <c r="J87" s="1">
        <v>1976</v>
      </c>
      <c r="N87" s="6">
        <v>9395</v>
      </c>
      <c r="O87" s="6">
        <v>7438</v>
      </c>
      <c r="P87" s="21">
        <v>0.79169771154869617</v>
      </c>
      <c r="Q87" s="1">
        <v>0</v>
      </c>
      <c r="R87" s="1" t="s">
        <v>1821</v>
      </c>
      <c r="S87" s="1" t="s">
        <v>18</v>
      </c>
      <c r="T87" s="1">
        <v>0.53400000000000003</v>
      </c>
      <c r="U87" s="22">
        <v>44279</v>
      </c>
      <c r="V87" s="8"/>
    </row>
    <row r="88" spans="1:22" x14ac:dyDescent="0.3">
      <c r="A88" s="1" t="s">
        <v>82</v>
      </c>
      <c r="B88" s="1" t="s">
        <v>110</v>
      </c>
      <c r="D88" s="8"/>
      <c r="E88" s="9"/>
      <c r="F88" s="8"/>
      <c r="G88" s="9"/>
      <c r="H88" s="8"/>
      <c r="I88" s="8"/>
      <c r="J88" s="1">
        <v>1998</v>
      </c>
      <c r="N88" s="6">
        <v>8318</v>
      </c>
      <c r="O88" s="6">
        <v>5821</v>
      </c>
      <c r="P88" s="21">
        <v>0.69980764606876655</v>
      </c>
      <c r="Q88" s="1">
        <v>0</v>
      </c>
      <c r="R88" s="1" t="s">
        <v>1821</v>
      </c>
      <c r="S88" s="1" t="s">
        <v>18</v>
      </c>
      <c r="T88" s="1">
        <v>0.53400000000000003</v>
      </c>
      <c r="U88" s="22">
        <v>44279</v>
      </c>
      <c r="V88" s="8"/>
    </row>
    <row r="89" spans="1:22" x14ac:dyDescent="0.3">
      <c r="A89" s="1" t="s">
        <v>82</v>
      </c>
      <c r="B89" s="1" t="s">
        <v>110</v>
      </c>
      <c r="D89" s="8"/>
      <c r="E89" s="9"/>
      <c r="F89" s="8"/>
      <c r="G89" s="9"/>
      <c r="H89" s="8"/>
      <c r="I89" s="8"/>
      <c r="J89" s="1">
        <v>1976</v>
      </c>
      <c r="K89" s="1" t="s">
        <v>19</v>
      </c>
      <c r="L89" s="1">
        <v>2019</v>
      </c>
      <c r="M89" s="1" t="s">
        <v>1599</v>
      </c>
      <c r="N89" s="6">
        <v>19015</v>
      </c>
      <c r="O89" s="6">
        <v>11218</v>
      </c>
      <c r="P89" s="21">
        <v>0.58995529844859318</v>
      </c>
      <c r="Q89" s="1">
        <v>0</v>
      </c>
      <c r="R89" s="1" t="s">
        <v>1821</v>
      </c>
      <c r="S89" s="1" t="s">
        <v>18</v>
      </c>
      <c r="T89" s="1">
        <v>0.53400000000000003</v>
      </c>
      <c r="U89" s="22">
        <v>44279</v>
      </c>
      <c r="V89" s="8"/>
    </row>
    <row r="90" spans="1:22" x14ac:dyDescent="0.3">
      <c r="A90" s="1" t="s">
        <v>82</v>
      </c>
      <c r="B90" s="1" t="s">
        <v>110</v>
      </c>
      <c r="D90" s="8"/>
      <c r="E90" s="9"/>
      <c r="F90" s="8"/>
      <c r="G90" s="9"/>
      <c r="H90" s="8"/>
      <c r="I90" s="8"/>
      <c r="J90" s="1">
        <v>1976</v>
      </c>
      <c r="N90" s="6">
        <v>9410</v>
      </c>
      <c r="O90" s="6">
        <v>5755</v>
      </c>
      <c r="P90" s="21">
        <v>0.61158342189160464</v>
      </c>
      <c r="Q90" s="1">
        <v>0</v>
      </c>
      <c r="R90" s="1" t="s">
        <v>1821</v>
      </c>
      <c r="S90" s="1" t="s">
        <v>18</v>
      </c>
      <c r="T90" s="1">
        <v>0.53400000000000003</v>
      </c>
      <c r="U90" s="22">
        <v>44279</v>
      </c>
      <c r="V90" s="8"/>
    </row>
    <row r="91" spans="1:22" x14ac:dyDescent="0.3">
      <c r="A91" s="1" t="s">
        <v>82</v>
      </c>
      <c r="B91" s="1" t="s">
        <v>110</v>
      </c>
      <c r="D91" s="8"/>
      <c r="E91" s="9"/>
      <c r="F91" s="8"/>
      <c r="G91" s="9"/>
      <c r="H91" s="8"/>
      <c r="I91" s="8"/>
      <c r="J91" s="1">
        <v>2009</v>
      </c>
      <c r="K91" s="1" t="s">
        <v>19</v>
      </c>
      <c r="L91" s="1">
        <v>2018</v>
      </c>
      <c r="M91" s="1" t="s">
        <v>1601</v>
      </c>
      <c r="N91" s="6">
        <v>12289</v>
      </c>
      <c r="O91" s="6">
        <v>9622</v>
      </c>
      <c r="P91" s="21">
        <v>0.78297664578077952</v>
      </c>
      <c r="Q91" s="1">
        <v>0</v>
      </c>
      <c r="R91" s="1" t="s">
        <v>1821</v>
      </c>
      <c r="S91" s="1" t="s">
        <v>18</v>
      </c>
      <c r="T91" s="1">
        <v>0.53400000000000003</v>
      </c>
      <c r="U91" s="22">
        <v>44279</v>
      </c>
      <c r="V91" s="8"/>
    </row>
    <row r="92" spans="1:22" x14ac:dyDescent="0.3">
      <c r="A92" s="1" t="s">
        <v>82</v>
      </c>
      <c r="B92" s="1" t="s">
        <v>110</v>
      </c>
      <c r="D92" s="8"/>
      <c r="E92" s="9"/>
      <c r="F92" s="8"/>
      <c r="G92" s="9"/>
      <c r="H92" s="8"/>
      <c r="I92" s="8"/>
      <c r="J92" s="1">
        <v>1980</v>
      </c>
      <c r="N92" s="6">
        <v>7971</v>
      </c>
      <c r="O92" s="6">
        <v>3922</v>
      </c>
      <c r="P92" s="21">
        <v>0.49203362187931249</v>
      </c>
      <c r="Q92" s="1">
        <v>0</v>
      </c>
      <c r="R92" s="1" t="s">
        <v>1821</v>
      </c>
      <c r="S92" s="1" t="s">
        <v>18</v>
      </c>
      <c r="T92" s="1">
        <v>0.56999999999999995</v>
      </c>
      <c r="U92" s="22">
        <v>44279</v>
      </c>
      <c r="V92" s="8"/>
    </row>
    <row r="93" spans="1:22" x14ac:dyDescent="0.3">
      <c r="A93" s="1" t="s">
        <v>82</v>
      </c>
      <c r="B93" s="1" t="s">
        <v>110</v>
      </c>
      <c r="D93" s="8"/>
      <c r="E93" s="9"/>
      <c r="F93" s="8"/>
      <c r="G93" s="9"/>
      <c r="H93" s="8"/>
      <c r="I93" s="8"/>
      <c r="J93" s="1">
        <v>1993</v>
      </c>
      <c r="N93" s="6">
        <v>8164</v>
      </c>
      <c r="O93" s="6">
        <v>5214</v>
      </c>
      <c r="P93" s="21">
        <v>0.63865752082312588</v>
      </c>
      <c r="Q93" s="1">
        <v>0</v>
      </c>
      <c r="R93" s="1" t="s">
        <v>1821</v>
      </c>
      <c r="S93" s="1" t="s">
        <v>18</v>
      </c>
      <c r="T93" s="1">
        <v>0.56999999999999995</v>
      </c>
      <c r="U93" s="22">
        <v>44279</v>
      </c>
      <c r="V93" s="8"/>
    </row>
    <row r="94" spans="1:22" x14ac:dyDescent="0.3">
      <c r="A94" s="1" t="s">
        <v>82</v>
      </c>
      <c r="B94" s="1" t="s">
        <v>110</v>
      </c>
      <c r="D94" s="8"/>
      <c r="E94" s="9"/>
      <c r="F94" s="8"/>
      <c r="G94" s="9"/>
      <c r="H94" s="8"/>
      <c r="I94" s="8"/>
      <c r="J94" s="1">
        <v>1981</v>
      </c>
      <c r="N94" s="6">
        <v>6413</v>
      </c>
      <c r="O94" s="6">
        <v>2637</v>
      </c>
      <c r="P94" s="21">
        <v>0.41119600810852958</v>
      </c>
      <c r="Q94" s="1">
        <v>0</v>
      </c>
      <c r="R94" s="1" t="s">
        <v>1821</v>
      </c>
      <c r="S94" s="1" t="s">
        <v>18</v>
      </c>
      <c r="T94" s="1">
        <v>0.56999999999999995</v>
      </c>
      <c r="U94" s="22">
        <v>44279</v>
      </c>
      <c r="V94" s="8"/>
    </row>
    <row r="95" spans="1:22" x14ac:dyDescent="0.3">
      <c r="A95" s="1" t="s">
        <v>82</v>
      </c>
      <c r="B95" s="1" t="s">
        <v>110</v>
      </c>
      <c r="D95" s="8"/>
      <c r="E95" s="9"/>
      <c r="F95" s="8"/>
      <c r="G95" s="9"/>
      <c r="H95" s="8"/>
      <c r="I95" s="8"/>
      <c r="J95" s="1">
        <v>1980</v>
      </c>
      <c r="N95" s="6">
        <v>7530</v>
      </c>
      <c r="O95" s="6">
        <v>4038</v>
      </c>
      <c r="P95" s="21">
        <v>0.53625498007968131</v>
      </c>
      <c r="Q95" s="1">
        <v>0</v>
      </c>
      <c r="R95" s="1" t="s">
        <v>1821</v>
      </c>
      <c r="S95" s="1" t="s">
        <v>18</v>
      </c>
      <c r="T95" s="1">
        <v>0.56999999999999995</v>
      </c>
      <c r="U95" s="22">
        <v>44279</v>
      </c>
      <c r="V95" s="8"/>
    </row>
    <row r="96" spans="1:22" x14ac:dyDescent="0.3">
      <c r="A96" s="1" t="s">
        <v>82</v>
      </c>
      <c r="B96" s="1" t="s">
        <v>110</v>
      </c>
      <c r="D96" s="8"/>
      <c r="E96" s="9"/>
      <c r="F96" s="8"/>
      <c r="G96" s="9"/>
      <c r="H96" s="8"/>
      <c r="I96" s="8"/>
      <c r="J96" s="1">
        <v>1980</v>
      </c>
      <c r="N96" s="6">
        <v>6770</v>
      </c>
      <c r="O96" s="6">
        <v>3777</v>
      </c>
      <c r="P96" s="21">
        <v>0.55790251107828659</v>
      </c>
      <c r="Q96" s="1">
        <v>0</v>
      </c>
      <c r="R96" s="1" t="s">
        <v>1821</v>
      </c>
      <c r="S96" s="1" t="s">
        <v>18</v>
      </c>
      <c r="T96" s="1">
        <v>0.56999999999999995</v>
      </c>
      <c r="U96" s="22">
        <v>44279</v>
      </c>
      <c r="V96" s="8"/>
    </row>
    <row r="97" spans="1:22" x14ac:dyDescent="0.3">
      <c r="A97" s="1" t="s">
        <v>82</v>
      </c>
      <c r="B97" s="1" t="s">
        <v>110</v>
      </c>
      <c r="D97" s="8"/>
      <c r="E97" s="9"/>
      <c r="F97" s="8"/>
      <c r="G97" s="9"/>
      <c r="H97" s="8"/>
      <c r="I97" s="8"/>
      <c r="J97" s="1">
        <v>1999</v>
      </c>
      <c r="K97" s="1" t="s">
        <v>19</v>
      </c>
      <c r="L97" s="1">
        <v>2017</v>
      </c>
      <c r="M97" s="1" t="s">
        <v>1601</v>
      </c>
      <c r="N97" s="6">
        <v>16206</v>
      </c>
      <c r="O97" s="6">
        <v>12320</v>
      </c>
      <c r="P97" s="21">
        <v>0.76021226706158218</v>
      </c>
      <c r="Q97" s="1">
        <v>0</v>
      </c>
      <c r="R97" s="1" t="s">
        <v>1821</v>
      </c>
      <c r="S97" s="1" t="s">
        <v>18</v>
      </c>
      <c r="T97" s="1">
        <v>0.56999999999999995</v>
      </c>
      <c r="U97" s="22">
        <v>44279</v>
      </c>
      <c r="V97" s="8"/>
    </row>
    <row r="98" spans="1:22" x14ac:dyDescent="0.3">
      <c r="A98" s="1" t="s">
        <v>82</v>
      </c>
      <c r="B98" s="1" t="s">
        <v>110</v>
      </c>
      <c r="D98" s="8"/>
      <c r="E98" s="9"/>
      <c r="F98" s="8"/>
      <c r="G98" s="9"/>
      <c r="H98" s="8"/>
      <c r="I98" s="8"/>
      <c r="J98" s="1">
        <v>2010</v>
      </c>
      <c r="N98" s="6">
        <v>11709</v>
      </c>
      <c r="O98" s="6">
        <v>7977</v>
      </c>
      <c r="P98" s="21">
        <v>0.68127081732001027</v>
      </c>
      <c r="Q98" s="1">
        <v>0</v>
      </c>
      <c r="R98" s="1" t="s">
        <v>1821</v>
      </c>
      <c r="S98" s="1" t="s">
        <v>18</v>
      </c>
      <c r="T98" s="1">
        <v>0.56999999999999995</v>
      </c>
      <c r="U98" s="22">
        <v>44279</v>
      </c>
      <c r="V98" s="8"/>
    </row>
    <row r="99" spans="1:22" x14ac:dyDescent="0.3">
      <c r="A99" s="1" t="s">
        <v>82</v>
      </c>
      <c r="B99" s="1" t="s">
        <v>110</v>
      </c>
      <c r="D99" s="8"/>
      <c r="E99" s="9"/>
      <c r="F99" s="8"/>
      <c r="G99" s="9"/>
      <c r="H99" s="8"/>
      <c r="I99" s="8"/>
      <c r="J99" s="1">
        <v>2016</v>
      </c>
      <c r="K99" s="1" t="s">
        <v>19</v>
      </c>
      <c r="L99" s="1">
        <v>2014</v>
      </c>
      <c r="M99" s="1" t="s">
        <v>1598</v>
      </c>
      <c r="N99" s="6">
        <v>10475</v>
      </c>
      <c r="O99" s="6">
        <v>4827</v>
      </c>
      <c r="P99" s="21">
        <v>0.46081145584725536</v>
      </c>
      <c r="Q99" s="1">
        <v>0</v>
      </c>
      <c r="R99" s="1" t="s">
        <v>1821</v>
      </c>
      <c r="S99" s="1" t="s">
        <v>18</v>
      </c>
      <c r="T99" s="1">
        <v>0.56999999999999995</v>
      </c>
      <c r="U99" s="22">
        <v>44279</v>
      </c>
      <c r="V99" s="8"/>
    </row>
    <row r="100" spans="1:22" x14ac:dyDescent="0.3">
      <c r="A100" s="1" t="s">
        <v>82</v>
      </c>
      <c r="B100" s="1" t="s">
        <v>110</v>
      </c>
      <c r="D100" s="8"/>
      <c r="E100" s="9"/>
      <c r="F100" s="8"/>
      <c r="G100" s="9"/>
      <c r="H100" s="8"/>
      <c r="I100" s="8"/>
      <c r="J100" s="1">
        <v>2013</v>
      </c>
      <c r="K100" s="1" t="s">
        <v>19</v>
      </c>
      <c r="L100" s="1">
        <v>2013</v>
      </c>
      <c r="M100" s="1" t="s">
        <v>1600</v>
      </c>
      <c r="N100" s="6">
        <v>5256</v>
      </c>
      <c r="O100" s="6">
        <v>27982801</v>
      </c>
      <c r="P100" s="21">
        <v>5323.9727929984783</v>
      </c>
      <c r="Q100" s="1">
        <v>0</v>
      </c>
      <c r="R100" s="1" t="s">
        <v>1821</v>
      </c>
      <c r="S100" s="1" t="s">
        <v>18</v>
      </c>
      <c r="T100" s="1">
        <v>0.56999999999999995</v>
      </c>
      <c r="U100" s="22">
        <v>44279</v>
      </c>
      <c r="V100" s="8"/>
    </row>
    <row r="101" spans="1:22" x14ac:dyDescent="0.3">
      <c r="A101" s="1" t="s">
        <v>82</v>
      </c>
      <c r="B101" s="1" t="s">
        <v>110</v>
      </c>
      <c r="D101" s="8"/>
      <c r="E101" s="9"/>
      <c r="F101" s="8"/>
      <c r="G101" s="9"/>
      <c r="H101" s="8"/>
      <c r="I101" s="8"/>
      <c r="J101" s="1">
        <v>2009</v>
      </c>
      <c r="K101" s="1" t="s">
        <v>25</v>
      </c>
      <c r="L101" s="1">
        <v>2015</v>
      </c>
      <c r="M101" s="1" t="s">
        <v>1601</v>
      </c>
      <c r="N101" s="6">
        <v>16626</v>
      </c>
      <c r="O101" s="6">
        <v>13545</v>
      </c>
      <c r="P101" s="21">
        <v>0.81468783832551428</v>
      </c>
      <c r="Q101" s="1">
        <v>0</v>
      </c>
      <c r="R101" s="1" t="s">
        <v>1821</v>
      </c>
      <c r="S101" s="1" t="s">
        <v>18</v>
      </c>
      <c r="T101" s="1">
        <v>0.93500000000000005</v>
      </c>
      <c r="U101" s="22">
        <v>43571</v>
      </c>
      <c r="V101" s="8"/>
    </row>
    <row r="102" spans="1:22" x14ac:dyDescent="0.3">
      <c r="A102" s="1" t="s">
        <v>82</v>
      </c>
      <c r="B102" s="1" t="s">
        <v>110</v>
      </c>
      <c r="D102" s="8"/>
      <c r="E102" s="9" t="s">
        <v>18</v>
      </c>
      <c r="F102" s="8"/>
      <c r="G102" s="9" t="s">
        <v>18</v>
      </c>
      <c r="H102" s="8"/>
      <c r="I102" s="8" t="s">
        <v>18</v>
      </c>
      <c r="J102" s="1">
        <v>1984</v>
      </c>
      <c r="N102" s="6">
        <v>14464</v>
      </c>
      <c r="O102" s="6">
        <v>11559</v>
      </c>
      <c r="P102" s="21">
        <v>0.79915652654867253</v>
      </c>
      <c r="Q102" s="1">
        <v>0</v>
      </c>
      <c r="R102" s="1" t="s">
        <v>1589</v>
      </c>
      <c r="S102" s="1">
        <v>25</v>
      </c>
      <c r="T102" s="1" t="s">
        <v>18</v>
      </c>
      <c r="U102" s="22" t="s">
        <v>18</v>
      </c>
      <c r="V102" s="8"/>
    </row>
    <row r="103" spans="1:22" x14ac:dyDescent="0.3">
      <c r="A103" s="1" t="s">
        <v>82</v>
      </c>
      <c r="B103" s="1" t="s">
        <v>110</v>
      </c>
      <c r="D103" s="8"/>
      <c r="E103" s="9" t="s">
        <v>18</v>
      </c>
      <c r="F103" s="8"/>
      <c r="G103" s="9" t="s">
        <v>18</v>
      </c>
      <c r="H103" s="8"/>
      <c r="I103" s="8" t="s">
        <v>18</v>
      </c>
      <c r="J103" s="1">
        <v>2001</v>
      </c>
      <c r="K103" s="1" t="s">
        <v>19</v>
      </c>
      <c r="L103" s="1">
        <v>2020</v>
      </c>
      <c r="M103" s="1" t="s">
        <v>1601</v>
      </c>
      <c r="N103" s="6">
        <v>6462</v>
      </c>
      <c r="O103" s="6">
        <v>5323</v>
      </c>
      <c r="P103" s="21">
        <v>0.82373878056329308</v>
      </c>
      <c r="Q103" s="1">
        <v>0</v>
      </c>
      <c r="R103" s="1" t="s">
        <v>28</v>
      </c>
      <c r="S103" s="1" t="s">
        <v>18</v>
      </c>
      <c r="T103" s="1" t="s">
        <v>18</v>
      </c>
      <c r="U103" s="22" t="s">
        <v>18</v>
      </c>
      <c r="V103" s="8"/>
    </row>
    <row r="104" spans="1:22" x14ac:dyDescent="0.3">
      <c r="A104" s="1" t="s">
        <v>82</v>
      </c>
      <c r="B104" s="1" t="s">
        <v>110</v>
      </c>
      <c r="D104" s="8"/>
      <c r="E104" s="9" t="s">
        <v>18</v>
      </c>
      <c r="F104" s="8"/>
      <c r="G104" s="9" t="s">
        <v>18</v>
      </c>
      <c r="H104" s="8"/>
      <c r="I104" s="8" t="s">
        <v>18</v>
      </c>
      <c r="J104" s="1">
        <v>2018</v>
      </c>
      <c r="K104" s="1" t="s">
        <v>19</v>
      </c>
      <c r="L104" s="1">
        <v>2017</v>
      </c>
      <c r="M104" s="1" t="s">
        <v>1598</v>
      </c>
      <c r="N104" s="6">
        <v>12799</v>
      </c>
      <c r="O104" s="6">
        <v>5620</v>
      </c>
      <c r="P104" s="21">
        <v>0.43909680443784671</v>
      </c>
      <c r="Q104" s="1">
        <v>0</v>
      </c>
      <c r="R104" s="1" t="s">
        <v>28</v>
      </c>
      <c r="S104" s="1" t="s">
        <v>18</v>
      </c>
      <c r="T104" s="1" t="s">
        <v>18</v>
      </c>
      <c r="U104" s="22" t="s">
        <v>18</v>
      </c>
      <c r="V104" s="8"/>
    </row>
    <row r="105" spans="1:22" x14ac:dyDescent="0.3">
      <c r="A105" s="1" t="s">
        <v>82</v>
      </c>
      <c r="B105" s="1" t="s">
        <v>110</v>
      </c>
      <c r="D105" s="8"/>
      <c r="E105" s="9"/>
      <c r="F105" s="8"/>
      <c r="G105" s="9"/>
      <c r="H105" s="8"/>
      <c r="I105" s="8"/>
      <c r="J105" s="1">
        <v>2005</v>
      </c>
      <c r="K105" s="1" t="s">
        <v>19</v>
      </c>
      <c r="L105" s="1">
        <v>2021</v>
      </c>
      <c r="M105" s="1" t="s">
        <v>1599</v>
      </c>
      <c r="N105" s="6">
        <v>21645</v>
      </c>
      <c r="O105" s="6">
        <v>17647</v>
      </c>
      <c r="P105" s="21">
        <v>0.81529221529221529</v>
      </c>
      <c r="Q105" s="1">
        <v>0</v>
      </c>
      <c r="R105" s="1" t="s">
        <v>1821</v>
      </c>
      <c r="S105" s="1" t="s">
        <v>18</v>
      </c>
      <c r="T105" s="1">
        <v>0.69699999999999995</v>
      </c>
      <c r="U105" s="22">
        <v>44501</v>
      </c>
      <c r="V105" s="8"/>
    </row>
    <row r="106" spans="1:22" x14ac:dyDescent="0.3">
      <c r="A106" s="1" t="s">
        <v>82</v>
      </c>
      <c r="B106" s="1" t="s">
        <v>110</v>
      </c>
      <c r="D106" s="8"/>
      <c r="E106" s="9"/>
      <c r="F106" s="8"/>
      <c r="G106" s="9"/>
      <c r="H106" s="8"/>
      <c r="I106" s="8"/>
      <c r="J106" s="1">
        <v>2000</v>
      </c>
      <c r="K106" s="1" t="s">
        <v>47</v>
      </c>
      <c r="L106" s="1">
        <v>2018</v>
      </c>
      <c r="M106" s="1" t="s">
        <v>1601</v>
      </c>
      <c r="N106" s="6">
        <v>23819</v>
      </c>
      <c r="O106" s="6">
        <v>10009</v>
      </c>
      <c r="P106" s="21">
        <v>0.42021075611906461</v>
      </c>
      <c r="Q106" s="1">
        <v>0</v>
      </c>
      <c r="R106" s="1" t="s">
        <v>1821</v>
      </c>
      <c r="S106" s="1" t="s">
        <v>18</v>
      </c>
      <c r="T106" s="1">
        <v>0.77500000000000002</v>
      </c>
      <c r="U106" s="22">
        <v>43630</v>
      </c>
      <c r="V106" s="8"/>
    </row>
    <row r="107" spans="1:22" x14ac:dyDescent="0.3">
      <c r="A107" s="1" t="s">
        <v>82</v>
      </c>
      <c r="B107" s="1" t="s">
        <v>110</v>
      </c>
      <c r="D107" s="8"/>
      <c r="E107" s="9"/>
      <c r="F107" s="8"/>
      <c r="G107" s="9"/>
      <c r="H107" s="8"/>
      <c r="I107" s="8"/>
      <c r="J107" s="1">
        <v>2021</v>
      </c>
      <c r="N107" s="6">
        <v>26036</v>
      </c>
      <c r="O107" s="6">
        <v>18347</v>
      </c>
      <c r="P107" s="21">
        <v>0.70467813796282075</v>
      </c>
      <c r="Q107" s="1">
        <v>0</v>
      </c>
      <c r="R107" s="1" t="s">
        <v>1821</v>
      </c>
      <c r="S107" s="1" t="s">
        <v>18</v>
      </c>
      <c r="T107" s="1">
        <v>0.56999999999999995</v>
      </c>
      <c r="U107" s="22">
        <v>44279</v>
      </c>
      <c r="V107" s="8"/>
    </row>
    <row r="108" spans="1:22" x14ac:dyDescent="0.3">
      <c r="A108" s="1" t="s">
        <v>82</v>
      </c>
      <c r="B108" s="1" t="s">
        <v>110</v>
      </c>
      <c r="D108" s="8"/>
      <c r="E108" s="9"/>
      <c r="F108" s="8"/>
      <c r="G108" s="9"/>
      <c r="H108" s="8"/>
      <c r="I108" s="8"/>
      <c r="J108" s="1">
        <v>1977</v>
      </c>
      <c r="N108" s="6">
        <v>6819</v>
      </c>
      <c r="O108" s="6">
        <v>5057</v>
      </c>
      <c r="P108" s="21">
        <v>0.74160434081243587</v>
      </c>
      <c r="Q108" s="1">
        <v>0</v>
      </c>
      <c r="R108" s="1" t="s">
        <v>1821</v>
      </c>
      <c r="S108" s="1" t="s">
        <v>18</v>
      </c>
      <c r="T108" s="1">
        <v>0.56999999999999995</v>
      </c>
      <c r="U108" s="22">
        <v>44279</v>
      </c>
      <c r="V108" s="8"/>
    </row>
    <row r="109" spans="1:22" x14ac:dyDescent="0.3">
      <c r="A109" s="1" t="s">
        <v>82</v>
      </c>
      <c r="B109" s="1" t="s">
        <v>110</v>
      </c>
      <c r="D109" s="8"/>
      <c r="E109" s="9" t="s">
        <v>18</v>
      </c>
      <c r="F109" s="8"/>
      <c r="G109" s="9" t="s">
        <v>18</v>
      </c>
      <c r="H109" s="8"/>
      <c r="I109" s="8" t="s">
        <v>18</v>
      </c>
      <c r="J109" s="1">
        <v>1985</v>
      </c>
      <c r="N109" s="6">
        <v>3143</v>
      </c>
      <c r="O109" s="6">
        <v>2500</v>
      </c>
      <c r="P109" s="21">
        <v>0.79541839007317849</v>
      </c>
      <c r="Q109" s="1">
        <v>0</v>
      </c>
      <c r="R109" s="1" t="s">
        <v>28</v>
      </c>
      <c r="S109" s="1" t="s">
        <v>18</v>
      </c>
      <c r="T109" s="1" t="s">
        <v>18</v>
      </c>
      <c r="U109" s="22" t="s">
        <v>18</v>
      </c>
      <c r="V109" s="8"/>
    </row>
    <row r="110" spans="1:22" x14ac:dyDescent="0.3">
      <c r="A110" s="1" t="s">
        <v>82</v>
      </c>
      <c r="B110" s="1" t="s">
        <v>110</v>
      </c>
      <c r="D110" s="8"/>
      <c r="E110" s="9" t="s">
        <v>18</v>
      </c>
      <c r="F110" s="8"/>
      <c r="G110" s="9" t="s">
        <v>18</v>
      </c>
      <c r="H110" s="8"/>
      <c r="I110" s="8" t="s">
        <v>18</v>
      </c>
      <c r="J110" s="1">
        <v>1979</v>
      </c>
      <c r="N110" s="6">
        <v>3744</v>
      </c>
      <c r="O110" s="6">
        <v>2809</v>
      </c>
      <c r="P110" s="21">
        <v>0.75026709401709402</v>
      </c>
      <c r="Q110" s="1">
        <v>0</v>
      </c>
      <c r="R110" s="1" t="s">
        <v>28</v>
      </c>
      <c r="S110" s="1" t="s">
        <v>18</v>
      </c>
      <c r="T110" s="1" t="s">
        <v>18</v>
      </c>
      <c r="U110" s="22" t="s">
        <v>18</v>
      </c>
      <c r="V110" s="8"/>
    </row>
    <row r="111" spans="1:22" x14ac:dyDescent="0.3">
      <c r="A111" s="1" t="s">
        <v>82</v>
      </c>
      <c r="B111" s="1" t="s">
        <v>110</v>
      </c>
      <c r="D111" s="8"/>
      <c r="E111" s="9"/>
      <c r="F111" s="8"/>
      <c r="G111" s="9"/>
      <c r="H111" s="8"/>
      <c r="I111" s="8"/>
      <c r="J111" s="1">
        <v>1999</v>
      </c>
      <c r="N111" s="6">
        <v>2372</v>
      </c>
      <c r="O111" s="6">
        <v>1365</v>
      </c>
      <c r="P111" s="21">
        <v>0.57546374367622255</v>
      </c>
      <c r="Q111" s="1">
        <v>0</v>
      </c>
      <c r="R111" s="1" t="s">
        <v>1821</v>
      </c>
      <c r="S111" s="1" t="s">
        <v>18</v>
      </c>
      <c r="T111" s="1">
        <v>0.56999999999999995</v>
      </c>
      <c r="U111" s="22">
        <v>44279</v>
      </c>
      <c r="V111" s="8"/>
    </row>
    <row r="112" spans="1:22" x14ac:dyDescent="0.3">
      <c r="A112" s="1" t="s">
        <v>82</v>
      </c>
      <c r="B112" s="1" t="s">
        <v>110</v>
      </c>
      <c r="D112" s="8"/>
      <c r="E112" s="9" t="s">
        <v>18</v>
      </c>
      <c r="F112" s="8"/>
      <c r="G112" s="9" t="s">
        <v>18</v>
      </c>
      <c r="H112" s="8"/>
      <c r="I112" s="8" t="s">
        <v>18</v>
      </c>
      <c r="J112" s="1">
        <v>2009</v>
      </c>
      <c r="N112" s="6">
        <v>2056</v>
      </c>
      <c r="O112" s="6">
        <v>1492</v>
      </c>
      <c r="P112" s="21">
        <v>0.72568093385214005</v>
      </c>
      <c r="Q112" s="1">
        <v>0</v>
      </c>
      <c r="R112" s="1" t="s">
        <v>28</v>
      </c>
      <c r="S112" s="1" t="s">
        <v>18</v>
      </c>
      <c r="T112" s="1" t="s">
        <v>18</v>
      </c>
      <c r="U112" s="22" t="s">
        <v>18</v>
      </c>
      <c r="V112" s="8"/>
    </row>
    <row r="113" spans="1:22" x14ac:dyDescent="0.3">
      <c r="A113" s="1" t="s">
        <v>82</v>
      </c>
      <c r="B113" s="1" t="s">
        <v>110</v>
      </c>
      <c r="D113" s="8"/>
      <c r="E113" s="9" t="s">
        <v>18</v>
      </c>
      <c r="F113" s="8"/>
      <c r="G113" s="9" t="s">
        <v>18</v>
      </c>
      <c r="H113" s="8"/>
      <c r="I113" s="8" t="s">
        <v>18</v>
      </c>
      <c r="J113" s="1">
        <v>1950</v>
      </c>
      <c r="N113" s="6">
        <v>995</v>
      </c>
      <c r="O113" s="6">
        <v>897</v>
      </c>
      <c r="P113" s="21">
        <v>0.90150753768844216</v>
      </c>
      <c r="Q113" s="1">
        <v>0</v>
      </c>
      <c r="R113" s="1" t="s">
        <v>28</v>
      </c>
      <c r="S113" s="1" t="s">
        <v>18</v>
      </c>
      <c r="T113" s="1" t="s">
        <v>18</v>
      </c>
      <c r="U113" s="22" t="s">
        <v>18</v>
      </c>
      <c r="V113" s="8"/>
    </row>
    <row r="114" spans="1:22" x14ac:dyDescent="0.3">
      <c r="A114" s="1" t="s">
        <v>82</v>
      </c>
      <c r="B114" s="1" t="s">
        <v>110</v>
      </c>
      <c r="D114" s="8"/>
      <c r="E114" s="9" t="s">
        <v>18</v>
      </c>
      <c r="F114" s="8"/>
      <c r="G114" s="9" t="s">
        <v>18</v>
      </c>
      <c r="H114" s="8"/>
      <c r="I114" s="8" t="s">
        <v>18</v>
      </c>
      <c r="J114" s="1">
        <v>1950</v>
      </c>
      <c r="N114" s="6">
        <v>775</v>
      </c>
      <c r="O114" s="6">
        <v>933</v>
      </c>
      <c r="P114" s="21">
        <v>1.2038709677419355</v>
      </c>
      <c r="Q114" s="1">
        <v>0</v>
      </c>
      <c r="R114" s="1" t="s">
        <v>28</v>
      </c>
      <c r="S114" s="1" t="s">
        <v>18</v>
      </c>
      <c r="T114" s="1" t="s">
        <v>18</v>
      </c>
      <c r="U114" s="22" t="s">
        <v>18</v>
      </c>
      <c r="V114" s="8"/>
    </row>
    <row r="115" spans="1:22" x14ac:dyDescent="0.3">
      <c r="A115" s="1" t="s">
        <v>82</v>
      </c>
      <c r="B115" s="1" t="s">
        <v>110</v>
      </c>
      <c r="D115" s="8"/>
      <c r="E115" s="9" t="s">
        <v>18</v>
      </c>
      <c r="F115" s="8"/>
      <c r="G115" s="9" t="s">
        <v>18</v>
      </c>
      <c r="H115" s="8"/>
      <c r="I115" s="8" t="s">
        <v>18</v>
      </c>
      <c r="J115" s="1">
        <v>1950</v>
      </c>
      <c r="N115" s="6">
        <v>264</v>
      </c>
      <c r="O115" s="6">
        <v>264</v>
      </c>
      <c r="P115" s="21">
        <v>1</v>
      </c>
      <c r="Q115" s="1">
        <v>0</v>
      </c>
      <c r="R115" s="1" t="s">
        <v>28</v>
      </c>
      <c r="S115" s="1" t="s">
        <v>18</v>
      </c>
      <c r="T115" s="1" t="s">
        <v>18</v>
      </c>
      <c r="U115" s="22" t="s">
        <v>18</v>
      </c>
      <c r="V115" s="8"/>
    </row>
    <row r="116" spans="1:22" x14ac:dyDescent="0.3">
      <c r="A116" s="1" t="s">
        <v>82</v>
      </c>
      <c r="B116" s="1" t="s">
        <v>1591</v>
      </c>
      <c r="D116" s="8">
        <v>136.03858883583072</v>
      </c>
      <c r="E116" s="9">
        <v>9</v>
      </c>
      <c r="F116" s="8">
        <v>168.30824962950766</v>
      </c>
      <c r="G116" s="9">
        <v>9</v>
      </c>
      <c r="H116" s="8">
        <v>144.85991272847028</v>
      </c>
      <c r="I116" s="8">
        <v>10</v>
      </c>
      <c r="J116" s="1">
        <v>1995</v>
      </c>
      <c r="N116" s="6">
        <v>6073</v>
      </c>
      <c r="O116" s="6">
        <v>4500</v>
      </c>
      <c r="P116" s="21">
        <v>0.74098468631648284</v>
      </c>
      <c r="Q116" s="1">
        <v>0</v>
      </c>
      <c r="R116" s="1" t="s">
        <v>28</v>
      </c>
      <c r="S116" s="1" t="s">
        <v>18</v>
      </c>
      <c r="T116" s="1" t="s">
        <v>18</v>
      </c>
      <c r="U116" s="22" t="s">
        <v>18</v>
      </c>
      <c r="V116" s="8"/>
    </row>
    <row r="117" spans="1:22" x14ac:dyDescent="0.3">
      <c r="A117" s="1" t="s">
        <v>82</v>
      </c>
      <c r="B117" s="1" t="s">
        <v>1591</v>
      </c>
      <c r="D117" s="8">
        <v>117.88431093252829</v>
      </c>
      <c r="E117" s="9">
        <v>7</v>
      </c>
      <c r="F117" s="8">
        <v>121.96434721602142</v>
      </c>
      <c r="G117" s="9">
        <v>7</v>
      </c>
      <c r="H117" s="8">
        <v>126.45799406141265</v>
      </c>
      <c r="I117" s="8">
        <v>9</v>
      </c>
      <c r="J117" s="1">
        <v>1998</v>
      </c>
      <c r="K117" s="1" t="s">
        <v>19</v>
      </c>
      <c r="L117" s="1">
        <v>2022</v>
      </c>
      <c r="M117" s="1" t="s">
        <v>1818</v>
      </c>
      <c r="N117" s="6">
        <v>266291</v>
      </c>
      <c r="O117" s="6">
        <v>170816</v>
      </c>
      <c r="P117" s="21">
        <v>0.64146366193374915</v>
      </c>
      <c r="Q117" s="1">
        <v>0</v>
      </c>
      <c r="R117" s="1" t="s">
        <v>1589</v>
      </c>
      <c r="S117" s="1">
        <v>4</v>
      </c>
      <c r="T117" s="1">
        <v>0.65</v>
      </c>
      <c r="U117" s="22">
        <v>44805</v>
      </c>
      <c r="V117" s="8"/>
    </row>
    <row r="118" spans="1:22" x14ac:dyDescent="0.3">
      <c r="A118" s="1" t="s">
        <v>82</v>
      </c>
      <c r="B118" s="1" t="s">
        <v>1591</v>
      </c>
      <c r="D118" s="8">
        <v>125.4801886296418</v>
      </c>
      <c r="E118" s="9">
        <v>8</v>
      </c>
      <c r="F118" s="8">
        <v>127.63009749151057</v>
      </c>
      <c r="G118" s="9">
        <v>8</v>
      </c>
      <c r="H118" s="8">
        <v>123.29580698871726</v>
      </c>
      <c r="I118" s="8">
        <v>8</v>
      </c>
      <c r="J118" s="1">
        <v>2004</v>
      </c>
      <c r="K118" s="1" t="s">
        <v>25</v>
      </c>
      <c r="L118" s="1">
        <v>2012</v>
      </c>
      <c r="M118" s="1" t="s">
        <v>1597</v>
      </c>
      <c r="N118" s="6">
        <v>29128</v>
      </c>
      <c r="O118" s="6">
        <v>20000</v>
      </c>
      <c r="P118" s="21">
        <v>0.68662455369404007</v>
      </c>
      <c r="Q118" s="1">
        <v>0</v>
      </c>
      <c r="R118" s="1" t="s">
        <v>1589</v>
      </c>
      <c r="S118" s="1">
        <v>1</v>
      </c>
      <c r="T118" s="1">
        <v>0.65</v>
      </c>
      <c r="U118" s="22">
        <v>42860</v>
      </c>
      <c r="V118" s="8"/>
    </row>
    <row r="119" spans="1:22" x14ac:dyDescent="0.3">
      <c r="A119" s="1" t="s">
        <v>82</v>
      </c>
      <c r="B119" s="1" t="s">
        <v>1591</v>
      </c>
      <c r="D119" s="8" t="s">
        <v>18</v>
      </c>
      <c r="E119" s="9" t="s">
        <v>18</v>
      </c>
      <c r="F119" s="8" t="s">
        <v>18</v>
      </c>
      <c r="G119" s="9" t="s">
        <v>18</v>
      </c>
      <c r="H119" s="8">
        <v>106.53843638890024</v>
      </c>
      <c r="I119" s="8">
        <v>7</v>
      </c>
      <c r="J119" s="1">
        <v>44995</v>
      </c>
      <c r="K119" s="1" t="s">
        <v>19</v>
      </c>
      <c r="L119" s="1">
        <v>2022</v>
      </c>
      <c r="M119" s="1" t="s">
        <v>1818</v>
      </c>
      <c r="N119" s="6">
        <v>97876</v>
      </c>
      <c r="O119" s="6">
        <v>80133</v>
      </c>
      <c r="P119" s="21">
        <v>0.81871960439740077</v>
      </c>
      <c r="Q119" s="1">
        <v>22</v>
      </c>
      <c r="R119" s="1" t="s">
        <v>1589</v>
      </c>
      <c r="S119" s="1">
        <v>12</v>
      </c>
      <c r="T119" s="1">
        <v>0.65</v>
      </c>
      <c r="U119" s="22">
        <v>44880</v>
      </c>
      <c r="V119" s="8"/>
    </row>
    <row r="120" spans="1:22" x14ac:dyDescent="0.3">
      <c r="A120" s="1" t="s">
        <v>82</v>
      </c>
      <c r="B120" s="1" t="s">
        <v>1591</v>
      </c>
      <c r="D120" s="8">
        <v>101.89814571369266</v>
      </c>
      <c r="E120" s="9">
        <v>4</v>
      </c>
      <c r="F120" s="8">
        <v>99.662734380405453</v>
      </c>
      <c r="G120" s="9">
        <v>5</v>
      </c>
      <c r="H120" s="8">
        <v>103.33660831661247</v>
      </c>
      <c r="I120" s="8">
        <v>6</v>
      </c>
      <c r="J120" s="1">
        <v>1978</v>
      </c>
      <c r="K120" s="1" t="s">
        <v>19</v>
      </c>
      <c r="L120" s="1">
        <v>2022</v>
      </c>
      <c r="M120" s="1" t="s">
        <v>1599</v>
      </c>
      <c r="N120" s="6">
        <v>289060</v>
      </c>
      <c r="O120" s="6">
        <v>15000</v>
      </c>
      <c r="P120" s="21">
        <v>5.1892340690514079E-2</v>
      </c>
      <c r="Q120" s="1">
        <v>0</v>
      </c>
      <c r="R120" s="1" t="s">
        <v>1589</v>
      </c>
      <c r="S120" s="1">
        <v>1978</v>
      </c>
      <c r="T120" s="1">
        <v>0</v>
      </c>
      <c r="U120" s="22">
        <v>44927</v>
      </c>
      <c r="V120" s="8"/>
    </row>
    <row r="121" spans="1:22" x14ac:dyDescent="0.3">
      <c r="A121" s="1" t="s">
        <v>82</v>
      </c>
      <c r="B121" s="1" t="s">
        <v>1591</v>
      </c>
      <c r="D121" s="8">
        <v>91.006648653414302</v>
      </c>
      <c r="E121" s="9">
        <v>3</v>
      </c>
      <c r="F121" s="8">
        <v>95.151565441523488</v>
      </c>
      <c r="G121" s="9">
        <v>3</v>
      </c>
      <c r="H121" s="8">
        <v>100.42314893087371</v>
      </c>
      <c r="I121" s="8">
        <v>5</v>
      </c>
      <c r="J121" s="1">
        <v>2012</v>
      </c>
      <c r="K121" s="1" t="s">
        <v>19</v>
      </c>
      <c r="L121" s="1">
        <v>2017</v>
      </c>
      <c r="M121" s="1" t="s">
        <v>1601</v>
      </c>
      <c r="N121" s="6">
        <v>192821</v>
      </c>
      <c r="O121" s="6">
        <v>131450</v>
      </c>
      <c r="P121" s="21">
        <v>0.68172035203634462</v>
      </c>
      <c r="Q121" s="1">
        <v>0</v>
      </c>
      <c r="R121" s="1" t="s">
        <v>1589</v>
      </c>
      <c r="S121" s="1">
        <v>10</v>
      </c>
      <c r="T121" s="1">
        <v>0.6</v>
      </c>
      <c r="U121" s="22">
        <v>44126</v>
      </c>
      <c r="V121" s="8"/>
    </row>
    <row r="122" spans="1:22" x14ac:dyDescent="0.3">
      <c r="A122" s="1" t="s">
        <v>82</v>
      </c>
      <c r="B122" s="1" t="s">
        <v>1591</v>
      </c>
      <c r="D122" s="8">
        <v>101.97585511392207</v>
      </c>
      <c r="E122" s="9">
        <v>5</v>
      </c>
      <c r="F122" s="8">
        <v>102.17000312880624</v>
      </c>
      <c r="G122" s="9">
        <v>6</v>
      </c>
      <c r="H122" s="8">
        <v>94.390752980746669</v>
      </c>
      <c r="I122" s="8">
        <v>3</v>
      </c>
      <c r="J122" s="1">
        <v>1995</v>
      </c>
      <c r="K122" s="1" t="s">
        <v>19</v>
      </c>
      <c r="L122" s="1">
        <v>2022</v>
      </c>
      <c r="M122" s="1" t="s">
        <v>1875</v>
      </c>
      <c r="N122" s="6">
        <v>357964</v>
      </c>
      <c r="O122" s="6">
        <v>190744</v>
      </c>
      <c r="P122" s="21">
        <v>0.53285805276508247</v>
      </c>
      <c r="Q122" s="1">
        <v>0</v>
      </c>
      <c r="R122" s="1" t="s">
        <v>1589</v>
      </c>
      <c r="S122" s="1">
        <v>1</v>
      </c>
      <c r="T122" s="1" t="s">
        <v>18</v>
      </c>
      <c r="U122" s="22" t="s">
        <v>18</v>
      </c>
      <c r="V122" s="8"/>
    </row>
    <row r="123" spans="1:22" x14ac:dyDescent="0.3">
      <c r="A123" s="1" t="s">
        <v>82</v>
      </c>
      <c r="B123" s="1" t="s">
        <v>1591</v>
      </c>
      <c r="D123" s="8">
        <v>107</v>
      </c>
      <c r="E123" s="9">
        <v>6</v>
      </c>
      <c r="F123" s="8">
        <v>98</v>
      </c>
      <c r="G123" s="9">
        <v>4</v>
      </c>
      <c r="H123" s="8">
        <v>94</v>
      </c>
      <c r="I123" s="8">
        <v>4</v>
      </c>
      <c r="J123" s="1">
        <v>2005</v>
      </c>
      <c r="K123" s="1" t="s">
        <v>19</v>
      </c>
      <c r="L123" s="1">
        <v>2021</v>
      </c>
      <c r="M123" s="1" t="s">
        <v>1599</v>
      </c>
      <c r="N123" s="6">
        <v>256082</v>
      </c>
      <c r="O123" s="6">
        <v>8098</v>
      </c>
      <c r="P123" s="21">
        <v>3.1622683359236493E-2</v>
      </c>
      <c r="Q123" s="1">
        <v>0</v>
      </c>
      <c r="R123" s="1" t="s">
        <v>1589</v>
      </c>
      <c r="S123" s="1" t="s">
        <v>18</v>
      </c>
      <c r="T123" s="1" t="s">
        <v>18</v>
      </c>
      <c r="U123" s="22" t="s">
        <v>18</v>
      </c>
      <c r="V123" s="8"/>
    </row>
    <row r="124" spans="1:22" x14ac:dyDescent="0.3">
      <c r="A124" s="1" t="s">
        <v>82</v>
      </c>
      <c r="B124" s="1" t="s">
        <v>1591</v>
      </c>
      <c r="D124" s="8">
        <v>75.42998604551309</v>
      </c>
      <c r="E124" s="9">
        <v>2</v>
      </c>
      <c r="F124" s="8">
        <v>74.679399497025088</v>
      </c>
      <c r="G124" s="9">
        <v>2</v>
      </c>
      <c r="H124" s="8">
        <v>76.528614365454217</v>
      </c>
      <c r="I124" s="8">
        <v>2</v>
      </c>
      <c r="J124" s="1">
        <v>2004</v>
      </c>
      <c r="K124" s="1" t="s">
        <v>19</v>
      </c>
      <c r="L124" s="1">
        <v>2022</v>
      </c>
      <c r="M124" s="1" t="s">
        <v>1818</v>
      </c>
      <c r="N124" s="6">
        <v>130424</v>
      </c>
      <c r="O124" s="6">
        <v>71430</v>
      </c>
      <c r="P124" s="21">
        <v>0.54767527448935782</v>
      </c>
      <c r="Q124" s="1">
        <v>0</v>
      </c>
      <c r="R124" s="1" t="s">
        <v>1589</v>
      </c>
      <c r="S124" s="1">
        <v>5</v>
      </c>
      <c r="T124" s="1">
        <v>0.57399999999999995</v>
      </c>
      <c r="U124" s="22">
        <v>44043</v>
      </c>
      <c r="V124" s="8"/>
    </row>
    <row r="125" spans="1:22" x14ac:dyDescent="0.3">
      <c r="A125" s="1" t="s">
        <v>82</v>
      </c>
      <c r="B125" s="1" t="s">
        <v>1591</v>
      </c>
      <c r="D125" s="8">
        <v>60.877858705680765</v>
      </c>
      <c r="E125" s="9">
        <v>1</v>
      </c>
      <c r="F125" s="8">
        <v>59.239277975484384</v>
      </c>
      <c r="G125" s="9">
        <v>1</v>
      </c>
      <c r="H125" s="8">
        <v>62.617447212336899</v>
      </c>
      <c r="I125" s="8">
        <v>1</v>
      </c>
      <c r="J125" s="1">
        <v>1963</v>
      </c>
      <c r="K125" s="1" t="s">
        <v>21</v>
      </c>
      <c r="L125" s="1">
        <v>2022</v>
      </c>
      <c r="M125" s="1" t="s">
        <v>1924</v>
      </c>
      <c r="N125" s="6">
        <v>364287</v>
      </c>
      <c r="O125" s="6">
        <v>154343</v>
      </c>
      <c r="P125" s="21">
        <v>0.42368517130723854</v>
      </c>
      <c r="Q125" s="1">
        <v>0</v>
      </c>
      <c r="R125" s="1" t="s">
        <v>1589</v>
      </c>
      <c r="S125" s="1">
        <v>7</v>
      </c>
      <c r="T125" s="1">
        <v>0.7</v>
      </c>
      <c r="U125" s="22">
        <v>44984</v>
      </c>
      <c r="V125" s="8"/>
    </row>
    <row r="126" spans="1:22" x14ac:dyDescent="0.3">
      <c r="A126" s="1" t="s">
        <v>82</v>
      </c>
      <c r="B126" s="1" t="s">
        <v>1591</v>
      </c>
      <c r="D126" s="8"/>
      <c r="E126" s="9" t="s">
        <v>18</v>
      </c>
      <c r="F126" s="8"/>
      <c r="G126" s="9" t="s">
        <v>18</v>
      </c>
      <c r="H126" s="8"/>
      <c r="I126" s="8" t="s">
        <v>18</v>
      </c>
      <c r="J126" s="1">
        <v>2004</v>
      </c>
      <c r="K126" s="1" t="s">
        <v>21</v>
      </c>
      <c r="L126" s="1">
        <v>2022</v>
      </c>
      <c r="M126" s="1" t="s">
        <v>1599</v>
      </c>
      <c r="N126" s="6">
        <v>4930</v>
      </c>
      <c r="O126" s="6">
        <v>2053</v>
      </c>
      <c r="P126" s="21">
        <v>0.41643002028397563</v>
      </c>
      <c r="Q126" s="1">
        <v>0</v>
      </c>
      <c r="R126" s="1" t="s">
        <v>28</v>
      </c>
      <c r="S126" s="1" t="s">
        <v>18</v>
      </c>
      <c r="T126" s="1" t="s">
        <v>18</v>
      </c>
      <c r="U126" s="22" t="s">
        <v>18</v>
      </c>
      <c r="V126" s="8"/>
    </row>
    <row r="127" spans="1:22" x14ac:dyDescent="0.3">
      <c r="A127" s="1" t="s">
        <v>82</v>
      </c>
      <c r="B127" s="1" t="s">
        <v>1591</v>
      </c>
      <c r="D127" s="8"/>
      <c r="E127" s="9" t="s">
        <v>18</v>
      </c>
      <c r="F127" s="8"/>
      <c r="G127" s="9" t="s">
        <v>18</v>
      </c>
      <c r="H127" s="8"/>
      <c r="I127" s="8" t="s">
        <v>18</v>
      </c>
      <c r="J127" s="1">
        <v>2004</v>
      </c>
      <c r="K127" s="1" t="s">
        <v>19</v>
      </c>
      <c r="L127" s="1">
        <v>2014</v>
      </c>
      <c r="M127" s="1" t="s">
        <v>1601</v>
      </c>
      <c r="N127" s="6">
        <v>11587</v>
      </c>
      <c r="O127" s="6">
        <v>6305</v>
      </c>
      <c r="P127" s="21">
        <v>0.54414429964615518</v>
      </c>
      <c r="Q127" s="1">
        <v>0</v>
      </c>
      <c r="R127" s="1" t="s">
        <v>1589</v>
      </c>
      <c r="S127" s="1">
        <v>7</v>
      </c>
      <c r="T127" s="1" t="s">
        <v>18</v>
      </c>
      <c r="U127" s="22" t="s">
        <v>18</v>
      </c>
      <c r="V127" s="8"/>
    </row>
    <row r="128" spans="1:22" x14ac:dyDescent="0.3">
      <c r="A128" s="1" t="s">
        <v>82</v>
      </c>
      <c r="B128" s="1" t="s">
        <v>86</v>
      </c>
      <c r="D128" s="8">
        <v>102.73756</v>
      </c>
      <c r="E128" s="9">
        <v>10</v>
      </c>
      <c r="F128" s="8">
        <v>78.802880000000002</v>
      </c>
      <c r="G128" s="9">
        <v>8</v>
      </c>
      <c r="H128" s="8">
        <v>212.91983999999999</v>
      </c>
      <c r="I128" s="8">
        <v>19</v>
      </c>
      <c r="J128" s="1">
        <v>2005</v>
      </c>
      <c r="K128" s="1" t="s">
        <v>21</v>
      </c>
      <c r="L128" s="1">
        <v>2013</v>
      </c>
      <c r="M128" s="1" t="s">
        <v>1600</v>
      </c>
      <c r="N128" s="6">
        <v>25000</v>
      </c>
      <c r="O128" s="6">
        <v>19000</v>
      </c>
      <c r="P128" s="21">
        <v>0.76</v>
      </c>
      <c r="Q128" s="1">
        <v>0</v>
      </c>
      <c r="R128" s="1" t="s">
        <v>28</v>
      </c>
      <c r="S128" s="1" t="s">
        <v>18</v>
      </c>
      <c r="T128" s="1" t="s">
        <v>18</v>
      </c>
      <c r="U128" s="22" t="s">
        <v>18</v>
      </c>
      <c r="V128" s="8"/>
    </row>
    <row r="129" spans="1:22" x14ac:dyDescent="0.3">
      <c r="A129" s="1" t="s">
        <v>82</v>
      </c>
      <c r="B129" s="1" t="s">
        <v>86</v>
      </c>
      <c r="D129" s="8">
        <v>178.19061501763119</v>
      </c>
      <c r="E129" s="9">
        <v>17</v>
      </c>
      <c r="F129" s="8">
        <v>197.17819643227548</v>
      </c>
      <c r="G129" s="9">
        <v>18</v>
      </c>
      <c r="H129" s="8">
        <v>209.50978116573324</v>
      </c>
      <c r="I129" s="8">
        <v>18</v>
      </c>
      <c r="J129" s="1">
        <v>1998</v>
      </c>
      <c r="N129" s="6">
        <v>9642</v>
      </c>
      <c r="O129" s="6">
        <v>9205</v>
      </c>
      <c r="P129" s="21">
        <v>0.95467745281062022</v>
      </c>
      <c r="Q129" s="1">
        <v>0</v>
      </c>
      <c r="R129" s="1" t="s">
        <v>28</v>
      </c>
      <c r="S129" s="1" t="s">
        <v>18</v>
      </c>
      <c r="T129" s="1" t="s">
        <v>18</v>
      </c>
      <c r="U129" s="22" t="s">
        <v>18</v>
      </c>
      <c r="V129" s="8"/>
    </row>
    <row r="130" spans="1:22" x14ac:dyDescent="0.3">
      <c r="A130" s="1" t="s">
        <v>82</v>
      </c>
      <c r="B130" s="1" t="s">
        <v>86</v>
      </c>
      <c r="D130" s="8">
        <v>181.66129773691657</v>
      </c>
      <c r="E130" s="9">
        <v>18</v>
      </c>
      <c r="F130" s="8">
        <v>175.92546852899574</v>
      </c>
      <c r="G130" s="9">
        <v>17</v>
      </c>
      <c r="H130" s="8">
        <v>189.05993635077795</v>
      </c>
      <c r="I130" s="8">
        <v>17</v>
      </c>
      <c r="J130" s="1">
        <v>1976</v>
      </c>
      <c r="K130" s="1" t="s">
        <v>25</v>
      </c>
      <c r="L130" s="1">
        <v>2015</v>
      </c>
      <c r="M130" s="1" t="s">
        <v>1601</v>
      </c>
      <c r="N130" s="6">
        <v>5656</v>
      </c>
      <c r="O130" s="6">
        <v>5656</v>
      </c>
      <c r="P130" s="21">
        <v>1</v>
      </c>
      <c r="Q130" s="1">
        <v>0</v>
      </c>
      <c r="R130" s="1" t="s">
        <v>1589</v>
      </c>
      <c r="S130" s="1">
        <v>8</v>
      </c>
      <c r="T130" s="1">
        <v>0.56999999999999995</v>
      </c>
      <c r="U130" s="22">
        <v>43034</v>
      </c>
      <c r="V130" s="8"/>
    </row>
    <row r="131" spans="1:22" x14ac:dyDescent="0.3">
      <c r="A131" s="1" t="s">
        <v>82</v>
      </c>
      <c r="B131" s="1" t="s">
        <v>86</v>
      </c>
      <c r="D131" s="8">
        <v>138.88248419486797</v>
      </c>
      <c r="E131" s="9">
        <v>16</v>
      </c>
      <c r="F131" s="8">
        <v>143.85552249907028</v>
      </c>
      <c r="G131" s="9">
        <v>15</v>
      </c>
      <c r="H131" s="8">
        <v>172.03421346225363</v>
      </c>
      <c r="I131" s="8">
        <v>16</v>
      </c>
      <c r="J131" s="1">
        <v>2014</v>
      </c>
      <c r="N131" s="6">
        <v>5378</v>
      </c>
      <c r="O131" s="6">
        <v>5378</v>
      </c>
      <c r="P131" s="21">
        <v>1</v>
      </c>
      <c r="Q131" s="1">
        <v>5</v>
      </c>
      <c r="R131" s="1" t="s">
        <v>28</v>
      </c>
      <c r="S131" s="1" t="s">
        <v>18</v>
      </c>
      <c r="T131" s="1" t="s">
        <v>18</v>
      </c>
      <c r="U131" s="22" t="s">
        <v>18</v>
      </c>
      <c r="V131" s="8"/>
    </row>
    <row r="132" spans="1:22" x14ac:dyDescent="0.3">
      <c r="A132" s="1" t="s">
        <v>82</v>
      </c>
      <c r="B132" s="1" t="s">
        <v>86</v>
      </c>
      <c r="D132" s="8">
        <v>131.92549842280098</v>
      </c>
      <c r="E132" s="9">
        <v>15</v>
      </c>
      <c r="F132" s="8">
        <v>158.03261033414287</v>
      </c>
      <c r="G132" s="9">
        <v>16</v>
      </c>
      <c r="H132" s="8">
        <v>146.20882673142953</v>
      </c>
      <c r="I132" s="8">
        <v>15</v>
      </c>
      <c r="J132" s="1">
        <v>2007</v>
      </c>
      <c r="K132" s="1" t="s">
        <v>25</v>
      </c>
      <c r="L132" s="1">
        <v>2019</v>
      </c>
      <c r="M132" s="1" t="s">
        <v>1601</v>
      </c>
      <c r="N132" s="6">
        <v>35823</v>
      </c>
      <c r="O132" s="6">
        <v>20823</v>
      </c>
      <c r="P132" s="21">
        <v>0.58127460011724308</v>
      </c>
      <c r="Q132" s="1">
        <v>0</v>
      </c>
      <c r="R132" s="1" t="s">
        <v>1589</v>
      </c>
      <c r="S132" s="1">
        <v>12</v>
      </c>
      <c r="T132" s="1">
        <v>1.06</v>
      </c>
      <c r="U132" s="22">
        <v>44910</v>
      </c>
      <c r="V132" s="8"/>
    </row>
    <row r="133" spans="1:22" x14ac:dyDescent="0.3">
      <c r="A133" s="1" t="s">
        <v>82</v>
      </c>
      <c r="B133" s="1" t="s">
        <v>86</v>
      </c>
      <c r="D133" s="8">
        <v>131.40616458734829</v>
      </c>
      <c r="E133" s="9">
        <v>14</v>
      </c>
      <c r="F133" s="8">
        <v>136.64798661121819</v>
      </c>
      <c r="G133" s="9">
        <v>13</v>
      </c>
      <c r="H133" s="8">
        <v>143.59943976738683</v>
      </c>
      <c r="I133" s="8">
        <v>14</v>
      </c>
      <c r="J133" s="1">
        <v>2013</v>
      </c>
      <c r="K133" s="1" t="s">
        <v>19</v>
      </c>
      <c r="L133" s="1">
        <v>2022</v>
      </c>
      <c r="M133" s="1" t="s">
        <v>1818</v>
      </c>
      <c r="N133" s="6">
        <v>29577</v>
      </c>
      <c r="O133" s="6">
        <v>202800</v>
      </c>
      <c r="P133" s="21">
        <v>6.8566791763870576</v>
      </c>
      <c r="Q133" s="1">
        <v>0</v>
      </c>
      <c r="R133" s="1" t="s">
        <v>1589</v>
      </c>
      <c r="S133" s="1">
        <v>10</v>
      </c>
      <c r="T133" s="1" t="s">
        <v>18</v>
      </c>
      <c r="U133" s="22" t="s">
        <v>18</v>
      </c>
      <c r="V133" s="8"/>
    </row>
    <row r="134" spans="1:22" x14ac:dyDescent="0.3">
      <c r="A134" s="1" t="s">
        <v>82</v>
      </c>
      <c r="B134" s="1" t="s">
        <v>86</v>
      </c>
      <c r="D134" s="8">
        <v>129.7822548265132</v>
      </c>
      <c r="E134" s="9">
        <v>13</v>
      </c>
      <c r="F134" s="8">
        <v>137.89487904440057</v>
      </c>
      <c r="G134" s="9">
        <v>14</v>
      </c>
      <c r="H134" s="8">
        <v>132.63517582895574</v>
      </c>
      <c r="I134" s="8">
        <v>13</v>
      </c>
      <c r="J134" s="1">
        <v>1999</v>
      </c>
      <c r="K134" s="1" t="s">
        <v>19</v>
      </c>
      <c r="L134" s="1">
        <v>2022</v>
      </c>
      <c r="M134" s="1" t="s">
        <v>1599</v>
      </c>
      <c r="N134" s="6">
        <v>29887</v>
      </c>
      <c r="O134" s="6">
        <v>15862</v>
      </c>
      <c r="P134" s="21">
        <v>0.53073242546926758</v>
      </c>
      <c r="Q134" s="1">
        <v>133</v>
      </c>
      <c r="R134" s="1" t="s">
        <v>1589</v>
      </c>
      <c r="S134" s="1">
        <v>8</v>
      </c>
      <c r="T134" s="1">
        <v>0.52</v>
      </c>
      <c r="U134" s="22">
        <v>44992</v>
      </c>
      <c r="V134" s="8"/>
    </row>
    <row r="135" spans="1:22" x14ac:dyDescent="0.3">
      <c r="A135" s="1" t="s">
        <v>82</v>
      </c>
      <c r="B135" s="1" t="s">
        <v>86</v>
      </c>
      <c r="D135" s="8">
        <v>109.6641212121212</v>
      </c>
      <c r="E135" s="9">
        <v>11</v>
      </c>
      <c r="F135" s="8">
        <v>116.38490606060606</v>
      </c>
      <c r="G135" s="9">
        <v>11</v>
      </c>
      <c r="H135" s="8">
        <v>115.04555151515152</v>
      </c>
      <c r="I135" s="8">
        <v>12</v>
      </c>
      <c r="J135" s="1">
        <v>2013</v>
      </c>
      <c r="N135" s="6">
        <v>6600</v>
      </c>
      <c r="O135" s="6">
        <v>7000</v>
      </c>
      <c r="P135" s="21">
        <v>1.0606060606060606</v>
      </c>
      <c r="Q135" s="1">
        <v>0</v>
      </c>
      <c r="R135" s="1" t="s">
        <v>28</v>
      </c>
      <c r="S135" s="1" t="s">
        <v>18</v>
      </c>
      <c r="T135" s="1" t="s">
        <v>18</v>
      </c>
      <c r="U135" s="22" t="s">
        <v>18</v>
      </c>
      <c r="V135" s="8"/>
    </row>
    <row r="136" spans="1:22" x14ac:dyDescent="0.3">
      <c r="A136" s="1" t="s">
        <v>82</v>
      </c>
      <c r="B136" s="1" t="s">
        <v>86</v>
      </c>
      <c r="D136" s="8">
        <v>116.16120524296676</v>
      </c>
      <c r="E136" s="9">
        <v>12</v>
      </c>
      <c r="F136" s="8">
        <v>127.59899296675191</v>
      </c>
      <c r="G136" s="9">
        <v>12</v>
      </c>
      <c r="H136" s="8">
        <v>108.45812020460357</v>
      </c>
      <c r="I136" s="8">
        <v>11</v>
      </c>
      <c r="J136" s="1">
        <v>1951</v>
      </c>
      <c r="N136" s="6">
        <v>9384</v>
      </c>
      <c r="O136" s="6">
        <v>9384</v>
      </c>
      <c r="P136" s="21">
        <v>1</v>
      </c>
      <c r="Q136" s="1">
        <v>0</v>
      </c>
      <c r="R136" s="1" t="s">
        <v>1821</v>
      </c>
      <c r="S136" s="1" t="s">
        <v>18</v>
      </c>
      <c r="T136" s="1" t="s">
        <v>18</v>
      </c>
      <c r="U136" s="22" t="s">
        <v>18</v>
      </c>
      <c r="V136" s="8"/>
    </row>
    <row r="137" spans="1:22" x14ac:dyDescent="0.3">
      <c r="A137" s="1" t="s">
        <v>82</v>
      </c>
      <c r="B137" s="1" t="s">
        <v>86</v>
      </c>
      <c r="D137" s="8">
        <v>88.522550335570472</v>
      </c>
      <c r="E137" s="9">
        <v>7</v>
      </c>
      <c r="F137" s="8">
        <v>87.591860019175456</v>
      </c>
      <c r="G137" s="9">
        <v>10</v>
      </c>
      <c r="H137" s="8">
        <v>90.016581975071901</v>
      </c>
      <c r="I137" s="8">
        <v>10</v>
      </c>
      <c r="J137" s="1">
        <v>2006</v>
      </c>
      <c r="N137" s="6">
        <v>10430</v>
      </c>
      <c r="O137" s="6">
        <v>7273</v>
      </c>
      <c r="P137" s="21">
        <v>0.69731543624161074</v>
      </c>
      <c r="Q137" s="1">
        <v>138</v>
      </c>
      <c r="R137" s="1" t="s">
        <v>28</v>
      </c>
      <c r="S137" s="1" t="s">
        <v>18</v>
      </c>
      <c r="T137" s="1" t="s">
        <v>18</v>
      </c>
      <c r="U137" s="22" t="s">
        <v>18</v>
      </c>
      <c r="V137" s="8"/>
    </row>
    <row r="138" spans="1:22" x14ac:dyDescent="0.3">
      <c r="A138" s="1" t="s">
        <v>82</v>
      </c>
      <c r="B138" s="1" t="s">
        <v>86</v>
      </c>
      <c r="D138" s="8">
        <v>91.74069120287254</v>
      </c>
      <c r="E138" s="9">
        <v>8</v>
      </c>
      <c r="F138" s="8">
        <v>85.235565529622974</v>
      </c>
      <c r="G138" s="9">
        <v>9</v>
      </c>
      <c r="H138" s="8">
        <v>80.165915619389594</v>
      </c>
      <c r="I138" s="8">
        <v>9</v>
      </c>
      <c r="J138" s="1">
        <v>1995</v>
      </c>
      <c r="N138" s="6">
        <v>5570</v>
      </c>
      <c r="O138" s="6">
        <v>2785</v>
      </c>
      <c r="P138" s="21">
        <v>0.5</v>
      </c>
      <c r="Q138" s="1">
        <v>0</v>
      </c>
      <c r="R138" s="1" t="s">
        <v>28</v>
      </c>
      <c r="S138" s="1" t="s">
        <v>18</v>
      </c>
      <c r="T138" s="1" t="s">
        <v>18</v>
      </c>
      <c r="U138" s="22" t="s">
        <v>18</v>
      </c>
      <c r="V138" s="8"/>
    </row>
    <row r="139" spans="1:22" x14ac:dyDescent="0.3">
      <c r="A139" s="1" t="s">
        <v>82</v>
      </c>
      <c r="B139" s="1" t="s">
        <v>86</v>
      </c>
      <c r="D139" s="8" t="s">
        <v>18</v>
      </c>
      <c r="E139" s="9" t="s">
        <v>18</v>
      </c>
      <c r="F139" s="8" t="s">
        <v>18</v>
      </c>
      <c r="G139" s="9" t="s">
        <v>18</v>
      </c>
      <c r="H139" s="8">
        <v>76.209292453867633</v>
      </c>
      <c r="I139" s="8">
        <v>8</v>
      </c>
      <c r="J139" s="1">
        <v>2022</v>
      </c>
      <c r="N139" s="6">
        <v>9093.4</v>
      </c>
      <c r="O139" s="6">
        <v>7867</v>
      </c>
      <c r="P139" s="21">
        <v>0.86513295357072162</v>
      </c>
      <c r="Q139" s="1">
        <v>0</v>
      </c>
      <c r="R139" s="1" t="s">
        <v>1590</v>
      </c>
      <c r="S139" s="1" t="s">
        <v>18</v>
      </c>
      <c r="T139" s="1" t="s">
        <v>18</v>
      </c>
      <c r="U139" s="22" t="s">
        <v>18</v>
      </c>
      <c r="V139" s="8"/>
    </row>
    <row r="140" spans="1:22" x14ac:dyDescent="0.3">
      <c r="A140" s="1" t="s">
        <v>82</v>
      </c>
      <c r="B140" s="1" t="s">
        <v>86</v>
      </c>
      <c r="D140" s="8">
        <v>65.527144510156859</v>
      </c>
      <c r="E140" s="9">
        <v>6</v>
      </c>
      <c r="F140" s="8">
        <v>60.324002314219598</v>
      </c>
      <c r="G140" s="9">
        <v>5</v>
      </c>
      <c r="H140" s="8">
        <v>69.384372589354598</v>
      </c>
      <c r="I140" s="8">
        <v>7</v>
      </c>
      <c r="J140" s="1">
        <v>2006</v>
      </c>
      <c r="N140" s="6">
        <v>7778</v>
      </c>
      <c r="O140" s="6">
        <v>7778</v>
      </c>
      <c r="P140" s="21">
        <v>1</v>
      </c>
      <c r="Q140" s="1">
        <v>0</v>
      </c>
      <c r="R140" s="1" t="s">
        <v>28</v>
      </c>
      <c r="S140" s="1" t="s">
        <v>18</v>
      </c>
      <c r="T140" s="1" t="s">
        <v>18</v>
      </c>
      <c r="U140" s="22" t="s">
        <v>18</v>
      </c>
      <c r="V140" s="8"/>
    </row>
    <row r="141" spans="1:22" x14ac:dyDescent="0.3">
      <c r="A141" s="1" t="s">
        <v>82</v>
      </c>
      <c r="B141" s="1" t="s">
        <v>86</v>
      </c>
      <c r="D141" s="8">
        <v>62.068327301296996</v>
      </c>
      <c r="E141" s="9">
        <v>5</v>
      </c>
      <c r="F141" s="8">
        <v>68.254124753673963</v>
      </c>
      <c r="G141" s="9">
        <v>6</v>
      </c>
      <c r="H141" s="8">
        <v>66.594026352056261</v>
      </c>
      <c r="I141" s="8">
        <v>6</v>
      </c>
      <c r="J141" s="1">
        <v>2011</v>
      </c>
      <c r="K141" s="1" t="s">
        <v>19</v>
      </c>
      <c r="L141" s="1">
        <v>2023</v>
      </c>
      <c r="M141" s="1" t="s">
        <v>1783</v>
      </c>
      <c r="N141" s="6">
        <v>77641</v>
      </c>
      <c r="O141" s="6">
        <v>76000</v>
      </c>
      <c r="P141" s="21">
        <v>0.97886425986270142</v>
      </c>
      <c r="Q141" s="1">
        <v>0</v>
      </c>
      <c r="R141" s="1" t="s">
        <v>1589</v>
      </c>
      <c r="S141" s="1">
        <v>13</v>
      </c>
      <c r="T141" s="1">
        <v>0.57999999999999996</v>
      </c>
      <c r="U141" s="22">
        <v>43846</v>
      </c>
      <c r="V141" s="8"/>
    </row>
    <row r="142" spans="1:22" x14ac:dyDescent="0.3">
      <c r="A142" s="1" t="s">
        <v>82</v>
      </c>
      <c r="B142" s="1" t="s">
        <v>86</v>
      </c>
      <c r="D142" s="8">
        <v>55.980981566452989</v>
      </c>
      <c r="E142" s="9">
        <v>4</v>
      </c>
      <c r="F142" s="8">
        <v>59.936474285258853</v>
      </c>
      <c r="G142" s="9">
        <v>4</v>
      </c>
      <c r="H142" s="8">
        <v>58.284225028179762</v>
      </c>
      <c r="I142" s="8">
        <v>5</v>
      </c>
      <c r="J142" s="1">
        <v>1900</v>
      </c>
      <c r="K142" s="1" t="s">
        <v>19</v>
      </c>
      <c r="L142" s="1">
        <v>2023</v>
      </c>
      <c r="M142" s="1" t="s">
        <v>1783</v>
      </c>
      <c r="N142" s="6">
        <v>87829</v>
      </c>
      <c r="O142" s="6">
        <v>50000</v>
      </c>
      <c r="P142" s="21">
        <v>0.56928804836671254</v>
      </c>
      <c r="Q142" s="1">
        <v>0</v>
      </c>
      <c r="R142" s="1" t="s">
        <v>1589</v>
      </c>
      <c r="S142" s="1">
        <v>13</v>
      </c>
      <c r="T142" s="1">
        <v>0.63</v>
      </c>
      <c r="U142" s="22">
        <v>43846</v>
      </c>
      <c r="V142" s="8"/>
    </row>
    <row r="143" spans="1:22" x14ac:dyDescent="0.3">
      <c r="A143" s="1" t="s">
        <v>82</v>
      </c>
      <c r="B143" s="1" t="s">
        <v>86</v>
      </c>
      <c r="D143" s="8">
        <v>96.217914120168274</v>
      </c>
      <c r="E143" s="9">
        <v>9</v>
      </c>
      <c r="F143" s="8">
        <v>68.408107786332252</v>
      </c>
      <c r="G143" s="9">
        <v>7</v>
      </c>
      <c r="H143" s="8">
        <v>57.622533534407495</v>
      </c>
      <c r="I143" s="8">
        <v>4</v>
      </c>
      <c r="J143" s="1">
        <v>2004</v>
      </c>
      <c r="N143" s="6">
        <v>25198</v>
      </c>
      <c r="O143" s="6">
        <v>17782</v>
      </c>
      <c r="P143" s="21">
        <v>0.70569092785141674</v>
      </c>
      <c r="Q143" s="1">
        <v>0</v>
      </c>
      <c r="R143" s="1" t="s">
        <v>1590</v>
      </c>
      <c r="S143" s="1" t="s">
        <v>18</v>
      </c>
      <c r="T143" s="1" t="s">
        <v>18</v>
      </c>
      <c r="U143" s="22" t="s">
        <v>18</v>
      </c>
      <c r="V143" s="8"/>
    </row>
    <row r="144" spans="1:22" x14ac:dyDescent="0.3">
      <c r="A144" s="1" t="s">
        <v>82</v>
      </c>
      <c r="B144" s="1" t="s">
        <v>86</v>
      </c>
      <c r="D144" s="8">
        <v>44.197232475679606</v>
      </c>
      <c r="E144" s="9">
        <v>3</v>
      </c>
      <c r="F144" s="8">
        <v>42.083251204654971</v>
      </c>
      <c r="G144" s="9">
        <v>3</v>
      </c>
      <c r="H144" s="8">
        <v>45.320600054550418</v>
      </c>
      <c r="I144" s="8">
        <v>3</v>
      </c>
      <c r="J144" s="1">
        <v>2012</v>
      </c>
      <c r="N144" s="6">
        <v>10999</v>
      </c>
      <c r="O144" s="6">
        <v>4600</v>
      </c>
      <c r="P144" s="21">
        <v>0.41821983816710612</v>
      </c>
      <c r="Q144" s="1">
        <v>0</v>
      </c>
      <c r="R144" s="1" t="s">
        <v>28</v>
      </c>
      <c r="S144" s="1" t="s">
        <v>18</v>
      </c>
      <c r="T144" s="1" t="s">
        <v>18</v>
      </c>
      <c r="U144" s="22" t="s">
        <v>18</v>
      </c>
      <c r="V144" s="8"/>
    </row>
    <row r="145" spans="1:22" x14ac:dyDescent="0.3">
      <c r="A145" s="1" t="s">
        <v>82</v>
      </c>
      <c r="B145" s="1" t="s">
        <v>86</v>
      </c>
      <c r="D145" s="8">
        <v>38.792876947263117</v>
      </c>
      <c r="E145" s="9">
        <v>2</v>
      </c>
      <c r="F145" s="8">
        <v>36.800245819636991</v>
      </c>
      <c r="G145" s="9">
        <v>2</v>
      </c>
      <c r="H145" s="8">
        <v>40.601369158210666</v>
      </c>
      <c r="I145" s="8">
        <v>2</v>
      </c>
      <c r="J145" s="1">
        <v>2003</v>
      </c>
      <c r="N145" s="6">
        <v>6997</v>
      </c>
      <c r="O145" s="6">
        <v>3437</v>
      </c>
      <c r="P145" s="21">
        <v>0.49121051879376876</v>
      </c>
      <c r="Q145" s="1">
        <v>40</v>
      </c>
      <c r="R145" s="1" t="s">
        <v>28</v>
      </c>
      <c r="S145" s="1" t="s">
        <v>18</v>
      </c>
      <c r="T145" s="1" t="s">
        <v>18</v>
      </c>
      <c r="U145" s="22" t="s">
        <v>18</v>
      </c>
      <c r="V145" s="8"/>
    </row>
    <row r="146" spans="1:22" x14ac:dyDescent="0.3">
      <c r="A146" s="1" t="s">
        <v>82</v>
      </c>
      <c r="B146" s="1" t="s">
        <v>86</v>
      </c>
      <c r="D146" s="8">
        <v>15.09308912386707</v>
      </c>
      <c r="E146" s="9">
        <v>1</v>
      </c>
      <c r="F146" s="8">
        <v>20.821223564954682</v>
      </c>
      <c r="G146" s="9">
        <v>1</v>
      </c>
      <c r="H146" s="8">
        <v>40.580324773413892</v>
      </c>
      <c r="I146" s="8">
        <v>1</v>
      </c>
      <c r="J146" s="1">
        <v>2019</v>
      </c>
      <c r="K146" s="1" t="s">
        <v>25</v>
      </c>
      <c r="L146" s="1">
        <v>2018</v>
      </c>
      <c r="M146" s="1" t="s">
        <v>1601</v>
      </c>
      <c r="N146" s="6">
        <v>15888</v>
      </c>
      <c r="O146" s="6">
        <v>9207</v>
      </c>
      <c r="P146" s="21">
        <v>0.57949395770392753</v>
      </c>
      <c r="Q146" s="1">
        <v>0</v>
      </c>
      <c r="R146" s="1" t="s">
        <v>28</v>
      </c>
      <c r="S146" s="1" t="s">
        <v>18</v>
      </c>
      <c r="T146" s="1" t="s">
        <v>18</v>
      </c>
      <c r="U146" s="22" t="s">
        <v>18</v>
      </c>
      <c r="V146" s="8"/>
    </row>
  </sheetData>
  <sheetProtection selectLockedCells="1" selectUnlockedCells="1"/>
  <autoFilter ref="A1:V146">
    <sortState ref="A2:X146">
      <sortCondition ref="A2:A146" customList="Commercial Building,Healthcare Facility,Educational Institution,Civic,Community &amp; Cultural Institution,Sports &amp; Recreation Centre"/>
      <sortCondition ref="B2:B146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C2:C146" customList="Large,Medium"/>
    </sortState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3"/>
  <sheetViews>
    <sheetView topLeftCell="A63" zoomScale="85" zoomScaleNormal="85" workbookViewId="0">
      <pane xSplit="1" topLeftCell="J1" activePane="topRight" state="frozen"/>
      <selection pane="topRight" activeCell="T2" sqref="T2:T63"/>
    </sheetView>
  </sheetViews>
  <sheetFormatPr defaultColWidth="27.77734375" defaultRowHeight="14.4" x14ac:dyDescent="0.3"/>
  <cols>
    <col min="1" max="1" width="33.33203125" style="1" customWidth="1"/>
    <col min="2" max="2" width="20.33203125" style="1" customWidth="1"/>
    <col min="3" max="3" width="15.5546875" style="1" customWidth="1"/>
    <col min="4" max="4" width="21.77734375" style="1" customWidth="1"/>
    <col min="5" max="5" width="36.77734375" style="1" customWidth="1"/>
    <col min="6" max="6" width="23.77734375" style="1" customWidth="1"/>
    <col min="7" max="7" width="36.77734375" style="1" customWidth="1"/>
    <col min="8" max="8" width="21.77734375" style="1" bestFit="1" customWidth="1"/>
    <col min="9" max="9" width="33.33203125" style="1" customWidth="1"/>
    <col min="10" max="13" width="12.21875" style="1" customWidth="1"/>
    <col min="14" max="14" width="22.33203125" style="1" customWidth="1"/>
    <col min="15" max="15" width="17.77734375" style="1" customWidth="1"/>
    <col min="16" max="16" width="27.77734375" style="1" customWidth="1"/>
    <col min="17" max="17" width="27.109375" style="1" customWidth="1"/>
    <col min="18" max="18" width="15" style="1" customWidth="1"/>
    <col min="19" max="19" width="12.21875" style="1" customWidth="1"/>
    <col min="20" max="20" width="21.5546875" style="1" customWidth="1"/>
    <col min="21" max="21" width="27.5546875" style="2" customWidth="1"/>
    <col min="22" max="22" width="77.77734375" style="1" customWidth="1"/>
  </cols>
  <sheetData>
    <row r="1" spans="1:22" s="3" customFormat="1" ht="43.2" x14ac:dyDescent="0.3">
      <c r="A1" s="4" t="s">
        <v>1759</v>
      </c>
      <c r="B1" s="4" t="s">
        <v>7</v>
      </c>
      <c r="C1" s="4" t="s">
        <v>1760</v>
      </c>
      <c r="D1" s="4" t="s">
        <v>1765</v>
      </c>
      <c r="E1" s="4" t="s">
        <v>1766</v>
      </c>
      <c r="F1" s="4" t="s">
        <v>1768</v>
      </c>
      <c r="G1" s="4" t="s">
        <v>1767</v>
      </c>
      <c r="H1" s="4" t="s">
        <v>2619</v>
      </c>
      <c r="I1" s="4" t="s">
        <v>2620</v>
      </c>
      <c r="J1" s="4" t="s">
        <v>6</v>
      </c>
      <c r="K1" s="4" t="s">
        <v>1594</v>
      </c>
      <c r="L1" s="4" t="s">
        <v>1595</v>
      </c>
      <c r="M1" s="4" t="s">
        <v>1596</v>
      </c>
      <c r="N1" s="4" t="s">
        <v>1761</v>
      </c>
      <c r="O1" s="4" t="s">
        <v>1762</v>
      </c>
      <c r="P1" s="4" t="s">
        <v>1763</v>
      </c>
      <c r="Q1" s="4" t="s">
        <v>1764</v>
      </c>
      <c r="R1" s="4" t="s">
        <v>2</v>
      </c>
      <c r="S1" s="4" t="s">
        <v>3</v>
      </c>
      <c r="T1" s="4" t="s">
        <v>4</v>
      </c>
      <c r="U1" s="5" t="s">
        <v>5</v>
      </c>
      <c r="V1" s="4" t="s">
        <v>1772</v>
      </c>
    </row>
    <row r="2" spans="1:22" x14ac:dyDescent="0.3">
      <c r="A2" s="1" t="s">
        <v>56</v>
      </c>
      <c r="B2" s="1" t="s">
        <v>400</v>
      </c>
      <c r="D2" s="8">
        <v>122.12228346456693</v>
      </c>
      <c r="E2" s="9">
        <v>7</v>
      </c>
      <c r="F2" s="8">
        <v>806.92083727034128</v>
      </c>
      <c r="G2" s="9">
        <v>14</v>
      </c>
      <c r="H2" s="8">
        <v>789.48724146981635</v>
      </c>
      <c r="I2" s="8">
        <v>16</v>
      </c>
      <c r="J2" s="1">
        <v>1981</v>
      </c>
      <c r="N2" s="6">
        <v>7620</v>
      </c>
      <c r="O2" s="6">
        <v>1524</v>
      </c>
      <c r="P2" s="21">
        <v>0.2</v>
      </c>
      <c r="Q2" s="1">
        <v>0</v>
      </c>
      <c r="R2" s="1" t="s">
        <v>28</v>
      </c>
      <c r="S2" s="1" t="s">
        <v>18</v>
      </c>
      <c r="T2" s="1" t="s">
        <v>18</v>
      </c>
      <c r="U2" s="22" t="s">
        <v>18</v>
      </c>
      <c r="V2" s="8"/>
    </row>
    <row r="3" spans="1:22" x14ac:dyDescent="0.3">
      <c r="A3" s="1" t="s">
        <v>56</v>
      </c>
      <c r="B3" s="1" t="s">
        <v>400</v>
      </c>
      <c r="D3" s="8">
        <v>228.03637383953469</v>
      </c>
      <c r="E3" s="9">
        <v>14</v>
      </c>
      <c r="F3" s="8">
        <v>258.9016893229238</v>
      </c>
      <c r="G3" s="9">
        <v>13</v>
      </c>
      <c r="H3" s="8">
        <v>255.93654497805389</v>
      </c>
      <c r="I3" s="8">
        <v>15</v>
      </c>
      <c r="J3" s="1">
        <v>2005</v>
      </c>
      <c r="K3" s="1" t="s">
        <v>25</v>
      </c>
      <c r="L3" s="1">
        <v>2022</v>
      </c>
      <c r="M3" s="1" t="s">
        <v>1599</v>
      </c>
      <c r="N3" s="6">
        <v>6148</v>
      </c>
      <c r="O3" s="6">
        <v>3000</v>
      </c>
      <c r="P3" s="21">
        <v>0.48796356538711777</v>
      </c>
      <c r="Q3" s="1">
        <v>0</v>
      </c>
      <c r="R3" s="1" t="s">
        <v>28</v>
      </c>
      <c r="S3" s="1" t="s">
        <v>18</v>
      </c>
      <c r="T3" s="1" t="s">
        <v>18</v>
      </c>
      <c r="U3" s="22" t="s">
        <v>18</v>
      </c>
      <c r="V3" s="8"/>
    </row>
    <row r="4" spans="1:22" x14ac:dyDescent="0.3">
      <c r="A4" s="1" t="s">
        <v>56</v>
      </c>
      <c r="B4" s="1" t="s">
        <v>400</v>
      </c>
      <c r="D4" s="8">
        <v>224.75166412213741</v>
      </c>
      <c r="E4" s="9">
        <v>13</v>
      </c>
      <c r="F4" s="8">
        <v>216.50946183206108</v>
      </c>
      <c r="G4" s="9">
        <v>11</v>
      </c>
      <c r="H4" s="8">
        <v>219.10574809160303</v>
      </c>
      <c r="I4" s="8">
        <v>14</v>
      </c>
      <c r="J4" s="1">
        <v>1989</v>
      </c>
      <c r="N4" s="6">
        <v>7860</v>
      </c>
      <c r="O4" s="6">
        <v>6360</v>
      </c>
      <c r="P4" s="21">
        <v>0.80916030534351147</v>
      </c>
      <c r="Q4" s="1">
        <v>0</v>
      </c>
      <c r="R4" s="1" t="s">
        <v>28</v>
      </c>
      <c r="S4" s="1" t="s">
        <v>18</v>
      </c>
      <c r="T4" s="1" t="s">
        <v>18</v>
      </c>
      <c r="U4" s="22" t="s">
        <v>18</v>
      </c>
      <c r="V4" s="8"/>
    </row>
    <row r="5" spans="1:22" x14ac:dyDescent="0.3">
      <c r="A5" s="1" t="s">
        <v>56</v>
      </c>
      <c r="B5" s="1" t="s">
        <v>400</v>
      </c>
      <c r="D5" s="8">
        <v>246.6981858087459</v>
      </c>
      <c r="E5" s="9">
        <v>15</v>
      </c>
      <c r="F5" s="8">
        <v>226.02643496138245</v>
      </c>
      <c r="G5" s="9">
        <v>12</v>
      </c>
      <c r="H5" s="8">
        <v>203.14485747624605</v>
      </c>
      <c r="I5" s="8">
        <v>13</v>
      </c>
      <c r="J5" s="1">
        <v>2000</v>
      </c>
      <c r="K5" s="1" t="s">
        <v>25</v>
      </c>
      <c r="L5" s="1">
        <v>2022</v>
      </c>
      <c r="M5" s="1" t="s">
        <v>1599</v>
      </c>
      <c r="N5" s="6">
        <v>17997</v>
      </c>
      <c r="O5" s="6">
        <v>15000</v>
      </c>
      <c r="P5" s="21">
        <v>0.83347224537422904</v>
      </c>
      <c r="Q5" s="1">
        <v>0</v>
      </c>
      <c r="R5" s="1" t="s">
        <v>28</v>
      </c>
      <c r="S5" s="1" t="s">
        <v>18</v>
      </c>
      <c r="T5" s="1" t="s">
        <v>18</v>
      </c>
      <c r="U5" s="22" t="s">
        <v>18</v>
      </c>
      <c r="V5" s="8"/>
    </row>
    <row r="6" spans="1:22" x14ac:dyDescent="0.3">
      <c r="A6" s="1" t="s">
        <v>56</v>
      </c>
      <c r="B6" s="1" t="s">
        <v>400</v>
      </c>
      <c r="D6" s="8">
        <v>0</v>
      </c>
      <c r="E6" s="9" t="s">
        <v>18</v>
      </c>
      <c r="F6" s="8">
        <v>0</v>
      </c>
      <c r="G6" s="9" t="s">
        <v>18</v>
      </c>
      <c r="H6" s="8">
        <v>196.02646384663473</v>
      </c>
      <c r="I6" s="8">
        <v>12</v>
      </c>
      <c r="J6" s="1">
        <v>1999</v>
      </c>
      <c r="K6" s="1" t="s">
        <v>25</v>
      </c>
      <c r="L6" s="1">
        <v>2022</v>
      </c>
      <c r="M6" s="1" t="s">
        <v>1599</v>
      </c>
      <c r="N6" s="6">
        <v>9598</v>
      </c>
      <c r="O6" s="6">
        <v>5730</v>
      </c>
      <c r="P6" s="21">
        <v>0.59699937486976451</v>
      </c>
      <c r="Q6" s="1">
        <v>0</v>
      </c>
      <c r="R6" s="1" t="s">
        <v>1590</v>
      </c>
      <c r="S6" s="1" t="s">
        <v>18</v>
      </c>
      <c r="T6" s="1" t="s">
        <v>18</v>
      </c>
      <c r="U6" s="22" t="s">
        <v>18</v>
      </c>
      <c r="V6" s="8"/>
    </row>
    <row r="7" spans="1:22" x14ac:dyDescent="0.3">
      <c r="A7" s="1" t="s">
        <v>56</v>
      </c>
      <c r="B7" s="1" t="s">
        <v>400</v>
      </c>
      <c r="D7" s="8">
        <v>210.51629054680259</v>
      </c>
      <c r="E7" s="9">
        <v>12</v>
      </c>
      <c r="F7" s="8">
        <v>196.67252780352177</v>
      </c>
      <c r="G7" s="9">
        <v>10</v>
      </c>
      <c r="H7" s="8">
        <v>190.95231464318812</v>
      </c>
      <c r="I7" s="8">
        <v>11</v>
      </c>
      <c r="J7" s="1">
        <v>1986</v>
      </c>
      <c r="K7" s="1" t="s">
        <v>25</v>
      </c>
      <c r="L7" s="1">
        <v>2020</v>
      </c>
      <c r="M7" s="1" t="s">
        <v>1599</v>
      </c>
      <c r="N7" s="6">
        <v>8632</v>
      </c>
      <c r="O7" s="6">
        <v>8632</v>
      </c>
      <c r="P7" s="21">
        <v>1</v>
      </c>
      <c r="Q7" s="1">
        <v>0</v>
      </c>
      <c r="R7" s="1" t="s">
        <v>28</v>
      </c>
      <c r="S7" s="1" t="s">
        <v>18</v>
      </c>
      <c r="T7" s="1" t="s">
        <v>18</v>
      </c>
      <c r="U7" s="22" t="s">
        <v>18</v>
      </c>
      <c r="V7" s="8"/>
    </row>
    <row r="8" spans="1:22" x14ac:dyDescent="0.3">
      <c r="A8" s="1" t="s">
        <v>56</v>
      </c>
      <c r="B8" s="1" t="s">
        <v>400</v>
      </c>
      <c r="D8" s="8">
        <v>192.52478615376918</v>
      </c>
      <c r="E8" s="9">
        <v>11</v>
      </c>
      <c r="F8" s="8">
        <v>181.90150567755489</v>
      </c>
      <c r="G8" s="9">
        <v>9</v>
      </c>
      <c r="H8" s="8">
        <v>177.98808213696162</v>
      </c>
      <c r="I8" s="8">
        <v>10</v>
      </c>
      <c r="J8" s="1">
        <v>2006</v>
      </c>
      <c r="K8" s="1" t="s">
        <v>19</v>
      </c>
      <c r="L8" s="1">
        <v>2019</v>
      </c>
      <c r="M8" s="1" t="s">
        <v>1601</v>
      </c>
      <c r="N8" s="6">
        <v>39982</v>
      </c>
      <c r="O8" s="6">
        <v>13673</v>
      </c>
      <c r="P8" s="21">
        <v>0.34197889050072533</v>
      </c>
      <c r="Q8" s="1">
        <v>0</v>
      </c>
      <c r="R8" s="1" t="s">
        <v>1589</v>
      </c>
      <c r="S8" s="1">
        <v>2</v>
      </c>
      <c r="T8" s="1">
        <v>0.62</v>
      </c>
      <c r="U8" s="22">
        <v>43708</v>
      </c>
      <c r="V8" s="8"/>
    </row>
    <row r="9" spans="1:22" x14ac:dyDescent="0.3">
      <c r="A9" s="1" t="s">
        <v>56</v>
      </c>
      <c r="B9" s="1" t="s">
        <v>400</v>
      </c>
      <c r="D9" s="8">
        <v>189.15699061555591</v>
      </c>
      <c r="E9" s="9">
        <v>10</v>
      </c>
      <c r="F9" s="8">
        <v>165.42613885796086</v>
      </c>
      <c r="G9" s="9">
        <v>8</v>
      </c>
      <c r="H9" s="8">
        <v>166.90356847463022</v>
      </c>
      <c r="I9" s="8">
        <v>9</v>
      </c>
      <c r="J9" s="1">
        <v>1987</v>
      </c>
      <c r="K9" s="1" t="s">
        <v>25</v>
      </c>
      <c r="L9" s="1">
        <v>2022</v>
      </c>
      <c r="M9" s="1" t="s">
        <v>1599</v>
      </c>
      <c r="N9" s="6">
        <v>12574</v>
      </c>
      <c r="O9" s="6">
        <v>81731</v>
      </c>
      <c r="P9" s="21">
        <v>6.5</v>
      </c>
      <c r="Q9" s="1">
        <v>0</v>
      </c>
      <c r="R9" s="1" t="s">
        <v>28</v>
      </c>
      <c r="S9" s="1" t="s">
        <v>18</v>
      </c>
      <c r="T9" s="1" t="s">
        <v>18</v>
      </c>
      <c r="U9" s="22" t="s">
        <v>18</v>
      </c>
      <c r="V9" s="8"/>
    </row>
    <row r="10" spans="1:22" x14ac:dyDescent="0.3">
      <c r="A10" s="1" t="s">
        <v>56</v>
      </c>
      <c r="B10" s="1" t="s">
        <v>400</v>
      </c>
      <c r="D10" s="8">
        <v>148.55225985942991</v>
      </c>
      <c r="E10" s="9">
        <v>9</v>
      </c>
      <c r="F10" s="8">
        <v>138.38011518937913</v>
      </c>
      <c r="G10" s="9">
        <v>7</v>
      </c>
      <c r="H10" s="8">
        <v>139.2142815306521</v>
      </c>
      <c r="I10" s="8">
        <v>8</v>
      </c>
      <c r="J10" s="1">
        <v>1985</v>
      </c>
      <c r="K10" s="1" t="s">
        <v>19</v>
      </c>
      <c r="L10" s="1">
        <v>2019</v>
      </c>
      <c r="M10" s="1" t="s">
        <v>1601</v>
      </c>
      <c r="N10" s="6">
        <v>20488</v>
      </c>
      <c r="O10" s="6">
        <v>11088</v>
      </c>
      <c r="P10" s="21">
        <v>0.54119484576337373</v>
      </c>
      <c r="Q10" s="1">
        <v>0</v>
      </c>
      <c r="R10" s="1" t="s">
        <v>1590</v>
      </c>
      <c r="S10" s="1" t="s">
        <v>18</v>
      </c>
      <c r="T10" s="1" t="s">
        <v>18</v>
      </c>
      <c r="U10" s="22" t="s">
        <v>18</v>
      </c>
      <c r="V10" s="8"/>
    </row>
    <row r="11" spans="1:22" x14ac:dyDescent="0.3">
      <c r="A11" s="1" t="s">
        <v>56</v>
      </c>
      <c r="B11" s="1" t="s">
        <v>400</v>
      </c>
      <c r="D11" s="8">
        <v>135.24257161885095</v>
      </c>
      <c r="E11" s="9">
        <v>8</v>
      </c>
      <c r="F11" s="8">
        <v>129.92911728548899</v>
      </c>
      <c r="G11" s="9">
        <v>6</v>
      </c>
      <c r="H11" s="8">
        <v>133.28708483684576</v>
      </c>
      <c r="I11" s="8">
        <v>7</v>
      </c>
      <c r="J11" s="1">
        <v>2020</v>
      </c>
      <c r="K11" s="1" t="s">
        <v>19</v>
      </c>
      <c r="L11" s="1">
        <v>2019</v>
      </c>
      <c r="M11" s="1" t="s">
        <v>1601</v>
      </c>
      <c r="N11" s="6">
        <v>19099.72</v>
      </c>
      <c r="O11" s="6">
        <v>0</v>
      </c>
      <c r="P11" s="21">
        <v>0</v>
      </c>
      <c r="Q11" s="1">
        <v>0</v>
      </c>
      <c r="R11" s="1" t="s">
        <v>1589</v>
      </c>
      <c r="S11" s="1">
        <v>4</v>
      </c>
      <c r="T11" s="1" t="s">
        <v>18</v>
      </c>
      <c r="U11" s="22" t="s">
        <v>18</v>
      </c>
      <c r="V11" s="8"/>
    </row>
    <row r="12" spans="1:22" x14ac:dyDescent="0.3">
      <c r="A12" s="1" t="s">
        <v>56</v>
      </c>
      <c r="B12" s="1" t="s">
        <v>400</v>
      </c>
      <c r="D12" s="8">
        <v>107.16095326701496</v>
      </c>
      <c r="E12" s="9">
        <v>6</v>
      </c>
      <c r="F12" s="8">
        <v>103.999499033851</v>
      </c>
      <c r="G12" s="9">
        <v>5</v>
      </c>
      <c r="H12" s="8">
        <v>97.712016030916772</v>
      </c>
      <c r="I12" s="8">
        <v>6</v>
      </c>
      <c r="J12" s="1">
        <v>2019</v>
      </c>
      <c r="K12" s="1" t="s">
        <v>25</v>
      </c>
      <c r="L12" s="1">
        <v>2017</v>
      </c>
      <c r="M12" s="1" t="s">
        <v>1598</v>
      </c>
      <c r="N12" s="6">
        <v>13973</v>
      </c>
      <c r="O12" s="6">
        <v>4312</v>
      </c>
      <c r="P12" s="21">
        <v>0.30859514778501396</v>
      </c>
      <c r="Q12" s="1">
        <v>0</v>
      </c>
      <c r="R12" s="1" t="s">
        <v>28</v>
      </c>
      <c r="S12" s="1" t="s">
        <v>18</v>
      </c>
      <c r="T12" s="1" t="s">
        <v>18</v>
      </c>
      <c r="U12" s="22" t="s">
        <v>18</v>
      </c>
      <c r="V12" s="8"/>
    </row>
    <row r="13" spans="1:22" x14ac:dyDescent="0.3">
      <c r="A13" s="1" t="s">
        <v>56</v>
      </c>
      <c r="B13" s="1" t="s">
        <v>400</v>
      </c>
      <c r="D13" s="8">
        <v>80.331161428571434</v>
      </c>
      <c r="E13" s="9">
        <v>5</v>
      </c>
      <c r="F13" s="8">
        <v>77.755564285714286</v>
      </c>
      <c r="G13" s="9">
        <v>4</v>
      </c>
      <c r="H13" s="8">
        <v>82.147308571428582</v>
      </c>
      <c r="I13" s="8">
        <v>5</v>
      </c>
      <c r="J13" s="1">
        <v>2004</v>
      </c>
      <c r="N13" s="6">
        <v>7000</v>
      </c>
      <c r="O13" s="6">
        <v>3000</v>
      </c>
      <c r="P13" s="21">
        <v>0.42857142857142855</v>
      </c>
      <c r="Q13" s="1">
        <v>0</v>
      </c>
      <c r="R13" s="1" t="s">
        <v>28</v>
      </c>
      <c r="S13" s="1" t="s">
        <v>18</v>
      </c>
      <c r="T13" s="1" t="s">
        <v>18</v>
      </c>
      <c r="U13" s="22" t="s">
        <v>18</v>
      </c>
      <c r="V13" s="8"/>
    </row>
    <row r="14" spans="1:22" x14ac:dyDescent="0.3">
      <c r="A14" s="1" t="s">
        <v>56</v>
      </c>
      <c r="B14" s="1" t="s">
        <v>400</v>
      </c>
      <c r="D14" s="8">
        <v>68.744871578947368</v>
      </c>
      <c r="E14" s="9">
        <v>4</v>
      </c>
      <c r="F14" s="8">
        <v>62.907974736842107</v>
      </c>
      <c r="G14" s="9">
        <v>3</v>
      </c>
      <c r="H14" s="8">
        <v>66.994536842105262</v>
      </c>
      <c r="I14" s="8">
        <v>4</v>
      </c>
      <c r="J14" s="1">
        <v>2004</v>
      </c>
      <c r="K14" s="1" t="s">
        <v>25</v>
      </c>
      <c r="L14" s="1">
        <v>2020</v>
      </c>
      <c r="M14" s="1" t="s">
        <v>1599</v>
      </c>
      <c r="N14" s="6">
        <v>9500</v>
      </c>
      <c r="O14" s="6">
        <v>3500</v>
      </c>
      <c r="P14" s="21">
        <v>0.36842105263157893</v>
      </c>
      <c r="Q14" s="1">
        <v>0</v>
      </c>
      <c r="R14" s="1" t="s">
        <v>28</v>
      </c>
      <c r="S14" s="1" t="s">
        <v>18</v>
      </c>
      <c r="T14" s="1" t="s">
        <v>18</v>
      </c>
      <c r="U14" s="22" t="s">
        <v>18</v>
      </c>
      <c r="V14" s="8"/>
    </row>
    <row r="15" spans="1:22" x14ac:dyDescent="0.3">
      <c r="A15" s="1" t="s">
        <v>56</v>
      </c>
      <c r="B15" s="1" t="s">
        <v>400</v>
      </c>
      <c r="D15" s="8">
        <v>42.640240290202925</v>
      </c>
      <c r="E15" s="9">
        <v>2</v>
      </c>
      <c r="F15" s="8">
        <v>37.922335260746237</v>
      </c>
      <c r="G15" s="9">
        <v>1</v>
      </c>
      <c r="H15" s="8">
        <v>40.661925049094478</v>
      </c>
      <c r="I15" s="8">
        <v>3</v>
      </c>
      <c r="J15" s="1">
        <v>1992</v>
      </c>
      <c r="K15" s="1" t="s">
        <v>25</v>
      </c>
      <c r="L15" s="1">
        <v>2022</v>
      </c>
      <c r="M15" s="1" t="s">
        <v>1599</v>
      </c>
      <c r="N15" s="6">
        <v>36664</v>
      </c>
      <c r="O15" s="6">
        <v>15000</v>
      </c>
      <c r="P15" s="21">
        <v>0.4091206633209688</v>
      </c>
      <c r="Q15" s="1">
        <v>0</v>
      </c>
      <c r="R15" s="1" t="s">
        <v>28</v>
      </c>
      <c r="S15" s="1" t="s">
        <v>18</v>
      </c>
      <c r="T15" s="1" t="s">
        <v>18</v>
      </c>
      <c r="U15" s="22" t="s">
        <v>18</v>
      </c>
      <c r="V15" s="8"/>
    </row>
    <row r="16" spans="1:22" x14ac:dyDescent="0.3">
      <c r="A16" s="1" t="s">
        <v>56</v>
      </c>
      <c r="B16" s="1" t="s">
        <v>400</v>
      </c>
      <c r="D16" s="8">
        <v>61.530888463351012</v>
      </c>
      <c r="E16" s="9">
        <v>3</v>
      </c>
      <c r="F16" s="8">
        <v>38.226491613511307</v>
      </c>
      <c r="G16" s="9">
        <v>2</v>
      </c>
      <c r="H16" s="8">
        <v>33.966308020098367</v>
      </c>
      <c r="I16" s="8">
        <v>2</v>
      </c>
      <c r="J16" s="1">
        <v>1995</v>
      </c>
      <c r="K16" s="1" t="s">
        <v>47</v>
      </c>
      <c r="L16" s="1">
        <v>2022</v>
      </c>
      <c r="M16" s="1" t="s">
        <v>1924</v>
      </c>
      <c r="N16" s="6">
        <v>301318</v>
      </c>
      <c r="O16" s="6">
        <v>18965</v>
      </c>
      <c r="P16" s="21">
        <v>6.2940149609382781E-2</v>
      </c>
      <c r="Q16" s="1">
        <v>0</v>
      </c>
      <c r="R16" s="1" t="s">
        <v>28</v>
      </c>
      <c r="U16" s="22"/>
      <c r="V16" s="8"/>
    </row>
    <row r="17" spans="1:22" x14ac:dyDescent="0.3">
      <c r="A17" s="1" t="s">
        <v>56</v>
      </c>
      <c r="B17" s="1" t="s">
        <v>400</v>
      </c>
      <c r="D17" s="8">
        <v>15.489218749999999</v>
      </c>
      <c r="E17" s="9">
        <v>1</v>
      </c>
      <c r="F17" s="8">
        <v>0</v>
      </c>
      <c r="G17" s="9"/>
      <c r="H17" s="8">
        <v>15.346875000000001</v>
      </c>
      <c r="I17" s="8">
        <v>1</v>
      </c>
      <c r="J17" s="1">
        <v>2003</v>
      </c>
      <c r="N17" s="6">
        <v>6400</v>
      </c>
      <c r="O17" s="6">
        <v>74</v>
      </c>
      <c r="P17" s="21">
        <v>1.15625E-2</v>
      </c>
      <c r="Q17" s="1">
        <v>0</v>
      </c>
      <c r="R17" s="1" t="s">
        <v>28</v>
      </c>
      <c r="S17" s="1" t="s">
        <v>18</v>
      </c>
      <c r="T17" s="1" t="s">
        <v>18</v>
      </c>
      <c r="U17" s="22" t="s">
        <v>18</v>
      </c>
      <c r="V17" s="8"/>
    </row>
    <row r="18" spans="1:22" x14ac:dyDescent="0.3">
      <c r="A18" s="1" t="s">
        <v>56</v>
      </c>
      <c r="B18" s="1" t="s">
        <v>13</v>
      </c>
      <c r="D18" s="8">
        <v>290.04163569861009</v>
      </c>
      <c r="E18" s="9">
        <v>38</v>
      </c>
      <c r="F18" s="8">
        <v>260.09403072421361</v>
      </c>
      <c r="G18" s="9">
        <v>38</v>
      </c>
      <c r="H18" s="8">
        <v>333.28968544257498</v>
      </c>
      <c r="I18" s="8">
        <v>41</v>
      </c>
      <c r="J18" s="1">
        <v>2020</v>
      </c>
      <c r="N18" s="6">
        <v>6835</v>
      </c>
      <c r="O18" s="6">
        <v>5326</v>
      </c>
      <c r="P18" s="21">
        <v>0.77922457937088518</v>
      </c>
      <c r="Q18" s="1">
        <v>0</v>
      </c>
      <c r="R18" s="1" t="s">
        <v>28</v>
      </c>
      <c r="S18" s="1" t="s">
        <v>18</v>
      </c>
      <c r="T18" s="1" t="s">
        <v>18</v>
      </c>
      <c r="U18" s="22" t="s">
        <v>18</v>
      </c>
      <c r="V18" s="8"/>
    </row>
    <row r="19" spans="1:22" x14ac:dyDescent="0.3">
      <c r="A19" s="1" t="s">
        <v>56</v>
      </c>
      <c r="B19" s="1" t="s">
        <v>13</v>
      </c>
      <c r="D19" s="8">
        <v>291.48552115384615</v>
      </c>
      <c r="E19" s="9">
        <v>39</v>
      </c>
      <c r="F19" s="8">
        <v>292.72612884615387</v>
      </c>
      <c r="G19" s="9">
        <v>39</v>
      </c>
      <c r="H19" s="8">
        <v>243.30413076923077</v>
      </c>
      <c r="I19" s="8">
        <v>40</v>
      </c>
      <c r="J19" s="1">
        <v>2013</v>
      </c>
      <c r="K19" s="1" t="s">
        <v>25</v>
      </c>
      <c r="L19" s="1">
        <v>2019</v>
      </c>
      <c r="M19" s="1" t="s">
        <v>1601</v>
      </c>
      <c r="N19" s="6">
        <v>5200</v>
      </c>
      <c r="O19" s="6">
        <v>1200</v>
      </c>
      <c r="P19" s="21">
        <v>0.23076923076923078</v>
      </c>
      <c r="Q19" s="1">
        <v>0</v>
      </c>
      <c r="R19" s="1" t="s">
        <v>28</v>
      </c>
      <c r="S19" s="1" t="s">
        <v>18</v>
      </c>
      <c r="T19" s="1" t="s">
        <v>18</v>
      </c>
      <c r="U19" s="22" t="s">
        <v>18</v>
      </c>
      <c r="V19" s="8"/>
    </row>
    <row r="20" spans="1:22" x14ac:dyDescent="0.3">
      <c r="A20" s="1" t="s">
        <v>56</v>
      </c>
      <c r="B20" s="1" t="s">
        <v>13</v>
      </c>
      <c r="D20" s="8">
        <v>202.31192299687825</v>
      </c>
      <c r="E20" s="9">
        <v>36</v>
      </c>
      <c r="F20" s="8">
        <v>254.01382101977111</v>
      </c>
      <c r="G20" s="9">
        <v>37</v>
      </c>
      <c r="H20" s="8">
        <v>242.190901144641</v>
      </c>
      <c r="I20" s="8">
        <v>39</v>
      </c>
      <c r="J20" s="1">
        <v>2015</v>
      </c>
      <c r="N20" s="6">
        <v>4805</v>
      </c>
      <c r="O20" s="6">
        <v>1541</v>
      </c>
      <c r="P20" s="21">
        <v>0.32070759625390216</v>
      </c>
      <c r="Q20" s="1">
        <v>0</v>
      </c>
      <c r="R20" s="1" t="s">
        <v>28</v>
      </c>
      <c r="S20" s="1" t="s">
        <v>18</v>
      </c>
      <c r="T20" s="1" t="s">
        <v>18</v>
      </c>
      <c r="U20" s="22" t="s">
        <v>18</v>
      </c>
      <c r="V20" s="8"/>
    </row>
    <row r="21" spans="1:22" x14ac:dyDescent="0.3">
      <c r="A21" s="1" t="s">
        <v>56</v>
      </c>
      <c r="B21" s="1" t="s">
        <v>13</v>
      </c>
      <c r="D21" s="8">
        <v>236.27156549520768</v>
      </c>
      <c r="E21" s="9">
        <v>37</v>
      </c>
      <c r="F21" s="8">
        <v>231.28686900958468</v>
      </c>
      <c r="G21" s="9">
        <v>36</v>
      </c>
      <c r="H21" s="8">
        <v>230.02207667731631</v>
      </c>
      <c r="I21" s="8">
        <v>38</v>
      </c>
      <c r="J21" s="1">
        <v>1999</v>
      </c>
      <c r="N21" s="6">
        <v>7825</v>
      </c>
      <c r="O21" s="6">
        <v>7000</v>
      </c>
      <c r="P21" s="21">
        <v>0.89456869009584661</v>
      </c>
      <c r="Q21" s="1">
        <v>0</v>
      </c>
      <c r="R21" s="1" t="s">
        <v>28</v>
      </c>
      <c r="S21" s="1" t="s">
        <v>18</v>
      </c>
      <c r="T21" s="1" t="s">
        <v>18</v>
      </c>
      <c r="U21" s="22" t="s">
        <v>18</v>
      </c>
      <c r="V21" s="8"/>
    </row>
    <row r="22" spans="1:22" x14ac:dyDescent="0.3">
      <c r="A22" s="1" t="s">
        <v>56</v>
      </c>
      <c r="B22" s="1" t="s">
        <v>13</v>
      </c>
      <c r="D22" s="8">
        <v>171.78420735861911</v>
      </c>
      <c r="E22" s="9">
        <v>33</v>
      </c>
      <c r="F22" s="8">
        <v>209.34424483306836</v>
      </c>
      <c r="G22" s="9">
        <v>35</v>
      </c>
      <c r="H22" s="8">
        <v>220.00632863956392</v>
      </c>
      <c r="I22" s="8">
        <v>37</v>
      </c>
      <c r="J22" s="1">
        <v>2016</v>
      </c>
      <c r="K22" s="1" t="s">
        <v>19</v>
      </c>
      <c r="L22" s="1">
        <v>2016</v>
      </c>
      <c r="M22" s="1" t="s">
        <v>1598</v>
      </c>
      <c r="N22" s="6">
        <v>8806</v>
      </c>
      <c r="O22" s="6">
        <v>5846</v>
      </c>
      <c r="P22" s="21">
        <v>0.66386554621848737</v>
      </c>
      <c r="Q22" s="1">
        <v>0</v>
      </c>
      <c r="R22" s="1" t="s">
        <v>1589</v>
      </c>
      <c r="S22" s="1">
        <v>2016</v>
      </c>
      <c r="T22" s="1">
        <v>0.6</v>
      </c>
      <c r="U22" s="22">
        <v>44587</v>
      </c>
      <c r="V22" s="8"/>
    </row>
    <row r="23" spans="1:22" x14ac:dyDescent="0.3">
      <c r="A23" s="1" t="s">
        <v>56</v>
      </c>
      <c r="B23" s="1" t="s">
        <v>13</v>
      </c>
      <c r="D23" s="8">
        <v>159.86752827140549</v>
      </c>
      <c r="E23" s="9">
        <v>30</v>
      </c>
      <c r="F23" s="8">
        <v>152.52665589660742</v>
      </c>
      <c r="G23" s="9">
        <v>29</v>
      </c>
      <c r="H23" s="8">
        <v>195.46042003231017</v>
      </c>
      <c r="I23" s="8">
        <v>36</v>
      </c>
      <c r="J23" s="1">
        <v>1956</v>
      </c>
      <c r="N23" s="6">
        <v>619</v>
      </c>
      <c r="O23" s="6">
        <v>264</v>
      </c>
      <c r="P23" s="21">
        <v>0.42649434571890144</v>
      </c>
      <c r="Q23" s="1">
        <v>0</v>
      </c>
      <c r="R23" s="1" t="s">
        <v>28</v>
      </c>
      <c r="S23" s="1" t="s">
        <v>18</v>
      </c>
      <c r="T23" s="1" t="s">
        <v>18</v>
      </c>
      <c r="U23" s="22" t="s">
        <v>18</v>
      </c>
      <c r="V23" s="8"/>
    </row>
    <row r="24" spans="1:22" x14ac:dyDescent="0.3">
      <c r="A24" s="1" t="s">
        <v>56</v>
      </c>
      <c r="B24" s="1" t="s">
        <v>13</v>
      </c>
      <c r="D24" s="8">
        <v>170.93314215148189</v>
      </c>
      <c r="E24" s="9">
        <v>32</v>
      </c>
      <c r="F24" s="8">
        <v>173.12106750823273</v>
      </c>
      <c r="G24" s="9">
        <v>30</v>
      </c>
      <c r="H24" s="8">
        <v>188.08912047200877</v>
      </c>
      <c r="I24" s="8">
        <v>35</v>
      </c>
      <c r="J24" s="1">
        <v>2000</v>
      </c>
      <c r="N24" s="6">
        <v>14576</v>
      </c>
      <c r="O24" s="6">
        <v>11809</v>
      </c>
      <c r="P24" s="21">
        <v>0.81016739846322727</v>
      </c>
      <c r="Q24" s="1">
        <v>175</v>
      </c>
      <c r="R24" s="1" t="s">
        <v>1589</v>
      </c>
      <c r="S24" s="1">
        <v>13</v>
      </c>
      <c r="T24" s="1">
        <v>0.9</v>
      </c>
      <c r="U24" s="22">
        <v>44977</v>
      </c>
      <c r="V24" s="8"/>
    </row>
    <row r="25" spans="1:22" x14ac:dyDescent="0.3">
      <c r="A25" s="1" t="s">
        <v>56</v>
      </c>
      <c r="B25" s="1" t="s">
        <v>13</v>
      </c>
      <c r="D25" s="8">
        <v>175.74971406563651</v>
      </c>
      <c r="E25" s="9">
        <v>34</v>
      </c>
      <c r="F25" s="8">
        <v>175.06297325054851</v>
      </c>
      <c r="G25" s="9">
        <v>31</v>
      </c>
      <c r="H25" s="8">
        <v>177.13129265673871</v>
      </c>
      <c r="I25" s="8">
        <v>34</v>
      </c>
      <c r="J25" s="1">
        <v>2017</v>
      </c>
      <c r="K25" s="1" t="s">
        <v>19</v>
      </c>
      <c r="L25" s="1">
        <v>2022</v>
      </c>
      <c r="M25" s="1" t="s">
        <v>1599</v>
      </c>
      <c r="N25" s="6">
        <v>42842</v>
      </c>
      <c r="O25" s="6">
        <v>16397</v>
      </c>
      <c r="P25" s="21">
        <v>0.38273189860417345</v>
      </c>
      <c r="Q25" s="1">
        <v>0</v>
      </c>
      <c r="R25" s="1" t="s">
        <v>1589</v>
      </c>
      <c r="S25" s="1">
        <v>6</v>
      </c>
      <c r="T25" s="1">
        <v>0.56999999999999995</v>
      </c>
      <c r="U25" s="22">
        <v>44330</v>
      </c>
      <c r="V25" s="8"/>
    </row>
    <row r="26" spans="1:22" x14ac:dyDescent="0.3">
      <c r="A26" s="1" t="s">
        <v>56</v>
      </c>
      <c r="B26" s="1" t="s">
        <v>13</v>
      </c>
      <c r="D26" s="8">
        <v>163.32194735006973</v>
      </c>
      <c r="E26" s="9">
        <v>31</v>
      </c>
      <c r="F26" s="8">
        <v>178.84238319386333</v>
      </c>
      <c r="G26" s="9">
        <v>32</v>
      </c>
      <c r="H26" s="8">
        <v>163.68913354253834</v>
      </c>
      <c r="I26" s="8">
        <v>33</v>
      </c>
      <c r="J26" s="1">
        <v>2004</v>
      </c>
      <c r="N26" s="6">
        <v>11472</v>
      </c>
      <c r="O26" s="6">
        <v>9089</v>
      </c>
      <c r="P26" s="21">
        <v>0.79227684797768483</v>
      </c>
      <c r="Q26" s="1">
        <v>0</v>
      </c>
      <c r="R26" s="1" t="s">
        <v>28</v>
      </c>
      <c r="S26" s="1" t="s">
        <v>18</v>
      </c>
      <c r="T26" s="1" t="s">
        <v>18</v>
      </c>
      <c r="U26" s="22" t="s">
        <v>18</v>
      </c>
      <c r="V26" s="8"/>
    </row>
    <row r="27" spans="1:22" x14ac:dyDescent="0.3">
      <c r="A27" s="1" t="s">
        <v>56</v>
      </c>
      <c r="B27" s="1" t="s">
        <v>13</v>
      </c>
      <c r="D27" s="8">
        <v>179.90157576866767</v>
      </c>
      <c r="E27" s="9">
        <v>35</v>
      </c>
      <c r="F27" s="8">
        <v>182.9869875549048</v>
      </c>
      <c r="G27" s="9">
        <v>34</v>
      </c>
      <c r="H27" s="8">
        <v>153.17190336749636</v>
      </c>
      <c r="I27" s="8">
        <v>32</v>
      </c>
      <c r="J27" s="1">
        <v>2015</v>
      </c>
      <c r="N27" s="6">
        <v>10928</v>
      </c>
      <c r="O27" s="6">
        <v>4828</v>
      </c>
      <c r="P27" s="21">
        <v>0.44180087847730598</v>
      </c>
      <c r="Q27" s="1">
        <v>0</v>
      </c>
      <c r="R27" s="1" t="s">
        <v>28</v>
      </c>
      <c r="S27" s="1" t="s">
        <v>18</v>
      </c>
      <c r="T27" s="1" t="s">
        <v>18</v>
      </c>
      <c r="U27" s="22" t="s">
        <v>18</v>
      </c>
      <c r="V27" s="8"/>
    </row>
    <row r="28" spans="1:22" x14ac:dyDescent="0.3">
      <c r="A28" s="1" t="s">
        <v>56</v>
      </c>
      <c r="B28" s="1" t="s">
        <v>13</v>
      </c>
      <c r="D28" s="8">
        <v>111.1139616766467</v>
      </c>
      <c r="E28" s="9">
        <v>25</v>
      </c>
      <c r="F28" s="8">
        <v>182.49888383233531</v>
      </c>
      <c r="G28" s="9">
        <v>33</v>
      </c>
      <c r="H28" s="8">
        <v>148.11866107784431</v>
      </c>
      <c r="I28" s="8">
        <v>31</v>
      </c>
      <c r="J28" s="1">
        <v>2012</v>
      </c>
      <c r="N28" s="6">
        <v>4175</v>
      </c>
      <c r="O28" s="6">
        <v>2922</v>
      </c>
      <c r="P28" s="21">
        <v>0.69988023952095813</v>
      </c>
      <c r="Q28" s="1">
        <v>0</v>
      </c>
      <c r="R28" s="1" t="s">
        <v>28</v>
      </c>
      <c r="S28" s="1" t="s">
        <v>18</v>
      </c>
      <c r="T28" s="1" t="s">
        <v>18</v>
      </c>
      <c r="U28" s="22" t="s">
        <v>18</v>
      </c>
      <c r="V28" s="8"/>
    </row>
    <row r="29" spans="1:22" x14ac:dyDescent="0.3">
      <c r="A29" s="1" t="s">
        <v>56</v>
      </c>
      <c r="B29" s="1" t="s">
        <v>13</v>
      </c>
      <c r="D29" s="8">
        <v>141.80571633237821</v>
      </c>
      <c r="E29" s="9">
        <v>29</v>
      </c>
      <c r="F29" s="8">
        <v>135.29545666189111</v>
      </c>
      <c r="G29" s="9">
        <v>28</v>
      </c>
      <c r="H29" s="8">
        <v>144.2677829512894</v>
      </c>
      <c r="I29" s="8">
        <v>30</v>
      </c>
      <c r="J29" s="1">
        <v>2005</v>
      </c>
      <c r="K29" s="1" t="s">
        <v>25</v>
      </c>
      <c r="L29" s="1">
        <v>2022</v>
      </c>
      <c r="M29" s="1" t="s">
        <v>1599</v>
      </c>
      <c r="N29" s="6">
        <v>5584</v>
      </c>
      <c r="O29" s="6">
        <v>0</v>
      </c>
      <c r="P29" s="21">
        <v>0</v>
      </c>
      <c r="Q29" s="1">
        <v>0</v>
      </c>
      <c r="R29" s="1" t="s">
        <v>28</v>
      </c>
      <c r="S29" s="1" t="s">
        <v>18</v>
      </c>
      <c r="T29" s="1" t="s">
        <v>18</v>
      </c>
      <c r="U29" s="22" t="s">
        <v>18</v>
      </c>
      <c r="V29" s="8"/>
    </row>
    <row r="30" spans="1:22" x14ac:dyDescent="0.3">
      <c r="A30" s="1" t="s">
        <v>56</v>
      </c>
      <c r="B30" s="1" t="s">
        <v>13</v>
      </c>
      <c r="D30" s="8">
        <v>130.62438573803806</v>
      </c>
      <c r="E30" s="9">
        <v>28</v>
      </c>
      <c r="F30" s="8">
        <v>128.50260484019952</v>
      </c>
      <c r="G30" s="9">
        <v>27</v>
      </c>
      <c r="H30" s="8">
        <v>138.01189728431552</v>
      </c>
      <c r="I30" s="8">
        <v>29</v>
      </c>
      <c r="J30" s="1">
        <v>2013</v>
      </c>
      <c r="K30" s="1" t="s">
        <v>19</v>
      </c>
      <c r="L30" s="1">
        <v>2022</v>
      </c>
      <c r="M30" s="1" t="s">
        <v>1818</v>
      </c>
      <c r="N30" s="6">
        <v>27065</v>
      </c>
      <c r="O30" s="6">
        <v>20238</v>
      </c>
      <c r="P30" s="21">
        <v>0.74775540365786075</v>
      </c>
      <c r="Q30" s="1">
        <v>0</v>
      </c>
      <c r="R30" s="1" t="s">
        <v>1589</v>
      </c>
      <c r="S30" s="1">
        <v>10</v>
      </c>
      <c r="T30" s="1">
        <v>0.65</v>
      </c>
      <c r="U30" s="22">
        <v>44879</v>
      </c>
      <c r="V30" s="8"/>
    </row>
    <row r="31" spans="1:22" x14ac:dyDescent="0.3">
      <c r="A31" s="1" t="s">
        <v>56</v>
      </c>
      <c r="B31" s="1" t="s">
        <v>13</v>
      </c>
      <c r="D31" s="8">
        <v>119.11955689680553</v>
      </c>
      <c r="E31" s="9">
        <v>26</v>
      </c>
      <c r="F31" s="8">
        <v>123.09722508464596</v>
      </c>
      <c r="G31" s="9">
        <v>26</v>
      </c>
      <c r="H31" s="8">
        <v>127.62113940821435</v>
      </c>
      <c r="I31" s="8">
        <v>28</v>
      </c>
      <c r="J31" s="1">
        <v>1993</v>
      </c>
      <c r="N31" s="6">
        <v>6793</v>
      </c>
      <c r="O31" s="6">
        <v>462</v>
      </c>
      <c r="P31" s="21">
        <v>6.8011187987634336E-2</v>
      </c>
      <c r="Q31" s="1">
        <v>0</v>
      </c>
      <c r="R31" s="1" t="s">
        <v>28</v>
      </c>
      <c r="S31" s="1" t="s">
        <v>18</v>
      </c>
      <c r="T31" s="1" t="s">
        <v>18</v>
      </c>
      <c r="U31" s="22" t="s">
        <v>18</v>
      </c>
      <c r="V31" s="8"/>
    </row>
    <row r="32" spans="1:22" x14ac:dyDescent="0.3">
      <c r="A32" s="1" t="s">
        <v>56</v>
      </c>
      <c r="B32" s="1" t="s">
        <v>13</v>
      </c>
      <c r="D32" s="8">
        <v>91.84903221581979</v>
      </c>
      <c r="E32" s="9">
        <v>21</v>
      </c>
      <c r="F32" s="8">
        <v>112.14428103719224</v>
      </c>
      <c r="G32" s="9">
        <v>25</v>
      </c>
      <c r="H32" s="8">
        <v>115.35770298585648</v>
      </c>
      <c r="I32" s="8">
        <v>27</v>
      </c>
      <c r="J32" s="1">
        <v>1995</v>
      </c>
      <c r="N32" s="6">
        <v>7636</v>
      </c>
      <c r="O32" s="6">
        <v>3818</v>
      </c>
      <c r="P32" s="21">
        <v>0.5</v>
      </c>
      <c r="Q32" s="1">
        <v>0</v>
      </c>
      <c r="R32" s="1" t="s">
        <v>28</v>
      </c>
      <c r="S32" s="1" t="s">
        <v>18</v>
      </c>
      <c r="T32" s="1" t="s">
        <v>18</v>
      </c>
      <c r="U32" s="22" t="s">
        <v>18</v>
      </c>
      <c r="V32" s="8"/>
    </row>
    <row r="33" spans="1:22" x14ac:dyDescent="0.3">
      <c r="A33" s="1" t="s">
        <v>56</v>
      </c>
      <c r="B33" s="1" t="s">
        <v>13</v>
      </c>
      <c r="D33" s="8">
        <v>105.23979793340986</v>
      </c>
      <c r="E33" s="9">
        <v>24</v>
      </c>
      <c r="F33" s="8">
        <v>106.72516188289323</v>
      </c>
      <c r="G33" s="9">
        <v>24</v>
      </c>
      <c r="H33" s="8">
        <v>110.69347416762342</v>
      </c>
      <c r="I33" s="8">
        <v>26</v>
      </c>
      <c r="J33" s="1">
        <v>1987</v>
      </c>
      <c r="K33" s="1" t="s">
        <v>21</v>
      </c>
      <c r="L33" s="1">
        <v>2017</v>
      </c>
      <c r="M33" s="1" t="s">
        <v>1601</v>
      </c>
      <c r="N33" s="6">
        <v>8710</v>
      </c>
      <c r="O33" s="6">
        <v>7867</v>
      </c>
      <c r="P33" s="21">
        <v>0.90321469575200919</v>
      </c>
      <c r="Q33" s="1">
        <v>110</v>
      </c>
      <c r="R33" s="1" t="s">
        <v>1589</v>
      </c>
      <c r="S33" s="1">
        <v>8</v>
      </c>
      <c r="T33" s="1">
        <v>0.67</v>
      </c>
      <c r="U33" s="22">
        <v>44460</v>
      </c>
      <c r="V33" s="8"/>
    </row>
    <row r="34" spans="1:22" x14ac:dyDescent="0.3">
      <c r="A34" s="1" t="s">
        <v>56</v>
      </c>
      <c r="B34" s="1" t="s">
        <v>13</v>
      </c>
      <c r="D34" s="8">
        <v>121.79147162673992</v>
      </c>
      <c r="E34" s="9">
        <v>27</v>
      </c>
      <c r="F34" s="8">
        <v>101.67056508908077</v>
      </c>
      <c r="G34" s="9">
        <v>22</v>
      </c>
      <c r="H34" s="8">
        <v>97.897703241504175</v>
      </c>
      <c r="I34" s="8">
        <v>25</v>
      </c>
      <c r="J34" s="1">
        <v>1999</v>
      </c>
      <c r="N34" s="6">
        <v>210427</v>
      </c>
      <c r="O34" s="6">
        <v>559390</v>
      </c>
      <c r="P34" s="21">
        <v>2.6583565797164814</v>
      </c>
      <c r="Q34" s="1">
        <v>0</v>
      </c>
      <c r="R34" s="1" t="s">
        <v>1589</v>
      </c>
      <c r="S34" s="1">
        <v>8</v>
      </c>
      <c r="T34" s="1" t="s">
        <v>18</v>
      </c>
      <c r="U34" s="22" t="s">
        <v>18</v>
      </c>
      <c r="V34" s="8"/>
    </row>
    <row r="35" spans="1:22" x14ac:dyDescent="0.3">
      <c r="A35" s="1" t="s">
        <v>56</v>
      </c>
      <c r="B35" s="1" t="s">
        <v>13</v>
      </c>
      <c r="D35" s="8">
        <v>98.646694214876035</v>
      </c>
      <c r="E35" s="9">
        <v>23</v>
      </c>
      <c r="F35" s="8">
        <v>92.890125391849537</v>
      </c>
      <c r="G35" s="9">
        <v>20</v>
      </c>
      <c r="H35" s="8">
        <v>97.520205186662878</v>
      </c>
      <c r="I35" s="8">
        <v>24</v>
      </c>
      <c r="J35" s="1">
        <v>1978</v>
      </c>
      <c r="N35" s="6">
        <v>7018</v>
      </c>
      <c r="O35" s="6">
        <v>7250</v>
      </c>
      <c r="P35" s="21">
        <v>1.0330578512396693</v>
      </c>
      <c r="Q35" s="1">
        <v>0</v>
      </c>
      <c r="R35" s="1" t="s">
        <v>28</v>
      </c>
      <c r="S35" s="1" t="s">
        <v>18</v>
      </c>
      <c r="T35" s="1" t="s">
        <v>18</v>
      </c>
      <c r="U35" s="22" t="s">
        <v>18</v>
      </c>
      <c r="V35" s="8"/>
    </row>
    <row r="36" spans="1:22" x14ac:dyDescent="0.3">
      <c r="A36" s="1" t="s">
        <v>56</v>
      </c>
      <c r="B36" s="1" t="s">
        <v>13</v>
      </c>
      <c r="D36" s="8">
        <v>91.125421586562453</v>
      </c>
      <c r="E36" s="9">
        <v>20</v>
      </c>
      <c r="F36" s="8">
        <v>92.995409945118908</v>
      </c>
      <c r="G36" s="9">
        <v>21</v>
      </c>
      <c r="H36" s="8">
        <v>97.285305172127067</v>
      </c>
      <c r="I36" s="8">
        <v>23</v>
      </c>
      <c r="J36" s="1">
        <v>2017</v>
      </c>
      <c r="N36" s="6">
        <v>6013</v>
      </c>
      <c r="O36" s="6">
        <v>1753</v>
      </c>
      <c r="P36" s="21">
        <v>0.29153500748378514</v>
      </c>
      <c r="Q36" s="1">
        <v>0</v>
      </c>
      <c r="R36" s="1" t="s">
        <v>28</v>
      </c>
      <c r="S36" s="1" t="s">
        <v>18</v>
      </c>
      <c r="T36" s="1" t="s">
        <v>18</v>
      </c>
      <c r="U36" s="22" t="s">
        <v>18</v>
      </c>
      <c r="V36" s="8"/>
    </row>
    <row r="37" spans="1:22" x14ac:dyDescent="0.3">
      <c r="A37" s="1" t="s">
        <v>56</v>
      </c>
      <c r="B37" s="1" t="s">
        <v>13</v>
      </c>
      <c r="D37" s="8">
        <v>97.925179043499156</v>
      </c>
      <c r="E37" s="9">
        <v>22</v>
      </c>
      <c r="F37" s="8">
        <v>103.29102679644315</v>
      </c>
      <c r="G37" s="9">
        <v>23</v>
      </c>
      <c r="H37" s="8">
        <v>87.312891131939438</v>
      </c>
      <c r="I37" s="8">
        <v>22</v>
      </c>
      <c r="J37" s="1">
        <v>2018</v>
      </c>
      <c r="K37" s="1" t="s">
        <v>19</v>
      </c>
      <c r="L37" s="1">
        <v>2022</v>
      </c>
      <c r="M37" s="1" t="s">
        <v>1598</v>
      </c>
      <c r="N37" s="6">
        <v>16644</v>
      </c>
      <c r="O37" s="6">
        <v>7440</v>
      </c>
      <c r="P37" s="21">
        <v>0.44700793078586876</v>
      </c>
      <c r="Q37" s="1">
        <v>0</v>
      </c>
      <c r="R37" s="1" t="s">
        <v>1589</v>
      </c>
      <c r="S37" s="1">
        <v>5</v>
      </c>
      <c r="T37" s="1">
        <v>0.64800000000000002</v>
      </c>
      <c r="U37" s="22">
        <v>44881</v>
      </c>
      <c r="V37" s="8"/>
    </row>
    <row r="38" spans="1:22" x14ac:dyDescent="0.3">
      <c r="A38" s="1" t="s">
        <v>56</v>
      </c>
      <c r="B38" s="1" t="s">
        <v>13</v>
      </c>
      <c r="D38" s="8">
        <v>80.303293046067608</v>
      </c>
      <c r="E38" s="9">
        <v>19</v>
      </c>
      <c r="F38" s="8">
        <v>83.990117358556674</v>
      </c>
      <c r="G38" s="9">
        <v>19</v>
      </c>
      <c r="H38" s="8">
        <v>80.89845857418112</v>
      </c>
      <c r="I38" s="8">
        <v>20</v>
      </c>
      <c r="J38" s="1">
        <v>1995</v>
      </c>
      <c r="N38" s="6">
        <v>5709</v>
      </c>
      <c r="O38" s="6">
        <v>552</v>
      </c>
      <c r="P38" s="21">
        <v>9.6689437729900157E-2</v>
      </c>
      <c r="Q38" s="1">
        <v>0</v>
      </c>
      <c r="R38" s="1" t="s">
        <v>28</v>
      </c>
      <c r="S38" s="1" t="s">
        <v>18</v>
      </c>
      <c r="T38" s="1" t="s">
        <v>18</v>
      </c>
      <c r="U38" s="22" t="s">
        <v>18</v>
      </c>
      <c r="V38" s="8"/>
    </row>
    <row r="39" spans="1:22" x14ac:dyDescent="0.3">
      <c r="A39" s="1" t="s">
        <v>56</v>
      </c>
      <c r="B39" s="1" t="s">
        <v>13</v>
      </c>
      <c r="D39" s="8">
        <v>66.211333448335338</v>
      </c>
      <c r="E39" s="9">
        <v>14</v>
      </c>
      <c r="F39" s="8">
        <v>65.274219423839924</v>
      </c>
      <c r="G39" s="9">
        <v>13</v>
      </c>
      <c r="H39" s="8">
        <v>76.617336553389691</v>
      </c>
      <c r="I39" s="8">
        <v>19</v>
      </c>
      <c r="J39" s="1">
        <v>1996</v>
      </c>
      <c r="N39" s="6">
        <v>5797</v>
      </c>
      <c r="O39" s="6">
        <v>783</v>
      </c>
      <c r="P39" s="21">
        <v>0.13506986372261515</v>
      </c>
      <c r="Q39" s="1">
        <v>0</v>
      </c>
      <c r="R39" s="1" t="s">
        <v>28</v>
      </c>
      <c r="S39" s="1" t="s">
        <v>18</v>
      </c>
      <c r="T39" s="1" t="s">
        <v>18</v>
      </c>
      <c r="U39" s="22" t="s">
        <v>18</v>
      </c>
      <c r="V39" s="8"/>
    </row>
    <row r="40" spans="1:22" x14ac:dyDescent="0.3">
      <c r="A40" s="1" t="s">
        <v>56</v>
      </c>
      <c r="B40" s="1" t="s">
        <v>13</v>
      </c>
      <c r="D40" s="8">
        <v>72.525407323761897</v>
      </c>
      <c r="E40" s="9">
        <v>17</v>
      </c>
      <c r="F40" s="8">
        <v>75.332311663171481</v>
      </c>
      <c r="G40" s="9">
        <v>17</v>
      </c>
      <c r="H40" s="8">
        <v>73.619132118083556</v>
      </c>
      <c r="I40" s="8">
        <v>18</v>
      </c>
      <c r="J40" s="1">
        <v>1995</v>
      </c>
      <c r="N40" s="6">
        <v>6199</v>
      </c>
      <c r="O40" s="6">
        <v>355</v>
      </c>
      <c r="P40" s="21">
        <v>5.7267301177609295E-2</v>
      </c>
      <c r="Q40" s="1">
        <v>0</v>
      </c>
      <c r="R40" s="1" t="s">
        <v>28</v>
      </c>
      <c r="S40" s="1" t="s">
        <v>18</v>
      </c>
      <c r="T40" s="1" t="s">
        <v>18</v>
      </c>
      <c r="U40" s="22" t="s">
        <v>18</v>
      </c>
      <c r="V40" s="8"/>
    </row>
    <row r="41" spans="1:22" x14ac:dyDescent="0.3">
      <c r="A41" s="1" t="s">
        <v>56</v>
      </c>
      <c r="B41" s="1" t="s">
        <v>13</v>
      </c>
      <c r="D41" s="8">
        <v>78.317610981308405</v>
      </c>
      <c r="E41" s="9">
        <v>18</v>
      </c>
      <c r="F41" s="8">
        <v>71.816223714953267</v>
      </c>
      <c r="G41" s="9">
        <v>16</v>
      </c>
      <c r="H41" s="8">
        <v>69.932523364485974</v>
      </c>
      <c r="I41" s="8">
        <v>17</v>
      </c>
      <c r="J41" s="1">
        <v>1994</v>
      </c>
      <c r="N41" s="6">
        <v>6848</v>
      </c>
      <c r="O41" s="6">
        <v>4782</v>
      </c>
      <c r="P41" s="21">
        <v>0.69830607476635509</v>
      </c>
      <c r="Q41" s="1">
        <v>0</v>
      </c>
      <c r="R41" s="1" t="s">
        <v>28</v>
      </c>
      <c r="S41" s="1" t="s">
        <v>18</v>
      </c>
      <c r="T41" s="1" t="s">
        <v>18</v>
      </c>
      <c r="U41" s="22" t="s">
        <v>18</v>
      </c>
      <c r="V41" s="8"/>
    </row>
    <row r="42" spans="1:22" x14ac:dyDescent="0.3">
      <c r="A42" s="1" t="s">
        <v>56</v>
      </c>
      <c r="B42" s="1" t="s">
        <v>13</v>
      </c>
      <c r="D42" s="8">
        <v>71.460072416674393</v>
      </c>
      <c r="E42" s="9">
        <v>15</v>
      </c>
      <c r="F42" s="8">
        <v>75.90808838547953</v>
      </c>
      <c r="G42" s="9">
        <v>18</v>
      </c>
      <c r="H42" s="8">
        <v>68.705893603193772</v>
      </c>
      <c r="I42" s="8">
        <v>16</v>
      </c>
      <c r="J42" s="1">
        <v>2002</v>
      </c>
      <c r="N42" s="6">
        <v>10771</v>
      </c>
      <c r="O42" s="6">
        <v>9256</v>
      </c>
      <c r="P42" s="21">
        <v>0.85934453625475815</v>
      </c>
      <c r="Q42" s="1">
        <v>0</v>
      </c>
      <c r="R42" s="1" t="s">
        <v>28</v>
      </c>
      <c r="S42" s="1" t="s">
        <v>18</v>
      </c>
      <c r="T42" s="1" t="s">
        <v>18</v>
      </c>
      <c r="U42" s="22" t="s">
        <v>18</v>
      </c>
      <c r="V42" s="8"/>
    </row>
    <row r="43" spans="1:22" x14ac:dyDescent="0.3">
      <c r="A43" s="1" t="s">
        <v>56</v>
      </c>
      <c r="B43" s="1" t="s">
        <v>13</v>
      </c>
      <c r="D43" s="8">
        <v>57.552843021887504</v>
      </c>
      <c r="E43" s="9">
        <v>11</v>
      </c>
      <c r="F43" s="8">
        <v>68.481315603671447</v>
      </c>
      <c r="G43" s="9">
        <v>14</v>
      </c>
      <c r="H43" s="8">
        <v>67.84974817604143</v>
      </c>
      <c r="I43" s="8">
        <v>15</v>
      </c>
      <c r="J43" s="1">
        <v>2017</v>
      </c>
      <c r="N43" s="6">
        <v>4249</v>
      </c>
      <c r="O43" s="6">
        <v>3000</v>
      </c>
      <c r="P43" s="21">
        <v>0.70604848199576375</v>
      </c>
      <c r="Q43" s="1">
        <v>0</v>
      </c>
      <c r="R43" s="1" t="s">
        <v>1787</v>
      </c>
      <c r="T43" s="1">
        <v>4</v>
      </c>
      <c r="U43" s="22">
        <v>45078</v>
      </c>
      <c r="V43" s="8"/>
    </row>
    <row r="44" spans="1:22" x14ac:dyDescent="0.3">
      <c r="A44" s="1" t="s">
        <v>56</v>
      </c>
      <c r="B44" s="1" t="s">
        <v>13</v>
      </c>
      <c r="D44" s="8">
        <v>72.071195847750872</v>
      </c>
      <c r="E44" s="9">
        <v>16</v>
      </c>
      <c r="F44" s="8">
        <v>70.317368858131488</v>
      </c>
      <c r="G44" s="9">
        <v>15</v>
      </c>
      <c r="H44" s="8">
        <v>66.179325259515565</v>
      </c>
      <c r="I44" s="8">
        <v>14</v>
      </c>
      <c r="J44" s="1">
        <v>2016</v>
      </c>
      <c r="N44" s="6">
        <v>14450</v>
      </c>
      <c r="O44" s="6">
        <v>10000</v>
      </c>
      <c r="P44" s="21">
        <v>0.69204152249134943</v>
      </c>
      <c r="Q44" s="1">
        <v>0</v>
      </c>
      <c r="R44" s="1" t="s">
        <v>28</v>
      </c>
      <c r="S44" s="1" t="s">
        <v>18</v>
      </c>
      <c r="T44" s="1" t="s">
        <v>18</v>
      </c>
      <c r="U44" s="22" t="s">
        <v>18</v>
      </c>
      <c r="V44" s="8"/>
    </row>
    <row r="45" spans="1:22" x14ac:dyDescent="0.3">
      <c r="A45" s="1" t="s">
        <v>56</v>
      </c>
      <c r="B45" s="1" t="s">
        <v>13</v>
      </c>
      <c r="D45" s="8">
        <v>62.229776037756082</v>
      </c>
      <c r="E45" s="9">
        <v>12</v>
      </c>
      <c r="F45" s="8">
        <v>62.733782044406304</v>
      </c>
      <c r="G45" s="9">
        <v>11</v>
      </c>
      <c r="H45" s="8">
        <v>63.40927598412528</v>
      </c>
      <c r="I45" s="8">
        <v>13</v>
      </c>
      <c r="J45" s="1">
        <v>2001</v>
      </c>
      <c r="N45" s="6">
        <v>6235</v>
      </c>
      <c r="O45" s="6">
        <v>496</v>
      </c>
      <c r="P45" s="21">
        <v>7.9550922213311948E-2</v>
      </c>
      <c r="Q45" s="1">
        <v>0</v>
      </c>
      <c r="R45" s="1" t="s">
        <v>28</v>
      </c>
      <c r="S45" s="1" t="s">
        <v>18</v>
      </c>
      <c r="T45" s="1" t="s">
        <v>18</v>
      </c>
      <c r="U45" s="22" t="s">
        <v>18</v>
      </c>
      <c r="V45" s="8"/>
    </row>
    <row r="46" spans="1:22" x14ac:dyDescent="0.3">
      <c r="A46" s="1" t="s">
        <v>56</v>
      </c>
      <c r="B46" s="1" t="s">
        <v>13</v>
      </c>
      <c r="D46" s="8">
        <v>65.976847133757971</v>
      </c>
      <c r="E46" s="9">
        <v>13</v>
      </c>
      <c r="F46" s="8">
        <v>63.448651804670909</v>
      </c>
      <c r="G46" s="9">
        <v>12</v>
      </c>
      <c r="H46" s="8">
        <v>63.26674097664543</v>
      </c>
      <c r="I46" s="8">
        <v>12</v>
      </c>
      <c r="J46" s="1">
        <v>1975</v>
      </c>
      <c r="N46" s="6">
        <v>942</v>
      </c>
      <c r="O46" s="6">
        <v>654</v>
      </c>
      <c r="P46" s="21">
        <v>0.69426751592356684</v>
      </c>
      <c r="Q46" s="1">
        <v>0</v>
      </c>
      <c r="R46" s="1" t="s">
        <v>28</v>
      </c>
      <c r="S46" s="1" t="s">
        <v>18</v>
      </c>
      <c r="T46" s="1" t="s">
        <v>18</v>
      </c>
      <c r="U46" s="22" t="s">
        <v>18</v>
      </c>
      <c r="V46" s="8"/>
    </row>
    <row r="47" spans="1:22" x14ac:dyDescent="0.3">
      <c r="A47" s="1" t="s">
        <v>56</v>
      </c>
      <c r="B47" s="1" t="s">
        <v>13</v>
      </c>
      <c r="D47" s="8">
        <v>56.312519957107114</v>
      </c>
      <c r="E47" s="9">
        <v>10</v>
      </c>
      <c r="F47" s="8">
        <v>62.282656976051477</v>
      </c>
      <c r="G47" s="9">
        <v>10</v>
      </c>
      <c r="H47" s="8">
        <v>59.60329560347909</v>
      </c>
      <c r="I47" s="8">
        <v>11</v>
      </c>
      <c r="J47" s="1">
        <v>1994</v>
      </c>
      <c r="N47" s="6">
        <v>8393</v>
      </c>
      <c r="O47" s="6">
        <v>2856</v>
      </c>
      <c r="P47" s="21">
        <v>0.3402835696413678</v>
      </c>
      <c r="Q47" s="1">
        <v>0</v>
      </c>
      <c r="R47" s="1" t="s">
        <v>28</v>
      </c>
      <c r="S47" s="1" t="s">
        <v>18</v>
      </c>
      <c r="T47" s="1" t="s">
        <v>18</v>
      </c>
      <c r="U47" s="22" t="s">
        <v>18</v>
      </c>
      <c r="V47" s="8"/>
    </row>
    <row r="48" spans="1:22" x14ac:dyDescent="0.3">
      <c r="A48" s="1" t="s">
        <v>56</v>
      </c>
      <c r="B48" s="1" t="s">
        <v>13</v>
      </c>
      <c r="D48" s="8">
        <v>48.803954666023628</v>
      </c>
      <c r="E48" s="9">
        <v>8</v>
      </c>
      <c r="F48" s="8">
        <v>53.642392090667954</v>
      </c>
      <c r="G48" s="9">
        <v>8</v>
      </c>
      <c r="H48" s="8">
        <v>53.033518205931998</v>
      </c>
      <c r="I48" s="8">
        <v>10</v>
      </c>
      <c r="J48" s="1">
        <v>2016</v>
      </c>
      <c r="K48" s="1" t="s">
        <v>21</v>
      </c>
      <c r="L48" s="1">
        <v>2020</v>
      </c>
      <c r="M48" s="1" t="s">
        <v>1598</v>
      </c>
      <c r="N48" s="6">
        <v>8294</v>
      </c>
      <c r="O48" s="6">
        <v>280</v>
      </c>
      <c r="P48" s="21">
        <v>3.3759344104171689E-2</v>
      </c>
      <c r="Q48" s="1">
        <v>0</v>
      </c>
      <c r="R48" s="1" t="s">
        <v>28</v>
      </c>
      <c r="S48" s="1" t="s">
        <v>18</v>
      </c>
      <c r="T48" s="1" t="s">
        <v>18</v>
      </c>
      <c r="U48" s="22" t="s">
        <v>18</v>
      </c>
      <c r="V48" s="8"/>
    </row>
    <row r="49" spans="1:22" x14ac:dyDescent="0.3">
      <c r="A49" s="1" t="s">
        <v>56</v>
      </c>
      <c r="B49" s="1" t="s">
        <v>13</v>
      </c>
      <c r="D49" s="8">
        <v>42.042190417878466</v>
      </c>
      <c r="E49" s="9">
        <v>6</v>
      </c>
      <c r="F49" s="8">
        <v>48.986866676871273</v>
      </c>
      <c r="G49" s="9">
        <v>7</v>
      </c>
      <c r="H49" s="8">
        <v>51.876118169294351</v>
      </c>
      <c r="I49" s="8">
        <v>9</v>
      </c>
      <c r="J49" s="1">
        <v>1990</v>
      </c>
      <c r="N49" s="6">
        <v>6533</v>
      </c>
      <c r="O49" s="6">
        <v>162</v>
      </c>
      <c r="P49" s="21">
        <v>2.4797183529771928E-2</v>
      </c>
      <c r="Q49" s="1">
        <v>0</v>
      </c>
      <c r="R49" s="1" t="s">
        <v>28</v>
      </c>
      <c r="S49" s="1" t="s">
        <v>18</v>
      </c>
      <c r="T49" s="1" t="s">
        <v>18</v>
      </c>
      <c r="U49" s="22" t="s">
        <v>18</v>
      </c>
      <c r="V49" s="8"/>
    </row>
    <row r="50" spans="1:22" x14ac:dyDescent="0.3">
      <c r="A50" s="1" t="s">
        <v>56</v>
      </c>
      <c r="B50" s="1" t="s">
        <v>13</v>
      </c>
      <c r="D50" s="8">
        <v>55.125279237844943</v>
      </c>
      <c r="E50" s="9">
        <v>9</v>
      </c>
      <c r="F50" s="8">
        <v>54.464142575558476</v>
      </c>
      <c r="G50" s="9">
        <v>9</v>
      </c>
      <c r="H50" s="8">
        <v>50.906865965834427</v>
      </c>
      <c r="I50" s="8">
        <v>8</v>
      </c>
      <c r="J50" s="1">
        <v>2004</v>
      </c>
      <c r="N50" s="6">
        <v>9132</v>
      </c>
      <c r="O50" s="6">
        <v>4000</v>
      </c>
      <c r="P50" s="21">
        <v>0.43802014892685065</v>
      </c>
      <c r="Q50" s="1">
        <v>0</v>
      </c>
      <c r="R50" s="1" t="s">
        <v>28</v>
      </c>
      <c r="S50" s="1" t="s">
        <v>18</v>
      </c>
      <c r="T50" s="1" t="s">
        <v>18</v>
      </c>
      <c r="U50" s="22" t="s">
        <v>18</v>
      </c>
      <c r="V50" s="8"/>
    </row>
    <row r="51" spans="1:22" x14ac:dyDescent="0.3">
      <c r="A51" s="1" t="s">
        <v>56</v>
      </c>
      <c r="B51" s="1" t="s">
        <v>13</v>
      </c>
      <c r="D51" s="8">
        <v>46.753373895976445</v>
      </c>
      <c r="E51" s="9">
        <v>7</v>
      </c>
      <c r="F51" s="8">
        <v>47.357872423945039</v>
      </c>
      <c r="G51" s="9">
        <v>6</v>
      </c>
      <c r="H51" s="8">
        <v>48.579163886162902</v>
      </c>
      <c r="I51" s="8">
        <v>7</v>
      </c>
      <c r="J51" s="1">
        <v>2006</v>
      </c>
      <c r="K51" s="1" t="s">
        <v>21</v>
      </c>
      <c r="L51" s="1">
        <v>2019</v>
      </c>
      <c r="M51" s="1" t="s">
        <v>1601</v>
      </c>
      <c r="N51" s="6">
        <v>5095</v>
      </c>
      <c r="O51" s="6">
        <v>915</v>
      </c>
      <c r="P51" s="21">
        <v>0.17958783120706576</v>
      </c>
      <c r="Q51" s="1">
        <v>0</v>
      </c>
      <c r="R51" s="1" t="s">
        <v>28</v>
      </c>
      <c r="S51" s="1" t="s">
        <v>18</v>
      </c>
      <c r="T51" s="1" t="s">
        <v>18</v>
      </c>
      <c r="U51" s="22" t="s">
        <v>18</v>
      </c>
      <c r="V51" s="8"/>
    </row>
    <row r="52" spans="1:22" x14ac:dyDescent="0.3">
      <c r="A52" s="1" t="s">
        <v>56</v>
      </c>
      <c r="B52" s="1" t="s">
        <v>13</v>
      </c>
      <c r="D52" s="8">
        <v>35.770874029104547</v>
      </c>
      <c r="E52" s="9">
        <v>5</v>
      </c>
      <c r="F52" s="8">
        <v>37.781594500491032</v>
      </c>
      <c r="G52" s="9">
        <v>5</v>
      </c>
      <c r="H52" s="8">
        <v>38.971754307651103</v>
      </c>
      <c r="I52" s="8">
        <v>5</v>
      </c>
      <c r="J52" s="1">
        <v>2018</v>
      </c>
      <c r="K52" s="1" t="s">
        <v>21</v>
      </c>
      <c r="L52" s="1">
        <v>2023</v>
      </c>
      <c r="M52" s="1" t="s">
        <v>1783</v>
      </c>
      <c r="N52" s="6">
        <v>11201</v>
      </c>
      <c r="O52" s="6">
        <v>2697</v>
      </c>
      <c r="P52" s="21">
        <v>0.24078207302919383</v>
      </c>
      <c r="Q52" s="1">
        <v>0</v>
      </c>
      <c r="R52" s="1" t="s">
        <v>28</v>
      </c>
      <c r="S52" s="1" t="s">
        <v>18</v>
      </c>
      <c r="T52" s="1" t="s">
        <v>18</v>
      </c>
      <c r="U52" s="22" t="s">
        <v>18</v>
      </c>
      <c r="V52" s="8"/>
    </row>
    <row r="53" spans="1:22" x14ac:dyDescent="0.3">
      <c r="A53" s="1" t="s">
        <v>56</v>
      </c>
      <c r="B53" s="1" t="s">
        <v>13</v>
      </c>
      <c r="D53" s="8">
        <v>31.24558080808081</v>
      </c>
      <c r="E53" s="9">
        <v>4</v>
      </c>
      <c r="F53" s="8">
        <v>33.294823232323232</v>
      </c>
      <c r="G53" s="9">
        <v>4</v>
      </c>
      <c r="H53" s="8">
        <v>34.650252525252526</v>
      </c>
      <c r="I53" s="8">
        <v>4</v>
      </c>
      <c r="J53" s="1">
        <v>1964</v>
      </c>
      <c r="N53" s="6">
        <v>1584</v>
      </c>
      <c r="O53" s="6">
        <v>623</v>
      </c>
      <c r="P53" s="21">
        <v>0.39330808080808083</v>
      </c>
      <c r="Q53" s="1">
        <v>0</v>
      </c>
      <c r="R53" s="1" t="s">
        <v>28</v>
      </c>
      <c r="S53" s="1" t="s">
        <v>18</v>
      </c>
      <c r="T53" s="1" t="s">
        <v>18</v>
      </c>
      <c r="U53" s="22" t="s">
        <v>18</v>
      </c>
      <c r="V53" s="8"/>
    </row>
    <row r="54" spans="1:22" x14ac:dyDescent="0.3">
      <c r="A54" s="1" t="s">
        <v>56</v>
      </c>
      <c r="B54" s="1" t="s">
        <v>13</v>
      </c>
      <c r="D54" s="8">
        <v>21.637607592143016</v>
      </c>
      <c r="E54" s="9">
        <v>3</v>
      </c>
      <c r="F54" s="8">
        <v>22.185499889649083</v>
      </c>
      <c r="G54" s="9">
        <v>3</v>
      </c>
      <c r="H54" s="8">
        <v>21.975281394835577</v>
      </c>
      <c r="I54" s="8">
        <v>3</v>
      </c>
      <c r="J54" s="1">
        <v>2014</v>
      </c>
      <c r="N54" s="6">
        <v>9062</v>
      </c>
      <c r="O54" s="6">
        <v>1916</v>
      </c>
      <c r="P54" s="21">
        <v>0.21143235488854559</v>
      </c>
      <c r="Q54" s="1">
        <v>0</v>
      </c>
      <c r="R54" s="1" t="s">
        <v>28</v>
      </c>
      <c r="S54" s="1" t="s">
        <v>18</v>
      </c>
      <c r="T54" s="1" t="s">
        <v>18</v>
      </c>
      <c r="U54" s="22" t="s">
        <v>18</v>
      </c>
      <c r="V54" s="8"/>
    </row>
    <row r="55" spans="1:22" x14ac:dyDescent="0.3">
      <c r="A55" s="1" t="s">
        <v>56</v>
      </c>
      <c r="B55" s="1" t="s">
        <v>13</v>
      </c>
      <c r="D55" s="8">
        <v>21.469998999799959</v>
      </c>
      <c r="E55" s="9">
        <v>2</v>
      </c>
      <c r="F55" s="8">
        <v>20.621542308461692</v>
      </c>
      <c r="G55" s="9">
        <v>2</v>
      </c>
      <c r="H55" s="8">
        <v>21.933539707941588</v>
      </c>
      <c r="I55" s="8">
        <v>2</v>
      </c>
      <c r="J55" s="1">
        <v>1991</v>
      </c>
      <c r="N55" s="6">
        <v>9998</v>
      </c>
      <c r="O55" s="6">
        <v>0</v>
      </c>
      <c r="P55" s="21">
        <v>0</v>
      </c>
      <c r="Q55" s="1">
        <v>0</v>
      </c>
      <c r="R55" s="1" t="s">
        <v>28</v>
      </c>
      <c r="S55" s="1" t="s">
        <v>18</v>
      </c>
      <c r="T55" s="1" t="s">
        <v>18</v>
      </c>
      <c r="U55" s="22" t="s">
        <v>18</v>
      </c>
      <c r="V55" s="8"/>
    </row>
    <row r="56" spans="1:22" x14ac:dyDescent="0.3">
      <c r="A56" s="1" t="s">
        <v>56</v>
      </c>
      <c r="B56" s="1" t="s">
        <v>13</v>
      </c>
      <c r="D56" s="8">
        <v>3.0512478253044573</v>
      </c>
      <c r="E56" s="9">
        <v>1</v>
      </c>
      <c r="F56" s="8">
        <v>3.1365858779770832</v>
      </c>
      <c r="G56" s="9">
        <v>1</v>
      </c>
      <c r="H56" s="8">
        <v>2.9064430979662847</v>
      </c>
      <c r="I56" s="8">
        <v>1</v>
      </c>
      <c r="J56" s="1">
        <v>1900</v>
      </c>
      <c r="N56" s="6">
        <v>66676</v>
      </c>
      <c r="O56" s="6">
        <v>700</v>
      </c>
      <c r="P56" s="21">
        <v>1.0498530205771192E-2</v>
      </c>
      <c r="Q56" s="1">
        <v>0</v>
      </c>
      <c r="R56" s="1" t="s">
        <v>28</v>
      </c>
      <c r="S56" s="1" t="s">
        <v>18</v>
      </c>
      <c r="T56" s="1" t="s">
        <v>18</v>
      </c>
      <c r="U56" s="22" t="s">
        <v>18</v>
      </c>
      <c r="V56" s="8"/>
    </row>
    <row r="57" spans="1:22" x14ac:dyDescent="0.3">
      <c r="A57" s="1" t="s">
        <v>56</v>
      </c>
      <c r="B57" s="1" t="s">
        <v>381</v>
      </c>
      <c r="D57" s="8">
        <v>423.10992495402814</v>
      </c>
      <c r="E57" s="9">
        <v>7</v>
      </c>
      <c r="F57" s="8">
        <v>397.47198946374436</v>
      </c>
      <c r="G57" s="9">
        <v>7</v>
      </c>
      <c r="H57" s="8">
        <v>307.18916554843202</v>
      </c>
      <c r="I57" s="8">
        <v>7</v>
      </c>
      <c r="J57" s="1">
        <v>2006</v>
      </c>
      <c r="K57" s="1" t="s">
        <v>21</v>
      </c>
      <c r="L57" s="1">
        <v>2020</v>
      </c>
      <c r="M57" s="1" t="s">
        <v>1601</v>
      </c>
      <c r="N57" s="6">
        <v>20121</v>
      </c>
      <c r="O57" s="6">
        <v>15931</v>
      </c>
      <c r="P57" s="21">
        <v>0.79175985289001538</v>
      </c>
      <c r="Q57" s="1">
        <v>0</v>
      </c>
      <c r="R57" s="1" t="s">
        <v>1589</v>
      </c>
      <c r="S57" s="1">
        <v>2021</v>
      </c>
      <c r="T57" s="1">
        <v>0.57799999999999996</v>
      </c>
      <c r="U57" s="22">
        <v>44794</v>
      </c>
      <c r="V57" s="8"/>
    </row>
    <row r="58" spans="1:22" x14ac:dyDescent="0.3">
      <c r="A58" s="1" t="s">
        <v>56</v>
      </c>
      <c r="B58" s="1" t="s">
        <v>381</v>
      </c>
      <c r="D58" s="8">
        <v>199.16173013262645</v>
      </c>
      <c r="E58" s="9">
        <v>5</v>
      </c>
      <c r="F58" s="8">
        <v>221.50678270596927</v>
      </c>
      <c r="G58" s="9">
        <v>5</v>
      </c>
      <c r="H58" s="8">
        <v>233.28891415300529</v>
      </c>
      <c r="I58" s="8">
        <v>6</v>
      </c>
      <c r="J58" s="1">
        <v>2000</v>
      </c>
      <c r="K58" s="1" t="s">
        <v>21</v>
      </c>
      <c r="L58" s="1">
        <v>2020</v>
      </c>
      <c r="M58" s="1" t="s">
        <v>1601</v>
      </c>
      <c r="N58" s="6">
        <v>16448.45</v>
      </c>
      <c r="O58" s="6">
        <v>898097</v>
      </c>
      <c r="P58" s="21">
        <v>54.600707057503897</v>
      </c>
      <c r="Q58" s="1">
        <v>0</v>
      </c>
      <c r="R58" s="1" t="s">
        <v>1589</v>
      </c>
      <c r="S58" s="1" t="s">
        <v>18</v>
      </c>
      <c r="T58" s="1">
        <v>0.71</v>
      </c>
      <c r="U58" s="22">
        <v>44780</v>
      </c>
      <c r="V58" s="8"/>
    </row>
    <row r="59" spans="1:22" x14ac:dyDescent="0.3">
      <c r="A59" s="1" t="s">
        <v>56</v>
      </c>
      <c r="B59" s="1" t="s">
        <v>381</v>
      </c>
      <c r="D59" s="8">
        <v>164.41340255245512</v>
      </c>
      <c r="E59" s="9">
        <v>4</v>
      </c>
      <c r="F59" s="8">
        <v>185.24333693849593</v>
      </c>
      <c r="G59" s="9">
        <v>4</v>
      </c>
      <c r="H59" s="8">
        <v>192.97966399884635</v>
      </c>
      <c r="I59" s="8">
        <v>5</v>
      </c>
      <c r="J59" s="1">
        <v>2014</v>
      </c>
      <c r="N59" s="6">
        <v>13869</v>
      </c>
      <c r="O59" s="6">
        <v>10000</v>
      </c>
      <c r="P59" s="21">
        <v>0.72103251856658734</v>
      </c>
      <c r="Q59" s="1">
        <v>0</v>
      </c>
      <c r="R59" s="1" t="s">
        <v>1589</v>
      </c>
      <c r="S59" s="1">
        <v>4</v>
      </c>
      <c r="U59" s="22"/>
      <c r="V59" s="8"/>
    </row>
    <row r="60" spans="1:22" x14ac:dyDescent="0.3">
      <c r="A60" s="1" t="s">
        <v>56</v>
      </c>
      <c r="B60" s="1" t="s">
        <v>381</v>
      </c>
      <c r="D60" s="8">
        <v>313.81</v>
      </c>
      <c r="E60" s="9">
        <v>6</v>
      </c>
      <c r="F60" s="8">
        <v>292.48766475644697</v>
      </c>
      <c r="G60" s="9">
        <v>6</v>
      </c>
      <c r="H60" s="8">
        <v>187.75458452722063</v>
      </c>
      <c r="I60" s="8">
        <v>4</v>
      </c>
      <c r="J60" s="1">
        <v>2010</v>
      </c>
      <c r="K60" s="1" t="s">
        <v>19</v>
      </c>
      <c r="L60" s="1">
        <v>2019</v>
      </c>
      <c r="M60" s="1" t="s">
        <v>1601</v>
      </c>
      <c r="N60" s="6">
        <v>20940</v>
      </c>
      <c r="O60" s="6">
        <v>19384</v>
      </c>
      <c r="P60" s="21">
        <v>0.92569245463228267</v>
      </c>
      <c r="Q60" s="1">
        <v>0</v>
      </c>
      <c r="R60" s="1" t="s">
        <v>1590</v>
      </c>
      <c r="S60" s="1" t="s">
        <v>18</v>
      </c>
      <c r="T60" s="1">
        <v>1.21</v>
      </c>
      <c r="U60" s="22">
        <v>42390</v>
      </c>
      <c r="V60" s="8"/>
    </row>
    <row r="61" spans="1:22" x14ac:dyDescent="0.3">
      <c r="A61" s="1" t="s">
        <v>56</v>
      </c>
      <c r="B61" s="1" t="s">
        <v>381</v>
      </c>
      <c r="D61" s="8">
        <v>117.74735336747513</v>
      </c>
      <c r="E61" s="9">
        <v>2</v>
      </c>
      <c r="F61" s="8">
        <v>138.15910522755823</v>
      </c>
      <c r="G61" s="9">
        <v>2</v>
      </c>
      <c r="H61" s="8">
        <v>140.67499468547686</v>
      </c>
      <c r="I61" s="8">
        <v>3</v>
      </c>
      <c r="J61" s="1">
        <v>2001</v>
      </c>
      <c r="N61" s="6">
        <v>10349</v>
      </c>
      <c r="O61" s="6">
        <v>9700</v>
      </c>
      <c r="P61" s="21">
        <v>0.93728862692047543</v>
      </c>
      <c r="Q61" s="1">
        <v>0</v>
      </c>
      <c r="R61" s="1" t="s">
        <v>1590</v>
      </c>
      <c r="S61" s="1" t="s">
        <v>18</v>
      </c>
      <c r="T61" s="1">
        <v>1.07</v>
      </c>
      <c r="U61" s="22">
        <v>44734</v>
      </c>
      <c r="V61" s="8"/>
    </row>
    <row r="62" spans="1:22" x14ac:dyDescent="0.3">
      <c r="A62" s="1" t="s">
        <v>56</v>
      </c>
      <c r="B62" s="1" t="s">
        <v>381</v>
      </c>
      <c r="D62" s="8">
        <v>156.73083575051575</v>
      </c>
      <c r="E62" s="9">
        <v>3</v>
      </c>
      <c r="F62" s="8">
        <v>165.01379732894878</v>
      </c>
      <c r="G62" s="9">
        <v>3</v>
      </c>
      <c r="H62" s="8">
        <v>110.38132280631001</v>
      </c>
      <c r="I62" s="8">
        <v>2</v>
      </c>
      <c r="J62" s="1">
        <v>2015</v>
      </c>
      <c r="K62" s="1" t="s">
        <v>21</v>
      </c>
      <c r="L62" s="1">
        <v>2022</v>
      </c>
      <c r="M62" s="1" t="s">
        <v>1783</v>
      </c>
      <c r="N62" s="6">
        <v>64469</v>
      </c>
      <c r="O62" s="6">
        <v>60980</v>
      </c>
      <c r="P62" s="21">
        <v>0.94588096604569638</v>
      </c>
      <c r="Q62" s="1">
        <v>0</v>
      </c>
      <c r="R62" s="1" t="s">
        <v>1589</v>
      </c>
      <c r="S62" s="1">
        <v>8</v>
      </c>
      <c r="T62" s="1">
        <v>0.64300000000000002</v>
      </c>
      <c r="U62" s="22">
        <v>44777</v>
      </c>
      <c r="V62" s="8"/>
    </row>
    <row r="63" spans="1:22" x14ac:dyDescent="0.3">
      <c r="A63" s="1" t="s">
        <v>56</v>
      </c>
      <c r="B63" s="1" t="s">
        <v>381</v>
      </c>
      <c r="D63" s="8">
        <v>68.794354294782778</v>
      </c>
      <c r="E63" s="9">
        <v>1</v>
      </c>
      <c r="F63" s="8">
        <v>78.089942471731803</v>
      </c>
      <c r="G63" s="9">
        <v>1</v>
      </c>
      <c r="H63" s="8">
        <v>88.546982080275072</v>
      </c>
      <c r="I63" s="8">
        <v>1</v>
      </c>
      <c r="J63" s="1">
        <v>2016</v>
      </c>
      <c r="K63" s="1" t="s">
        <v>19</v>
      </c>
      <c r="L63" s="1">
        <v>2021</v>
      </c>
      <c r="M63" s="1" t="s">
        <v>1598</v>
      </c>
      <c r="N63" s="6">
        <v>15123</v>
      </c>
      <c r="O63" s="6">
        <v>9342</v>
      </c>
      <c r="P63" s="21">
        <v>0.61773457647292207</v>
      </c>
      <c r="Q63" s="1">
        <v>0</v>
      </c>
      <c r="R63" s="1" t="s">
        <v>1821</v>
      </c>
      <c r="S63" s="1" t="s">
        <v>18</v>
      </c>
      <c r="T63" s="1" t="s">
        <v>18</v>
      </c>
      <c r="U63" s="22" t="s">
        <v>18</v>
      </c>
      <c r="V63" s="8"/>
    </row>
  </sheetData>
  <sheetProtection selectLockedCells="1" selectUnlockedCells="1"/>
  <autoFilter ref="A1:V63">
    <sortState ref="A2:X76">
      <sortCondition ref="A2:A76" customList="Commercial Building,Healthcare Facility,Educational Institution,Civic,Community &amp; Cultural Institution,Sports &amp; Recreation Centre"/>
      <sortCondition ref="B2:B76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C2:C76" customList="Large,Medium"/>
    </sortState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3"/>
  <sheetViews>
    <sheetView topLeftCell="A63" zoomScale="85" zoomScaleNormal="85" workbookViewId="0">
      <pane xSplit="1" topLeftCell="K1" activePane="topRight" state="frozen"/>
      <selection pane="topRight" activeCell="T2" sqref="T2:T63"/>
    </sheetView>
  </sheetViews>
  <sheetFormatPr defaultColWidth="27.77734375" defaultRowHeight="14.4" x14ac:dyDescent="0.3"/>
  <cols>
    <col min="1" max="1" width="33.33203125" style="1" customWidth="1"/>
    <col min="2" max="2" width="20.33203125" style="1" customWidth="1"/>
    <col min="3" max="3" width="15.5546875" style="1" customWidth="1"/>
    <col min="4" max="4" width="21.77734375" style="1" customWidth="1"/>
    <col min="5" max="5" width="36.77734375" style="1" customWidth="1"/>
    <col min="6" max="6" width="23.77734375" style="1" customWidth="1"/>
    <col min="7" max="7" width="36.77734375" style="1" customWidth="1"/>
    <col min="8" max="8" width="21.77734375" style="1" bestFit="1" customWidth="1"/>
    <col min="9" max="9" width="33.33203125" style="1" customWidth="1"/>
    <col min="10" max="13" width="12.21875" style="1" customWidth="1"/>
    <col min="14" max="14" width="22.33203125" style="1" customWidth="1"/>
    <col min="15" max="15" width="17.77734375" style="1" customWidth="1"/>
    <col min="16" max="16" width="27.77734375" style="1" customWidth="1"/>
    <col min="17" max="17" width="27.109375" style="1" customWidth="1"/>
    <col min="18" max="18" width="15" style="1" customWidth="1"/>
    <col min="19" max="19" width="12.21875" style="1" customWidth="1"/>
    <col min="20" max="20" width="21.5546875" style="1" customWidth="1"/>
    <col min="21" max="21" width="27.5546875" style="2" customWidth="1"/>
    <col min="22" max="22" width="77.77734375" style="1" customWidth="1"/>
  </cols>
  <sheetData>
    <row r="1" spans="1:22" s="3" customFormat="1" ht="43.2" x14ac:dyDescent="0.3">
      <c r="A1" s="4" t="s">
        <v>1759</v>
      </c>
      <c r="B1" s="4" t="s">
        <v>7</v>
      </c>
      <c r="C1" s="4" t="s">
        <v>1760</v>
      </c>
      <c r="D1" s="4" t="s">
        <v>1765</v>
      </c>
      <c r="E1" s="4" t="s">
        <v>1766</v>
      </c>
      <c r="F1" s="4" t="s">
        <v>1768</v>
      </c>
      <c r="G1" s="4" t="s">
        <v>1767</v>
      </c>
      <c r="H1" s="4" t="s">
        <v>2619</v>
      </c>
      <c r="I1" s="4" t="s">
        <v>2620</v>
      </c>
      <c r="J1" s="4" t="s">
        <v>6</v>
      </c>
      <c r="K1" s="4" t="s">
        <v>1594</v>
      </c>
      <c r="L1" s="4" t="s">
        <v>1595</v>
      </c>
      <c r="M1" s="4" t="s">
        <v>1596</v>
      </c>
      <c r="N1" s="4" t="s">
        <v>1761</v>
      </c>
      <c r="O1" s="4" t="s">
        <v>1762</v>
      </c>
      <c r="P1" s="4" t="s">
        <v>1763</v>
      </c>
      <c r="Q1" s="4" t="s">
        <v>1764</v>
      </c>
      <c r="R1" s="4" t="s">
        <v>2</v>
      </c>
      <c r="S1" s="4" t="s">
        <v>3</v>
      </c>
      <c r="T1" s="4" t="s">
        <v>4</v>
      </c>
      <c r="U1" s="5" t="s">
        <v>5</v>
      </c>
      <c r="V1" s="4" t="s">
        <v>1772</v>
      </c>
    </row>
    <row r="2" spans="1:22" x14ac:dyDescent="0.3">
      <c r="A2" s="1" t="s">
        <v>134</v>
      </c>
      <c r="B2" s="1" t="s">
        <v>397</v>
      </c>
      <c r="D2" s="8">
        <v>411.33167759115116</v>
      </c>
      <c r="E2" s="9">
        <v>12</v>
      </c>
      <c r="F2" s="8">
        <v>461.57699201147074</v>
      </c>
      <c r="G2" s="9">
        <v>12</v>
      </c>
      <c r="H2" s="8">
        <v>477.76715997541987</v>
      </c>
      <c r="I2" s="8">
        <v>12</v>
      </c>
      <c r="J2" s="1">
        <v>2010</v>
      </c>
      <c r="N2" s="6">
        <v>9764</v>
      </c>
      <c r="O2" s="6">
        <v>6205</v>
      </c>
      <c r="P2" s="21">
        <v>0.63549774682507165</v>
      </c>
      <c r="Q2" s="1">
        <v>0</v>
      </c>
      <c r="R2" s="1" t="s">
        <v>28</v>
      </c>
      <c r="S2" s="1" t="s">
        <v>18</v>
      </c>
      <c r="T2" s="1" t="s">
        <v>18</v>
      </c>
      <c r="U2" s="22" t="s">
        <v>18</v>
      </c>
      <c r="V2" s="8"/>
    </row>
    <row r="3" spans="1:22" x14ac:dyDescent="0.3">
      <c r="A3" s="1" t="s">
        <v>134</v>
      </c>
      <c r="B3" s="1" t="s">
        <v>397</v>
      </c>
      <c r="D3" s="8">
        <v>198.24990139507705</v>
      </c>
      <c r="E3" s="9">
        <v>8</v>
      </c>
      <c r="F3" s="8">
        <v>227.1958658973048</v>
      </c>
      <c r="G3" s="9">
        <v>11</v>
      </c>
      <c r="H3" s="8">
        <v>232.28271857424588</v>
      </c>
      <c r="I3" s="8">
        <v>11</v>
      </c>
      <c r="J3" s="1">
        <v>2008</v>
      </c>
      <c r="K3" s="1" t="s">
        <v>25</v>
      </c>
      <c r="L3" s="1">
        <v>2022</v>
      </c>
      <c r="M3" s="1" t="s">
        <v>1599</v>
      </c>
      <c r="N3" s="6">
        <v>13691</v>
      </c>
      <c r="O3" s="6">
        <v>1962</v>
      </c>
      <c r="P3" s="21">
        <v>0.14330582134248776</v>
      </c>
      <c r="Q3" s="1">
        <v>0</v>
      </c>
      <c r="R3" s="1" t="s">
        <v>28</v>
      </c>
      <c r="S3" s="1" t="s">
        <v>18</v>
      </c>
      <c r="T3" s="1" t="s">
        <v>18</v>
      </c>
      <c r="U3" s="22" t="s">
        <v>18</v>
      </c>
      <c r="V3" s="8"/>
    </row>
    <row r="4" spans="1:22" x14ac:dyDescent="0.3">
      <c r="A4" s="1" t="s">
        <v>134</v>
      </c>
      <c r="B4" s="1" t="s">
        <v>397</v>
      </c>
      <c r="D4" s="8">
        <v>212.15495338983052</v>
      </c>
      <c r="E4" s="9">
        <v>11</v>
      </c>
      <c r="F4" s="8">
        <v>205.72212711864407</v>
      </c>
      <c r="G4" s="9">
        <v>10</v>
      </c>
      <c r="H4" s="8">
        <v>218.04701694915252</v>
      </c>
      <c r="I4" s="8">
        <v>10</v>
      </c>
      <c r="J4" s="1">
        <v>2011</v>
      </c>
      <c r="K4" s="1" t="s">
        <v>21</v>
      </c>
      <c r="L4" s="1">
        <v>2016</v>
      </c>
      <c r="M4" s="1" t="s">
        <v>1603</v>
      </c>
      <c r="N4" s="6">
        <v>11800</v>
      </c>
      <c r="O4" s="6">
        <v>1400</v>
      </c>
      <c r="P4" s="21">
        <v>0.11864406779661017</v>
      </c>
      <c r="Q4" s="1">
        <v>0</v>
      </c>
      <c r="R4" s="1" t="s">
        <v>28</v>
      </c>
      <c r="S4" s="1" t="s">
        <v>18</v>
      </c>
      <c r="T4" s="1" t="s">
        <v>18</v>
      </c>
      <c r="U4" s="22" t="s">
        <v>18</v>
      </c>
      <c r="V4" s="8"/>
    </row>
    <row r="5" spans="1:22" x14ac:dyDescent="0.3">
      <c r="A5" s="1" t="s">
        <v>134</v>
      </c>
      <c r="B5" s="1" t="s">
        <v>397</v>
      </c>
      <c r="D5" s="8">
        <v>174.49271061093245</v>
      </c>
      <c r="E5" s="9">
        <v>7</v>
      </c>
      <c r="F5" s="8">
        <v>186.88688102893889</v>
      </c>
      <c r="G5" s="9">
        <v>9</v>
      </c>
      <c r="H5" s="8">
        <v>182.28805466237941</v>
      </c>
      <c r="I5" s="8">
        <v>9</v>
      </c>
      <c r="J5" s="1">
        <v>1970</v>
      </c>
      <c r="N5" s="6">
        <v>3110</v>
      </c>
      <c r="O5" s="6">
        <v>211</v>
      </c>
      <c r="P5" s="21">
        <v>6.7845659163987132E-2</v>
      </c>
      <c r="Q5" s="1">
        <v>0</v>
      </c>
      <c r="R5" s="1" t="s">
        <v>1787</v>
      </c>
      <c r="T5" s="1" t="s">
        <v>18</v>
      </c>
      <c r="U5" s="22" t="s">
        <v>18</v>
      </c>
      <c r="V5" s="8"/>
    </row>
    <row r="6" spans="1:22" x14ac:dyDescent="0.3">
      <c r="A6" s="1" t="s">
        <v>134</v>
      </c>
      <c r="B6" s="1" t="s">
        <v>397</v>
      </c>
      <c r="D6" s="8">
        <v>200.84158625452861</v>
      </c>
      <c r="E6" s="9">
        <v>9</v>
      </c>
      <c r="F6" s="8">
        <v>171.93960040695461</v>
      </c>
      <c r="G6" s="9">
        <v>8</v>
      </c>
      <c r="H6" s="8">
        <v>170.22311973729921</v>
      </c>
      <c r="I6" s="8">
        <v>8</v>
      </c>
      <c r="J6" s="1">
        <v>2014</v>
      </c>
      <c r="K6" s="1" t="s">
        <v>21</v>
      </c>
      <c r="L6" s="1">
        <v>2012</v>
      </c>
      <c r="M6" s="1" t="s">
        <v>1603</v>
      </c>
      <c r="N6" s="6">
        <v>241796</v>
      </c>
      <c r="O6" s="6">
        <v>100810</v>
      </c>
      <c r="P6" s="21">
        <v>0.41692170259226785</v>
      </c>
      <c r="Q6" s="1">
        <v>0</v>
      </c>
      <c r="R6" s="1" t="s">
        <v>1589</v>
      </c>
      <c r="S6" s="1">
        <v>9</v>
      </c>
      <c r="T6" s="1">
        <v>0.73</v>
      </c>
      <c r="U6" s="22">
        <v>44325</v>
      </c>
      <c r="V6" s="8"/>
    </row>
    <row r="7" spans="1:22" x14ac:dyDescent="0.3">
      <c r="A7" s="1" t="s">
        <v>134</v>
      </c>
      <c r="B7" s="1" t="s">
        <v>397</v>
      </c>
      <c r="D7" s="8">
        <v>204.93061459088358</v>
      </c>
      <c r="E7" s="9">
        <v>10</v>
      </c>
      <c r="F7" s="8">
        <v>150.52485310260218</v>
      </c>
      <c r="G7" s="9">
        <v>7</v>
      </c>
      <c r="H7" s="8">
        <v>167.05762161267469</v>
      </c>
      <c r="I7" s="8">
        <v>7</v>
      </c>
      <c r="J7" s="1">
        <v>1973</v>
      </c>
      <c r="N7" s="6">
        <v>13744.7125</v>
      </c>
      <c r="O7" s="6">
        <v>2000</v>
      </c>
      <c r="P7" s="21">
        <v>0.14551050085623835</v>
      </c>
      <c r="Q7" s="1">
        <v>0</v>
      </c>
      <c r="R7" s="1" t="s">
        <v>1821</v>
      </c>
      <c r="S7" s="1" t="s">
        <v>18</v>
      </c>
      <c r="T7" s="1" t="s">
        <v>18</v>
      </c>
      <c r="U7" s="22" t="s">
        <v>18</v>
      </c>
      <c r="V7" s="8"/>
    </row>
    <row r="8" spans="1:22" x14ac:dyDescent="0.3">
      <c r="A8" s="1" t="s">
        <v>134</v>
      </c>
      <c r="B8" s="1" t="s">
        <v>397</v>
      </c>
      <c r="D8" s="8">
        <v>76.737095430563699</v>
      </c>
      <c r="E8" s="9">
        <v>4</v>
      </c>
      <c r="F8" s="8">
        <v>87.72618863965937</v>
      </c>
      <c r="G8" s="9">
        <v>5</v>
      </c>
      <c r="H8" s="8">
        <v>123.09149671407856</v>
      </c>
      <c r="I8" s="8">
        <v>6</v>
      </c>
      <c r="J8" s="1">
        <v>1989</v>
      </c>
      <c r="N8" s="6">
        <v>32411</v>
      </c>
      <c r="O8" s="6">
        <v>20000</v>
      </c>
      <c r="P8" s="21">
        <v>0.61707445003239636</v>
      </c>
      <c r="Q8" s="1">
        <v>0</v>
      </c>
      <c r="R8" s="1" t="s">
        <v>1589</v>
      </c>
      <c r="S8" s="1">
        <v>19</v>
      </c>
      <c r="T8" s="1">
        <v>0.91</v>
      </c>
      <c r="U8" s="22">
        <v>41313</v>
      </c>
      <c r="V8" s="8"/>
    </row>
    <row r="9" spans="1:22" x14ac:dyDescent="0.3">
      <c r="A9" s="1" t="s">
        <v>134</v>
      </c>
      <c r="B9" s="1" t="s">
        <v>397</v>
      </c>
      <c r="D9" s="8">
        <v>96.409410892923304</v>
      </c>
      <c r="E9" s="9">
        <v>6</v>
      </c>
      <c r="F9" s="8">
        <v>94.35192928597894</v>
      </c>
      <c r="G9" s="9">
        <v>6</v>
      </c>
      <c r="H9" s="8">
        <v>103.46771290954322</v>
      </c>
      <c r="I9" s="8">
        <v>5</v>
      </c>
      <c r="J9" s="1">
        <v>2000</v>
      </c>
      <c r="K9" s="1" t="s">
        <v>25</v>
      </c>
      <c r="L9" s="1">
        <v>2022</v>
      </c>
      <c r="M9" s="1" t="s">
        <v>1924</v>
      </c>
      <c r="N9" s="6">
        <v>18893</v>
      </c>
      <c r="O9" s="6">
        <v>865</v>
      </c>
      <c r="P9" s="21">
        <v>4.5784152860847936E-2</v>
      </c>
      <c r="Q9" s="1">
        <v>0</v>
      </c>
      <c r="R9" s="1" t="s">
        <v>28</v>
      </c>
      <c r="U9" s="22"/>
      <c r="V9" s="8"/>
    </row>
    <row r="10" spans="1:22" x14ac:dyDescent="0.3">
      <c r="A10" s="1" t="s">
        <v>134</v>
      </c>
      <c r="B10" s="1" t="s">
        <v>397</v>
      </c>
      <c r="D10" s="8">
        <v>84.135553912342033</v>
      </c>
      <c r="E10" s="9">
        <v>5</v>
      </c>
      <c r="F10" s="8">
        <v>83.750618445818759</v>
      </c>
      <c r="G10" s="9">
        <v>4</v>
      </c>
      <c r="H10" s="8">
        <v>86.390561979026614</v>
      </c>
      <c r="I10" s="8">
        <v>4</v>
      </c>
      <c r="J10" s="1">
        <v>2006</v>
      </c>
      <c r="K10" s="1" t="s">
        <v>25</v>
      </c>
      <c r="L10" s="1">
        <v>2022</v>
      </c>
      <c r="M10" s="1" t="s">
        <v>1599</v>
      </c>
      <c r="N10" s="6">
        <v>29752</v>
      </c>
      <c r="O10" s="6">
        <v>1735</v>
      </c>
      <c r="P10" s="21">
        <v>5.8315407367571931E-2</v>
      </c>
      <c r="Q10" s="1">
        <v>0</v>
      </c>
      <c r="R10" s="1" t="s">
        <v>1821</v>
      </c>
      <c r="S10" s="1" t="s">
        <v>18</v>
      </c>
      <c r="T10" s="1" t="s">
        <v>18</v>
      </c>
      <c r="U10" s="22" t="s">
        <v>18</v>
      </c>
      <c r="V10" s="8"/>
    </row>
    <row r="11" spans="1:22" x14ac:dyDescent="0.3">
      <c r="A11" s="1" t="s">
        <v>134</v>
      </c>
      <c r="B11" s="1" t="s">
        <v>397</v>
      </c>
      <c r="D11" s="8">
        <v>55.207725868725873</v>
      </c>
      <c r="E11" s="9">
        <v>2</v>
      </c>
      <c r="F11" s="8">
        <v>48.926623552123552</v>
      </c>
      <c r="G11" s="9">
        <v>2</v>
      </c>
      <c r="H11" s="8">
        <v>77.169202702702705</v>
      </c>
      <c r="I11" s="8">
        <v>3</v>
      </c>
      <c r="J11" s="1">
        <v>2003</v>
      </c>
      <c r="K11" s="1" t="s">
        <v>25</v>
      </c>
      <c r="L11" s="1">
        <v>2022</v>
      </c>
      <c r="M11" s="1" t="s">
        <v>1599</v>
      </c>
      <c r="N11" s="6">
        <v>25900</v>
      </c>
      <c r="O11" s="6">
        <v>400</v>
      </c>
      <c r="P11" s="21">
        <v>1.5444015444015444E-2</v>
      </c>
      <c r="Q11" s="1">
        <v>0</v>
      </c>
      <c r="R11" s="1" t="s">
        <v>28</v>
      </c>
      <c r="S11" s="1" t="s">
        <v>18</v>
      </c>
      <c r="T11" s="1" t="s">
        <v>18</v>
      </c>
      <c r="U11" s="22" t="s">
        <v>18</v>
      </c>
      <c r="V11" s="8"/>
    </row>
    <row r="12" spans="1:22" x14ac:dyDescent="0.3">
      <c r="A12" s="1" t="s">
        <v>134</v>
      </c>
      <c r="B12" s="1" t="s">
        <v>397</v>
      </c>
      <c r="D12" s="8">
        <v>73.165354547240227</v>
      </c>
      <c r="E12" s="9">
        <v>3</v>
      </c>
      <c r="F12" s="8">
        <v>56.009434295816149</v>
      </c>
      <c r="G12" s="9">
        <v>3</v>
      </c>
      <c r="H12" s="8">
        <v>69.183058338243967</v>
      </c>
      <c r="I12" s="8">
        <v>2</v>
      </c>
      <c r="J12" s="1">
        <v>1990</v>
      </c>
      <c r="N12" s="6">
        <v>5091</v>
      </c>
      <c r="O12" s="6">
        <v>300</v>
      </c>
      <c r="P12" s="21">
        <v>5.8927519151443723E-2</v>
      </c>
      <c r="Q12" s="1">
        <v>0</v>
      </c>
      <c r="R12" s="1" t="s">
        <v>28</v>
      </c>
      <c r="S12" s="1" t="s">
        <v>18</v>
      </c>
      <c r="T12" s="1" t="s">
        <v>18</v>
      </c>
      <c r="U12" s="22" t="s">
        <v>18</v>
      </c>
      <c r="V12" s="8"/>
    </row>
    <row r="13" spans="1:22" x14ac:dyDescent="0.3">
      <c r="A13" s="1" t="s">
        <v>134</v>
      </c>
      <c r="B13" s="1" t="s">
        <v>397</v>
      </c>
      <c r="D13" s="8">
        <v>7.7641773148148152</v>
      </c>
      <c r="E13" s="9">
        <v>1</v>
      </c>
      <c r="F13" s="8">
        <v>11.699666666666666</v>
      </c>
      <c r="G13" s="9">
        <v>1</v>
      </c>
      <c r="H13" s="8">
        <v>11.34675</v>
      </c>
      <c r="I13" s="8">
        <v>1</v>
      </c>
      <c r="J13" s="1">
        <v>1981</v>
      </c>
      <c r="N13" s="6">
        <v>21600</v>
      </c>
      <c r="O13" s="6">
        <v>800</v>
      </c>
      <c r="P13" s="21">
        <v>3.7037037037037035E-2</v>
      </c>
      <c r="Q13" s="1">
        <v>0</v>
      </c>
      <c r="R13" s="1" t="s">
        <v>28</v>
      </c>
      <c r="S13" s="1" t="s">
        <v>18</v>
      </c>
      <c r="T13" s="1" t="s">
        <v>18</v>
      </c>
      <c r="U13" s="22" t="s">
        <v>18</v>
      </c>
      <c r="V13" s="8"/>
    </row>
    <row r="14" spans="1:22" x14ac:dyDescent="0.3">
      <c r="A14" s="1" t="s">
        <v>134</v>
      </c>
      <c r="B14" s="1" t="s">
        <v>397</v>
      </c>
      <c r="D14" s="8">
        <v>0</v>
      </c>
      <c r="E14" s="9" t="s">
        <v>18</v>
      </c>
      <c r="F14" s="8">
        <v>0</v>
      </c>
      <c r="G14" s="9" t="s">
        <v>18</v>
      </c>
      <c r="H14" s="8">
        <v>0</v>
      </c>
      <c r="I14" s="8" t="s">
        <v>18</v>
      </c>
      <c r="J14" s="1">
        <v>1993</v>
      </c>
      <c r="N14" s="6">
        <v>9406</v>
      </c>
      <c r="O14" s="6">
        <v>2533</v>
      </c>
      <c r="P14" s="21">
        <v>0.26929619391877524</v>
      </c>
      <c r="Q14" s="1">
        <v>0</v>
      </c>
      <c r="R14" s="1" t="s">
        <v>28</v>
      </c>
      <c r="S14" s="1" t="s">
        <v>18</v>
      </c>
      <c r="T14" s="1" t="s">
        <v>18</v>
      </c>
      <c r="U14" s="22" t="s">
        <v>18</v>
      </c>
      <c r="V14" s="8"/>
    </row>
    <row r="15" spans="1:22" x14ac:dyDescent="0.3">
      <c r="A15" s="1" t="s">
        <v>134</v>
      </c>
      <c r="B15" s="1" t="s">
        <v>397</v>
      </c>
      <c r="D15" s="8">
        <v>0</v>
      </c>
      <c r="E15" s="9" t="s">
        <v>18</v>
      </c>
      <c r="F15" s="8">
        <v>0</v>
      </c>
      <c r="G15" s="9" t="s">
        <v>18</v>
      </c>
      <c r="H15" s="8">
        <v>0</v>
      </c>
      <c r="I15" s="8" t="s">
        <v>18</v>
      </c>
      <c r="J15" s="1">
        <v>1990</v>
      </c>
      <c r="N15" s="6">
        <v>2072</v>
      </c>
      <c r="O15" s="6">
        <v>100</v>
      </c>
      <c r="P15" s="21">
        <v>4.8262548262548263E-2</v>
      </c>
      <c r="Q15" s="1">
        <v>0</v>
      </c>
      <c r="R15" s="1" t="s">
        <v>28</v>
      </c>
      <c r="S15" s="1" t="s">
        <v>18</v>
      </c>
      <c r="T15" s="1" t="s">
        <v>18</v>
      </c>
      <c r="U15" s="22" t="s">
        <v>18</v>
      </c>
      <c r="V15" s="8"/>
    </row>
    <row r="16" spans="1:22" x14ac:dyDescent="0.3">
      <c r="A16" s="1" t="s">
        <v>134</v>
      </c>
      <c r="B16" s="1" t="s">
        <v>133</v>
      </c>
      <c r="D16" s="8">
        <v>483.03705196451205</v>
      </c>
      <c r="E16" s="9">
        <v>44</v>
      </c>
      <c r="F16" s="8">
        <v>524.59098859315588</v>
      </c>
      <c r="G16" s="9">
        <v>44</v>
      </c>
      <c r="H16" s="8">
        <v>560.59076045627376</v>
      </c>
      <c r="I16" s="8">
        <v>48</v>
      </c>
      <c r="J16" s="1">
        <v>1981</v>
      </c>
      <c r="N16" s="6">
        <v>3945</v>
      </c>
      <c r="O16" s="6">
        <v>4358</v>
      </c>
      <c r="P16" s="21">
        <v>1.1046894803548797</v>
      </c>
      <c r="Q16" s="1">
        <v>0</v>
      </c>
      <c r="R16" s="1" t="s">
        <v>1590</v>
      </c>
      <c r="S16" s="1" t="s">
        <v>18</v>
      </c>
      <c r="T16" s="1" t="s">
        <v>18</v>
      </c>
      <c r="U16" s="22" t="s">
        <v>18</v>
      </c>
      <c r="V16" s="8"/>
    </row>
    <row r="17" spans="1:22" x14ac:dyDescent="0.3">
      <c r="A17" s="1" t="s">
        <v>134</v>
      </c>
      <c r="B17" s="1" t="s">
        <v>133</v>
      </c>
      <c r="D17" s="8">
        <v>1904.9043850267381</v>
      </c>
      <c r="E17" s="9">
        <v>45</v>
      </c>
      <c r="F17" s="8">
        <v>1790.1931818181815</v>
      </c>
      <c r="G17" s="9">
        <v>45</v>
      </c>
      <c r="H17" s="8">
        <v>552.0743582887701</v>
      </c>
      <c r="I17" s="8">
        <v>47</v>
      </c>
      <c r="J17" s="1">
        <v>1973</v>
      </c>
      <c r="N17" s="6">
        <v>374</v>
      </c>
      <c r="O17" s="6">
        <v>4556</v>
      </c>
      <c r="P17" s="21">
        <v>12.181818181818182</v>
      </c>
      <c r="Q17" s="1">
        <v>46</v>
      </c>
      <c r="R17" s="1" t="s">
        <v>28</v>
      </c>
      <c r="S17" s="1" t="s">
        <v>18</v>
      </c>
      <c r="T17" s="1" t="s">
        <v>18</v>
      </c>
      <c r="U17" s="22" t="s">
        <v>18</v>
      </c>
      <c r="V17" s="8"/>
    </row>
    <row r="18" spans="1:22" x14ac:dyDescent="0.3">
      <c r="A18" s="1" t="s">
        <v>134</v>
      </c>
      <c r="B18" s="1" t="s">
        <v>133</v>
      </c>
      <c r="D18" s="8">
        <v>376.05929293469541</v>
      </c>
      <c r="E18" s="9">
        <v>42</v>
      </c>
      <c r="F18" s="8">
        <v>459.56467347702835</v>
      </c>
      <c r="G18" s="9">
        <v>43</v>
      </c>
      <c r="H18" s="8">
        <v>504.77734395892389</v>
      </c>
      <c r="I18" s="8">
        <v>46</v>
      </c>
      <c r="J18" s="1">
        <v>2003</v>
      </c>
      <c r="N18" s="6">
        <v>18697</v>
      </c>
      <c r="O18" s="6">
        <v>14957</v>
      </c>
      <c r="P18" s="21">
        <v>0.79996790929026051</v>
      </c>
      <c r="Q18" s="1">
        <v>0</v>
      </c>
      <c r="R18" s="1" t="s">
        <v>1589</v>
      </c>
      <c r="S18" s="1">
        <v>12</v>
      </c>
      <c r="T18" s="1" t="s">
        <v>18</v>
      </c>
      <c r="U18" s="22" t="s">
        <v>18</v>
      </c>
      <c r="V18" s="8"/>
    </row>
    <row r="19" spans="1:22" x14ac:dyDescent="0.3">
      <c r="A19" s="1" t="s">
        <v>134</v>
      </c>
      <c r="B19" s="1" t="s">
        <v>133</v>
      </c>
      <c r="D19" s="8">
        <v>439.57830018999368</v>
      </c>
      <c r="E19" s="9">
        <v>43</v>
      </c>
      <c r="F19" s="8">
        <v>449.52828752374921</v>
      </c>
      <c r="G19" s="9">
        <v>42</v>
      </c>
      <c r="H19" s="8">
        <v>459.87527042431918</v>
      </c>
      <c r="I19" s="8">
        <v>45</v>
      </c>
      <c r="J19" s="1">
        <v>1998</v>
      </c>
      <c r="N19" s="6">
        <v>7895</v>
      </c>
      <c r="O19" s="6">
        <v>6049</v>
      </c>
      <c r="P19" s="21">
        <v>0.76618112729575683</v>
      </c>
      <c r="Q19" s="1">
        <v>0</v>
      </c>
      <c r="R19" s="1" t="s">
        <v>1589</v>
      </c>
      <c r="S19" s="1">
        <v>26</v>
      </c>
      <c r="T19" s="1">
        <v>1.52</v>
      </c>
      <c r="U19" s="22">
        <v>43380</v>
      </c>
      <c r="V19" s="8"/>
    </row>
    <row r="20" spans="1:22" x14ac:dyDescent="0.3">
      <c r="A20" s="1" t="s">
        <v>134</v>
      </c>
      <c r="B20" s="1" t="s">
        <v>133</v>
      </c>
      <c r="D20" s="8" t="s">
        <v>18</v>
      </c>
      <c r="E20" s="9" t="s">
        <v>18</v>
      </c>
      <c r="F20" s="8" t="s">
        <v>18</v>
      </c>
      <c r="G20" s="9" t="s">
        <v>18</v>
      </c>
      <c r="H20" s="8">
        <v>418.27776601949836</v>
      </c>
      <c r="I20" s="8">
        <v>44</v>
      </c>
      <c r="J20" s="1">
        <v>2023</v>
      </c>
      <c r="N20" s="6">
        <v>12001</v>
      </c>
      <c r="O20" s="6">
        <v>7425</v>
      </c>
      <c r="P20" s="21">
        <v>0.61869844179651701</v>
      </c>
      <c r="Q20" s="1">
        <v>0</v>
      </c>
      <c r="R20" s="1" t="s">
        <v>1589</v>
      </c>
      <c r="S20" s="1">
        <v>4</v>
      </c>
      <c r="T20" s="1">
        <v>0.6</v>
      </c>
      <c r="U20" s="22">
        <v>44992</v>
      </c>
      <c r="V20" s="8"/>
    </row>
    <row r="21" spans="1:22" x14ac:dyDescent="0.3">
      <c r="A21" s="1" t="s">
        <v>134</v>
      </c>
      <c r="B21" s="1" t="s">
        <v>133</v>
      </c>
      <c r="D21" s="8">
        <v>308.40839637620252</v>
      </c>
      <c r="E21" s="9">
        <v>41</v>
      </c>
      <c r="F21" s="8">
        <v>335.00220416549922</v>
      </c>
      <c r="G21" s="9">
        <v>41</v>
      </c>
      <c r="H21" s="8">
        <v>388.41353320257775</v>
      </c>
      <c r="I21" s="8">
        <v>43</v>
      </c>
      <c r="J21" s="1">
        <v>1900</v>
      </c>
      <c r="K21" s="1" t="s">
        <v>47</v>
      </c>
      <c r="L21" s="1">
        <v>2019</v>
      </c>
      <c r="M21" s="1" t="s">
        <v>1601</v>
      </c>
      <c r="N21" s="6">
        <v>10707</v>
      </c>
      <c r="O21" s="6">
        <v>7167</v>
      </c>
      <c r="P21" s="21">
        <v>0.66937517511908096</v>
      </c>
      <c r="Q21" s="1">
        <v>16</v>
      </c>
      <c r="R21" s="1" t="s">
        <v>1589</v>
      </c>
      <c r="S21" s="1">
        <v>2</v>
      </c>
      <c r="T21" s="1">
        <v>0.70499999999999996</v>
      </c>
      <c r="U21" s="22">
        <v>43619</v>
      </c>
      <c r="V21" s="8"/>
    </row>
    <row r="22" spans="1:22" x14ac:dyDescent="0.3">
      <c r="A22" s="1" t="s">
        <v>134</v>
      </c>
      <c r="B22" s="1" t="s">
        <v>133</v>
      </c>
      <c r="D22" s="8">
        <v>281.41790948789202</v>
      </c>
      <c r="E22" s="9">
        <v>40</v>
      </c>
      <c r="F22" s="8">
        <v>334.49788487495039</v>
      </c>
      <c r="G22" s="9">
        <v>40</v>
      </c>
      <c r="H22" s="8">
        <v>352.59562842397781</v>
      </c>
      <c r="I22" s="8">
        <v>42</v>
      </c>
      <c r="J22" s="1">
        <v>1993</v>
      </c>
      <c r="K22" s="1" t="s">
        <v>19</v>
      </c>
      <c r="L22" s="1">
        <v>2018</v>
      </c>
      <c r="M22" s="1" t="s">
        <v>1601</v>
      </c>
      <c r="N22" s="6">
        <v>12595</v>
      </c>
      <c r="O22" s="6">
        <v>4334</v>
      </c>
      <c r="P22" s="21">
        <v>0.3441048034934498</v>
      </c>
      <c r="Q22" s="1">
        <v>0</v>
      </c>
      <c r="R22" s="1" t="s">
        <v>1590</v>
      </c>
      <c r="S22" s="1" t="s">
        <v>18</v>
      </c>
      <c r="T22" s="1">
        <v>0.88</v>
      </c>
      <c r="U22" s="22">
        <v>44126</v>
      </c>
      <c r="V22" s="8"/>
    </row>
    <row r="23" spans="1:22" x14ac:dyDescent="0.3">
      <c r="A23" s="1" t="s">
        <v>134</v>
      </c>
      <c r="B23" s="1" t="s">
        <v>133</v>
      </c>
      <c r="D23" s="8">
        <v>260.22903728327469</v>
      </c>
      <c r="E23" s="9">
        <v>37</v>
      </c>
      <c r="F23" s="8">
        <v>272.62285555990093</v>
      </c>
      <c r="G23" s="9">
        <v>37</v>
      </c>
      <c r="H23" s="8">
        <v>321.92853995567725</v>
      </c>
      <c r="I23" s="8">
        <v>41</v>
      </c>
      <c r="J23" s="1">
        <v>1998</v>
      </c>
      <c r="N23" s="6">
        <v>15342</v>
      </c>
      <c r="O23" s="6">
        <v>15200</v>
      </c>
      <c r="P23" s="21">
        <v>0.99074436188241433</v>
      </c>
      <c r="Q23" s="1">
        <v>0</v>
      </c>
      <c r="R23" s="1" t="s">
        <v>1589</v>
      </c>
      <c r="S23" s="1">
        <v>24</v>
      </c>
      <c r="T23" s="1" t="s">
        <v>18</v>
      </c>
      <c r="U23" s="22" t="s">
        <v>18</v>
      </c>
      <c r="V23" s="8"/>
    </row>
    <row r="24" spans="1:22" x14ac:dyDescent="0.3">
      <c r="A24" s="1" t="s">
        <v>134</v>
      </c>
      <c r="B24" s="1" t="s">
        <v>133</v>
      </c>
      <c r="D24" s="8">
        <v>266.40416518755177</v>
      </c>
      <c r="E24" s="9">
        <v>38</v>
      </c>
      <c r="F24" s="8">
        <v>288.53127440539578</v>
      </c>
      <c r="G24" s="9">
        <v>39</v>
      </c>
      <c r="H24" s="8">
        <v>312.5050999881671</v>
      </c>
      <c r="I24" s="8">
        <v>40</v>
      </c>
      <c r="J24" s="1">
        <v>2014</v>
      </c>
      <c r="N24" s="6">
        <v>16902</v>
      </c>
      <c r="O24" s="6">
        <v>14728</v>
      </c>
      <c r="P24" s="21">
        <v>0.87137616850076915</v>
      </c>
      <c r="Q24" s="1">
        <v>0</v>
      </c>
      <c r="R24" s="1" t="s">
        <v>28</v>
      </c>
      <c r="S24" s="1" t="s">
        <v>18</v>
      </c>
      <c r="T24" s="1" t="s">
        <v>18</v>
      </c>
      <c r="U24" s="22" t="s">
        <v>18</v>
      </c>
      <c r="V24" s="8"/>
    </row>
    <row r="25" spans="1:22" x14ac:dyDescent="0.3">
      <c r="A25" s="1" t="s">
        <v>134</v>
      </c>
      <c r="B25" s="1" t="s">
        <v>133</v>
      </c>
      <c r="D25" s="8">
        <v>277.82157146999128</v>
      </c>
      <c r="E25" s="9">
        <v>39</v>
      </c>
      <c r="F25" s="8">
        <v>287.57118005218905</v>
      </c>
      <c r="G25" s="9">
        <v>38</v>
      </c>
      <c r="H25" s="8">
        <v>295.11110466801972</v>
      </c>
      <c r="I25" s="8">
        <v>39</v>
      </c>
      <c r="J25" s="1">
        <v>1999</v>
      </c>
      <c r="N25" s="6">
        <v>17245</v>
      </c>
      <c r="O25" s="6">
        <v>15660</v>
      </c>
      <c r="P25" s="21">
        <v>0.90808930124673815</v>
      </c>
      <c r="Q25" s="1">
        <v>30</v>
      </c>
      <c r="R25" s="1" t="s">
        <v>1589</v>
      </c>
      <c r="S25" s="1">
        <v>23</v>
      </c>
      <c r="T25" s="1" t="s">
        <v>18</v>
      </c>
      <c r="U25" s="22" t="s">
        <v>18</v>
      </c>
      <c r="V25" s="8"/>
    </row>
    <row r="26" spans="1:22" x14ac:dyDescent="0.3">
      <c r="A26" s="1" t="s">
        <v>134</v>
      </c>
      <c r="B26" s="1" t="s">
        <v>133</v>
      </c>
      <c r="D26" s="8">
        <v>232.88028846153847</v>
      </c>
      <c r="E26" s="9">
        <v>33</v>
      </c>
      <c r="F26" s="8">
        <v>248.78304945054947</v>
      </c>
      <c r="G26" s="9">
        <v>34</v>
      </c>
      <c r="H26" s="8">
        <v>286.56535714285712</v>
      </c>
      <c r="I26" s="8">
        <v>38</v>
      </c>
      <c r="J26" s="1">
        <v>2002</v>
      </c>
      <c r="N26" s="6">
        <v>4368</v>
      </c>
      <c r="O26" s="6">
        <v>3848</v>
      </c>
      <c r="P26" s="21">
        <v>0.88095238095238093</v>
      </c>
      <c r="Q26" s="1">
        <v>0</v>
      </c>
      <c r="R26" s="1" t="s">
        <v>28</v>
      </c>
      <c r="S26" s="1" t="s">
        <v>18</v>
      </c>
      <c r="T26" s="1" t="s">
        <v>18</v>
      </c>
      <c r="U26" s="22" t="s">
        <v>18</v>
      </c>
      <c r="V26" s="8"/>
    </row>
    <row r="27" spans="1:22" x14ac:dyDescent="0.3">
      <c r="A27" s="1" t="s">
        <v>134</v>
      </c>
      <c r="B27" s="1" t="s">
        <v>133</v>
      </c>
      <c r="D27" s="8">
        <v>241.13261263985484</v>
      </c>
      <c r="E27" s="9">
        <v>36</v>
      </c>
      <c r="F27" s="8">
        <v>263.47926418707789</v>
      </c>
      <c r="G27" s="9">
        <v>36</v>
      </c>
      <c r="H27" s="8">
        <v>272.68886503376677</v>
      </c>
      <c r="I27" s="8">
        <v>37</v>
      </c>
      <c r="J27" s="1">
        <v>1988</v>
      </c>
      <c r="N27" s="6">
        <v>9921</v>
      </c>
      <c r="O27" s="6">
        <v>4353</v>
      </c>
      <c r="P27" s="21">
        <v>0.43876625340187481</v>
      </c>
      <c r="Q27" s="1">
        <v>0</v>
      </c>
      <c r="R27" s="1" t="s">
        <v>28</v>
      </c>
      <c r="S27" s="1" t="s">
        <v>18</v>
      </c>
      <c r="T27" s="1" t="s">
        <v>18</v>
      </c>
      <c r="U27" s="22" t="s">
        <v>18</v>
      </c>
      <c r="V27" s="8"/>
    </row>
    <row r="28" spans="1:22" x14ac:dyDescent="0.3">
      <c r="A28" s="1" t="s">
        <v>134</v>
      </c>
      <c r="B28" s="1" t="s">
        <v>133</v>
      </c>
      <c r="D28" s="8">
        <v>240.96129076202638</v>
      </c>
      <c r="E28" s="9">
        <v>35</v>
      </c>
      <c r="F28" s="8">
        <v>252.28299957428695</v>
      </c>
      <c r="G28" s="9">
        <v>35</v>
      </c>
      <c r="H28" s="8">
        <v>258.15342699020857</v>
      </c>
      <c r="I28" s="8">
        <v>36</v>
      </c>
      <c r="J28" s="1">
        <v>2000</v>
      </c>
      <c r="N28" s="6">
        <v>11745</v>
      </c>
      <c r="O28" s="6">
        <v>2593</v>
      </c>
      <c r="P28" s="21">
        <v>0.22077479778629203</v>
      </c>
      <c r="Q28" s="1">
        <v>0</v>
      </c>
      <c r="R28" s="1" t="s">
        <v>28</v>
      </c>
      <c r="S28" s="1" t="s">
        <v>18</v>
      </c>
      <c r="T28" s="1" t="s">
        <v>18</v>
      </c>
      <c r="U28" s="22" t="s">
        <v>18</v>
      </c>
      <c r="V28" s="8"/>
    </row>
    <row r="29" spans="1:22" x14ac:dyDescent="0.3">
      <c r="A29" s="1" t="s">
        <v>134</v>
      </c>
      <c r="B29" s="1" t="s">
        <v>133</v>
      </c>
      <c r="D29" s="8">
        <v>222.59050522139898</v>
      </c>
      <c r="E29" s="9">
        <v>31</v>
      </c>
      <c r="F29" s="8">
        <v>243.57465783793245</v>
      </c>
      <c r="G29" s="9">
        <v>33</v>
      </c>
      <c r="H29" s="8">
        <v>248.77376640802754</v>
      </c>
      <c r="I29" s="8">
        <v>35</v>
      </c>
      <c r="J29" s="1">
        <v>2001</v>
      </c>
      <c r="N29" s="6">
        <v>17141</v>
      </c>
      <c r="O29" s="6">
        <v>10400</v>
      </c>
      <c r="P29" s="21">
        <v>0.60673239600956774</v>
      </c>
      <c r="Q29" s="1">
        <v>0</v>
      </c>
      <c r="R29" s="1" t="s">
        <v>28</v>
      </c>
      <c r="S29" s="1" t="s">
        <v>18</v>
      </c>
      <c r="T29" s="1" t="s">
        <v>18</v>
      </c>
      <c r="U29" s="22" t="s">
        <v>18</v>
      </c>
      <c r="V29" s="8"/>
    </row>
    <row r="30" spans="1:22" x14ac:dyDescent="0.3">
      <c r="A30" s="1" t="s">
        <v>134</v>
      </c>
      <c r="B30" s="1" t="s">
        <v>133</v>
      </c>
      <c r="D30" s="8">
        <v>213.89964382946846</v>
      </c>
      <c r="E30" s="9">
        <v>30</v>
      </c>
      <c r="F30" s="8">
        <v>229.91833341202801</v>
      </c>
      <c r="G30" s="9">
        <v>32</v>
      </c>
      <c r="H30" s="8">
        <v>242.70798397354301</v>
      </c>
      <c r="I30" s="8">
        <v>34</v>
      </c>
      <c r="J30" s="1">
        <v>1935</v>
      </c>
      <c r="N30" s="6">
        <v>20543.53</v>
      </c>
      <c r="O30" s="6">
        <v>15000</v>
      </c>
      <c r="P30" s="21">
        <v>0.73015689124507821</v>
      </c>
      <c r="Q30" s="1">
        <v>0</v>
      </c>
      <c r="R30" s="1" t="s">
        <v>28</v>
      </c>
      <c r="S30" s="1" t="s">
        <v>18</v>
      </c>
      <c r="T30" s="1" t="s">
        <v>18</v>
      </c>
      <c r="U30" s="22" t="s">
        <v>18</v>
      </c>
      <c r="V30" s="8"/>
    </row>
    <row r="31" spans="1:22" x14ac:dyDescent="0.3">
      <c r="A31" s="1" t="s">
        <v>134</v>
      </c>
      <c r="B31" s="1" t="s">
        <v>133</v>
      </c>
      <c r="D31" s="8">
        <v>234.2847156626506</v>
      </c>
      <c r="E31" s="9">
        <v>34</v>
      </c>
      <c r="F31" s="8">
        <v>224.1404497991968</v>
      </c>
      <c r="G31" s="9">
        <v>31</v>
      </c>
      <c r="H31" s="8">
        <v>230.81339759036143</v>
      </c>
      <c r="I31" s="8">
        <v>33</v>
      </c>
      <c r="J31" s="1">
        <v>1996</v>
      </c>
      <c r="N31" s="6">
        <v>12450</v>
      </c>
      <c r="O31" s="6">
        <v>7000</v>
      </c>
      <c r="P31" s="21">
        <v>0.56224899598393574</v>
      </c>
      <c r="Q31" s="1">
        <v>19</v>
      </c>
      <c r="R31" s="1" t="s">
        <v>1589</v>
      </c>
      <c r="S31" s="1">
        <v>0</v>
      </c>
      <c r="T31" s="1" t="s">
        <v>18</v>
      </c>
      <c r="U31" s="22" t="s">
        <v>18</v>
      </c>
      <c r="V31" s="8"/>
    </row>
    <row r="32" spans="1:22" x14ac:dyDescent="0.3">
      <c r="A32" s="1" t="s">
        <v>134</v>
      </c>
      <c r="B32" s="1" t="s">
        <v>133</v>
      </c>
      <c r="D32" s="8">
        <v>105.00694019023054</v>
      </c>
      <c r="E32" s="9">
        <v>16</v>
      </c>
      <c r="F32" s="8">
        <v>113.46795743994841</v>
      </c>
      <c r="G32" s="9">
        <v>15</v>
      </c>
      <c r="H32" s="8">
        <v>222.10825004030309</v>
      </c>
      <c r="I32" s="8">
        <v>32</v>
      </c>
      <c r="J32" s="1">
        <v>2001</v>
      </c>
      <c r="N32" s="6">
        <v>12406</v>
      </c>
      <c r="O32" s="6">
        <v>5500</v>
      </c>
      <c r="P32" s="21">
        <v>0.44333387070772207</v>
      </c>
      <c r="Q32" s="1">
        <v>0</v>
      </c>
      <c r="R32" s="1" t="s">
        <v>28</v>
      </c>
      <c r="U32" s="22"/>
      <c r="V32" s="8"/>
    </row>
    <row r="33" spans="1:22" x14ac:dyDescent="0.3">
      <c r="A33" s="1" t="s">
        <v>134</v>
      </c>
      <c r="B33" s="1" t="s">
        <v>133</v>
      </c>
      <c r="D33" s="8">
        <v>185.91290990030723</v>
      </c>
      <c r="E33" s="9">
        <v>28</v>
      </c>
      <c r="F33" s="8">
        <v>206.40753840366168</v>
      </c>
      <c r="G33" s="9">
        <v>29</v>
      </c>
      <c r="H33" s="8">
        <v>218.52710828265094</v>
      </c>
      <c r="I33" s="8">
        <v>31</v>
      </c>
      <c r="J33" s="1">
        <v>2004</v>
      </c>
      <c r="N33" s="6">
        <v>15949</v>
      </c>
      <c r="O33" s="6">
        <v>13770</v>
      </c>
      <c r="P33" s="21">
        <v>0.86337701423286728</v>
      </c>
      <c r="Q33" s="1">
        <v>0</v>
      </c>
      <c r="R33" s="1" t="s">
        <v>28</v>
      </c>
      <c r="S33" s="1" t="s">
        <v>18</v>
      </c>
      <c r="T33" s="1" t="s">
        <v>18</v>
      </c>
      <c r="U33" s="22" t="s">
        <v>18</v>
      </c>
      <c r="V33" s="8"/>
    </row>
    <row r="34" spans="1:22" x14ac:dyDescent="0.3">
      <c r="A34" s="1" t="s">
        <v>134</v>
      </c>
      <c r="B34" s="1" t="s">
        <v>133</v>
      </c>
      <c r="D34" s="8">
        <v>182.85795490465932</v>
      </c>
      <c r="E34" s="9">
        <v>27</v>
      </c>
      <c r="F34" s="8">
        <v>208.51696303086598</v>
      </c>
      <c r="G34" s="9">
        <v>30</v>
      </c>
      <c r="H34" s="8">
        <v>216.55129819920148</v>
      </c>
      <c r="I34" s="8">
        <v>30</v>
      </c>
      <c r="J34" s="1">
        <v>1994</v>
      </c>
      <c r="N34" s="6">
        <v>16450.48</v>
      </c>
      <c r="O34" s="6">
        <v>4350</v>
      </c>
      <c r="P34" s="21">
        <v>0.26442997407978369</v>
      </c>
      <c r="Q34" s="1">
        <v>0</v>
      </c>
      <c r="R34" s="1" t="s">
        <v>28</v>
      </c>
      <c r="S34" s="1" t="s">
        <v>18</v>
      </c>
      <c r="T34" s="1" t="s">
        <v>18</v>
      </c>
      <c r="U34" s="22" t="s">
        <v>18</v>
      </c>
      <c r="V34" s="8"/>
    </row>
    <row r="35" spans="1:22" x14ac:dyDescent="0.3">
      <c r="A35" s="1" t="s">
        <v>134</v>
      </c>
      <c r="B35" s="1" t="s">
        <v>133</v>
      </c>
      <c r="D35" s="8">
        <v>205.26755428103237</v>
      </c>
      <c r="E35" s="9">
        <v>29</v>
      </c>
      <c r="F35" s="8">
        <v>198.81196231052849</v>
      </c>
      <c r="G35" s="9">
        <v>27</v>
      </c>
      <c r="H35" s="8">
        <v>213.10735354362967</v>
      </c>
      <c r="I35" s="8">
        <v>29</v>
      </c>
      <c r="J35" s="1">
        <v>1994</v>
      </c>
      <c r="N35" s="6">
        <v>24410</v>
      </c>
      <c r="O35" s="6">
        <v>12795</v>
      </c>
      <c r="P35" s="21">
        <v>0.52417042195821384</v>
      </c>
      <c r="Q35" s="1">
        <v>0</v>
      </c>
      <c r="R35" s="1" t="s">
        <v>1589</v>
      </c>
      <c r="S35" s="1">
        <v>2</v>
      </c>
      <c r="T35" s="1">
        <v>0.65</v>
      </c>
      <c r="U35" s="22">
        <v>44002</v>
      </c>
      <c r="V35" s="8"/>
    </row>
    <row r="36" spans="1:22" x14ac:dyDescent="0.3">
      <c r="A36" s="1" t="s">
        <v>134</v>
      </c>
      <c r="B36" s="1" t="s">
        <v>133</v>
      </c>
      <c r="D36" s="8">
        <v>174.9246211552888</v>
      </c>
      <c r="E36" s="9">
        <v>26</v>
      </c>
      <c r="F36" s="8">
        <v>181.40156939234808</v>
      </c>
      <c r="G36" s="9">
        <v>26</v>
      </c>
      <c r="H36" s="8">
        <v>195.64348087021756</v>
      </c>
      <c r="I36" s="8">
        <v>28</v>
      </c>
      <c r="J36" s="1">
        <v>2016</v>
      </c>
      <c r="N36" s="6">
        <v>19995</v>
      </c>
      <c r="O36" s="6">
        <v>10568</v>
      </c>
      <c r="P36" s="21">
        <v>0.5285321330332583</v>
      </c>
      <c r="Q36" s="1">
        <v>0</v>
      </c>
      <c r="R36" s="1" t="s">
        <v>1589</v>
      </c>
      <c r="S36" s="1">
        <v>3</v>
      </c>
      <c r="T36" s="1">
        <v>0.61</v>
      </c>
      <c r="U36" s="22">
        <v>44834</v>
      </c>
      <c r="V36" s="8"/>
    </row>
    <row r="37" spans="1:22" x14ac:dyDescent="0.3">
      <c r="A37" s="1" t="s">
        <v>134</v>
      </c>
      <c r="B37" s="1" t="s">
        <v>133</v>
      </c>
      <c r="D37" s="8">
        <v>151.52427523576668</v>
      </c>
      <c r="E37" s="9">
        <v>23</v>
      </c>
      <c r="F37" s="8">
        <v>162.69361683548726</v>
      </c>
      <c r="G37" s="9">
        <v>23</v>
      </c>
      <c r="H37" s="8">
        <v>185.60693328676214</v>
      </c>
      <c r="I37" s="8">
        <v>27</v>
      </c>
      <c r="J37" s="1">
        <v>1991</v>
      </c>
      <c r="N37" s="6">
        <v>5726</v>
      </c>
      <c r="O37" s="6">
        <v>2000</v>
      </c>
      <c r="P37" s="21">
        <v>0.34928396786587496</v>
      </c>
      <c r="Q37" s="1">
        <v>0</v>
      </c>
      <c r="R37" s="1" t="s">
        <v>28</v>
      </c>
      <c r="S37" s="1" t="s">
        <v>18</v>
      </c>
      <c r="T37" s="1" t="s">
        <v>18</v>
      </c>
      <c r="U37" s="22" t="s">
        <v>18</v>
      </c>
      <c r="V37" s="8"/>
    </row>
    <row r="38" spans="1:22" x14ac:dyDescent="0.3">
      <c r="A38" s="1" t="s">
        <v>134</v>
      </c>
      <c r="B38" s="1" t="s">
        <v>133</v>
      </c>
      <c r="D38" s="8">
        <v>128.52349503254538</v>
      </c>
      <c r="E38" s="9">
        <v>19</v>
      </c>
      <c r="F38" s="8">
        <v>148.07535525865023</v>
      </c>
      <c r="G38" s="9">
        <v>19</v>
      </c>
      <c r="H38" s="8">
        <v>185.5050565262076</v>
      </c>
      <c r="I38" s="8">
        <v>26</v>
      </c>
      <c r="J38" s="1">
        <v>2010</v>
      </c>
      <c r="N38" s="6">
        <v>14595</v>
      </c>
      <c r="O38" s="6">
        <v>10000</v>
      </c>
      <c r="P38" s="21">
        <v>0.68516615279205206</v>
      </c>
      <c r="Q38" s="1">
        <v>0</v>
      </c>
      <c r="R38" s="1" t="s">
        <v>28</v>
      </c>
      <c r="S38" s="1" t="s">
        <v>18</v>
      </c>
      <c r="T38" s="1" t="s">
        <v>18</v>
      </c>
      <c r="U38" s="22" t="s">
        <v>18</v>
      </c>
      <c r="V38" s="8"/>
    </row>
    <row r="39" spans="1:22" x14ac:dyDescent="0.3">
      <c r="A39" s="1" t="s">
        <v>134</v>
      </c>
      <c r="B39" s="1" t="s">
        <v>133</v>
      </c>
      <c r="D39" s="8">
        <v>148.10643894107599</v>
      </c>
      <c r="E39" s="9">
        <v>22</v>
      </c>
      <c r="F39" s="8">
        <v>173.72233988044408</v>
      </c>
      <c r="G39" s="9">
        <v>25</v>
      </c>
      <c r="H39" s="8">
        <v>184.28331340734417</v>
      </c>
      <c r="I39" s="8">
        <v>25</v>
      </c>
      <c r="J39" s="1">
        <v>1998</v>
      </c>
      <c r="N39" s="6">
        <v>11710</v>
      </c>
      <c r="O39" s="6">
        <v>5000</v>
      </c>
      <c r="P39" s="21">
        <v>0.42698548249359519</v>
      </c>
      <c r="Q39" s="1">
        <v>0</v>
      </c>
      <c r="R39" s="1" t="s">
        <v>1589</v>
      </c>
      <c r="S39" s="1">
        <v>35</v>
      </c>
      <c r="T39" s="1" t="s">
        <v>18</v>
      </c>
      <c r="U39" s="22" t="s">
        <v>18</v>
      </c>
      <c r="V39" s="8"/>
    </row>
    <row r="40" spans="1:22" x14ac:dyDescent="0.3">
      <c r="A40" s="1" t="s">
        <v>134</v>
      </c>
      <c r="B40" s="1" t="s">
        <v>133</v>
      </c>
      <c r="D40" s="8">
        <v>227.57747451343837</v>
      </c>
      <c r="E40" s="9">
        <v>32</v>
      </c>
      <c r="F40" s="8">
        <v>205.51883843064564</v>
      </c>
      <c r="G40" s="9">
        <v>28</v>
      </c>
      <c r="H40" s="8">
        <v>175.53550818659249</v>
      </c>
      <c r="I40" s="8">
        <v>24</v>
      </c>
      <c r="J40" s="1">
        <v>1988</v>
      </c>
      <c r="N40" s="6">
        <v>12948</v>
      </c>
      <c r="O40" s="6">
        <v>4050</v>
      </c>
      <c r="P40" s="21">
        <v>0.31278962001853566</v>
      </c>
      <c r="Q40" s="1">
        <v>0</v>
      </c>
      <c r="R40" s="1" t="s">
        <v>1589</v>
      </c>
      <c r="S40" s="1">
        <v>12</v>
      </c>
      <c r="T40" s="1" t="s">
        <v>18</v>
      </c>
      <c r="U40" s="22" t="s">
        <v>18</v>
      </c>
      <c r="V40" s="8"/>
    </row>
    <row r="41" spans="1:22" x14ac:dyDescent="0.3">
      <c r="A41" s="1" t="s">
        <v>134</v>
      </c>
      <c r="B41" s="1" t="s">
        <v>133</v>
      </c>
      <c r="D41" s="8">
        <v>161.27395215724988</v>
      </c>
      <c r="E41" s="9">
        <v>24</v>
      </c>
      <c r="F41" s="8">
        <v>160.88230162119589</v>
      </c>
      <c r="G41" s="9">
        <v>22</v>
      </c>
      <c r="H41" s="8">
        <v>166.06346235974686</v>
      </c>
      <c r="I41" s="8">
        <v>23</v>
      </c>
      <c r="J41" s="1">
        <v>2018</v>
      </c>
      <c r="N41" s="6">
        <v>18029.900000000001</v>
      </c>
      <c r="O41" s="6">
        <v>1917</v>
      </c>
      <c r="P41" s="21">
        <v>0.1063233850437329</v>
      </c>
      <c r="Q41" s="1">
        <v>0</v>
      </c>
      <c r="R41" s="1" t="s">
        <v>1787</v>
      </c>
      <c r="T41" s="1" t="s">
        <v>18</v>
      </c>
      <c r="U41" s="22" t="s">
        <v>18</v>
      </c>
      <c r="V41" s="8"/>
    </row>
    <row r="42" spans="1:22" x14ac:dyDescent="0.3">
      <c r="A42" s="1" t="s">
        <v>134</v>
      </c>
      <c r="B42" s="1" t="s">
        <v>133</v>
      </c>
      <c r="D42" s="8">
        <v>145.07555680857061</v>
      </c>
      <c r="E42" s="9">
        <v>20</v>
      </c>
      <c r="F42" s="8">
        <v>158.65219434263696</v>
      </c>
      <c r="G42" s="9">
        <v>21</v>
      </c>
      <c r="H42" s="8">
        <v>158.65219434263696</v>
      </c>
      <c r="I42" s="8">
        <v>22</v>
      </c>
      <c r="J42" s="1">
        <v>2011</v>
      </c>
      <c r="K42" s="1" t="s">
        <v>21</v>
      </c>
      <c r="L42" s="1">
        <v>2022</v>
      </c>
      <c r="M42" s="1" t="s">
        <v>1599</v>
      </c>
      <c r="N42" s="6">
        <v>10641</v>
      </c>
      <c r="O42" s="6">
        <v>2736</v>
      </c>
      <c r="P42" s="21">
        <v>0.25711869185226954</v>
      </c>
      <c r="Q42" s="1">
        <v>0</v>
      </c>
      <c r="R42" s="1" t="s">
        <v>28</v>
      </c>
      <c r="S42" s="1" t="s">
        <v>18</v>
      </c>
      <c r="T42" s="1" t="s">
        <v>18</v>
      </c>
      <c r="U42" s="22" t="s">
        <v>18</v>
      </c>
      <c r="V42" s="8"/>
    </row>
    <row r="43" spans="1:22" x14ac:dyDescent="0.3">
      <c r="A43" s="1" t="s">
        <v>134</v>
      </c>
      <c r="B43" s="1" t="s">
        <v>133</v>
      </c>
      <c r="D43" s="8">
        <v>127.69389878831076</v>
      </c>
      <c r="E43" s="9">
        <v>18</v>
      </c>
      <c r="F43" s="8">
        <v>136.2892729864576</v>
      </c>
      <c r="G43" s="9">
        <v>18</v>
      </c>
      <c r="H43" s="8">
        <v>157.50313613684961</v>
      </c>
      <c r="I43" s="8">
        <v>21</v>
      </c>
      <c r="J43" s="1">
        <v>1988</v>
      </c>
      <c r="N43" s="6">
        <v>14030</v>
      </c>
      <c r="O43" s="6">
        <v>10743</v>
      </c>
      <c r="P43" s="21">
        <v>0.76571632216678542</v>
      </c>
      <c r="Q43" s="1">
        <v>0</v>
      </c>
      <c r="R43" s="1" t="s">
        <v>28</v>
      </c>
      <c r="S43" s="1" t="s">
        <v>18</v>
      </c>
      <c r="T43" s="1" t="s">
        <v>18</v>
      </c>
      <c r="U43" s="22" t="s">
        <v>18</v>
      </c>
      <c r="V43" s="8"/>
    </row>
    <row r="44" spans="1:22" x14ac:dyDescent="0.3">
      <c r="A44" s="1" t="s">
        <v>134</v>
      </c>
      <c r="B44" s="1" t="s">
        <v>133</v>
      </c>
      <c r="D44" s="8">
        <v>146.15805914371597</v>
      </c>
      <c r="E44" s="9">
        <v>21</v>
      </c>
      <c r="F44" s="8">
        <v>150.85235112519297</v>
      </c>
      <c r="G44" s="9">
        <v>20</v>
      </c>
      <c r="H44" s="8">
        <v>149.72739946380696</v>
      </c>
      <c r="I44" s="8">
        <v>20</v>
      </c>
      <c r="J44" s="1">
        <v>2017</v>
      </c>
      <c r="K44" s="1" t="s">
        <v>19</v>
      </c>
      <c r="L44" s="1">
        <v>2023</v>
      </c>
      <c r="M44" s="1" t="s">
        <v>1783</v>
      </c>
      <c r="N44" s="6">
        <v>12309</v>
      </c>
      <c r="O44" s="6">
        <v>8157</v>
      </c>
      <c r="P44" s="21">
        <v>0.66268583962953931</v>
      </c>
      <c r="Q44" s="1">
        <v>0</v>
      </c>
      <c r="R44" s="1" t="s">
        <v>1787</v>
      </c>
      <c r="S44" s="1" t="s">
        <v>18</v>
      </c>
      <c r="T44" s="1" t="s">
        <v>18</v>
      </c>
      <c r="U44" s="22" t="s">
        <v>18</v>
      </c>
      <c r="V44" s="8"/>
    </row>
    <row r="45" spans="1:22" x14ac:dyDescent="0.3">
      <c r="A45" s="1" t="s">
        <v>134</v>
      </c>
      <c r="B45" s="1" t="s">
        <v>133</v>
      </c>
      <c r="D45" s="8">
        <v>126.82766662907409</v>
      </c>
      <c r="E45" s="9">
        <v>17</v>
      </c>
      <c r="F45" s="8">
        <v>126.90389308672607</v>
      </c>
      <c r="G45" s="9">
        <v>17</v>
      </c>
      <c r="H45" s="8">
        <v>142.00603360775909</v>
      </c>
      <c r="I45" s="8">
        <v>19</v>
      </c>
      <c r="J45" s="1">
        <v>2009</v>
      </c>
      <c r="K45" s="1" t="s">
        <v>21</v>
      </c>
      <c r="L45" s="1">
        <v>2023</v>
      </c>
      <c r="M45" s="1" t="s">
        <v>1783</v>
      </c>
      <c r="N45" s="6">
        <v>17734</v>
      </c>
      <c r="O45" s="6">
        <v>400</v>
      </c>
      <c r="P45" s="21">
        <v>2.2555543024698321E-2</v>
      </c>
      <c r="Q45" s="1">
        <v>0</v>
      </c>
      <c r="R45" s="1" t="s">
        <v>28</v>
      </c>
      <c r="S45" s="1" t="s">
        <v>18</v>
      </c>
      <c r="T45" s="1" t="s">
        <v>18</v>
      </c>
      <c r="U45" s="22" t="s">
        <v>18</v>
      </c>
      <c r="V45" s="8"/>
    </row>
    <row r="46" spans="1:22" x14ac:dyDescent="0.3">
      <c r="A46" s="1" t="s">
        <v>134</v>
      </c>
      <c r="B46" s="1" t="s">
        <v>133</v>
      </c>
      <c r="D46" s="8">
        <v>85.966085271317823</v>
      </c>
      <c r="E46" s="9">
        <v>8</v>
      </c>
      <c r="F46" s="8">
        <v>117.51254404510219</v>
      </c>
      <c r="G46" s="9">
        <v>16</v>
      </c>
      <c r="H46" s="8">
        <v>137.6702078928823</v>
      </c>
      <c r="I46" s="8">
        <v>18</v>
      </c>
      <c r="J46" s="1">
        <v>1982</v>
      </c>
      <c r="N46" s="6">
        <v>8514</v>
      </c>
      <c r="O46" s="6">
        <v>1352</v>
      </c>
      <c r="P46" s="21">
        <v>0.15879727507634483</v>
      </c>
      <c r="Q46" s="1">
        <v>15</v>
      </c>
      <c r="R46" s="1" t="s">
        <v>28</v>
      </c>
      <c r="S46" s="1" t="s">
        <v>18</v>
      </c>
      <c r="T46" s="1" t="s">
        <v>18</v>
      </c>
      <c r="U46" s="22" t="s">
        <v>18</v>
      </c>
      <c r="V46" s="8"/>
    </row>
    <row r="47" spans="1:22" x14ac:dyDescent="0.3">
      <c r="A47" s="1" t="s">
        <v>134</v>
      </c>
      <c r="B47" s="1" t="s">
        <v>133</v>
      </c>
      <c r="D47" s="8">
        <v>101.37985856950067</v>
      </c>
      <c r="E47" s="9">
        <v>14</v>
      </c>
      <c r="F47" s="8">
        <v>98.169648043184878</v>
      </c>
      <c r="G47" s="9">
        <v>12</v>
      </c>
      <c r="H47" s="8">
        <v>132.60323940620782</v>
      </c>
      <c r="I47" s="8">
        <v>17</v>
      </c>
      <c r="J47" s="1">
        <v>2004</v>
      </c>
      <c r="K47" s="1" t="s">
        <v>19</v>
      </c>
      <c r="L47" s="1">
        <v>2022</v>
      </c>
      <c r="M47" s="1" t="s">
        <v>1599</v>
      </c>
      <c r="N47" s="6">
        <v>18525</v>
      </c>
      <c r="O47" s="6">
        <v>12273</v>
      </c>
      <c r="P47" s="21">
        <v>0.66251012145748989</v>
      </c>
      <c r="Q47" s="1">
        <v>0</v>
      </c>
      <c r="R47" s="1" t="s">
        <v>28</v>
      </c>
      <c r="S47" s="1" t="s">
        <v>18</v>
      </c>
      <c r="T47" s="1">
        <v>0.72</v>
      </c>
      <c r="U47" s="22">
        <v>44904</v>
      </c>
      <c r="V47" s="8"/>
    </row>
    <row r="48" spans="1:22" x14ac:dyDescent="0.3">
      <c r="A48" s="1" t="s">
        <v>134</v>
      </c>
      <c r="B48" s="1" t="s">
        <v>133</v>
      </c>
      <c r="D48" s="8">
        <v>95.366690946930277</v>
      </c>
      <c r="E48" s="9">
        <v>12</v>
      </c>
      <c r="F48" s="8">
        <v>101.56932986472425</v>
      </c>
      <c r="G48" s="9">
        <v>14</v>
      </c>
      <c r="H48" s="8">
        <v>129.89358168574401</v>
      </c>
      <c r="I48" s="8">
        <v>16</v>
      </c>
      <c r="J48" s="1">
        <v>2005</v>
      </c>
      <c r="N48" s="6">
        <v>9610</v>
      </c>
      <c r="O48" s="6">
        <v>6000</v>
      </c>
      <c r="P48" s="21">
        <v>0.62434963579604574</v>
      </c>
      <c r="Q48" s="1">
        <v>0</v>
      </c>
      <c r="R48" s="1" t="s">
        <v>28</v>
      </c>
      <c r="S48" s="1" t="s">
        <v>18</v>
      </c>
      <c r="T48" s="1" t="s">
        <v>18</v>
      </c>
      <c r="U48" s="22" t="s">
        <v>18</v>
      </c>
      <c r="V48" s="8"/>
    </row>
    <row r="49" spans="1:22" x14ac:dyDescent="0.3">
      <c r="A49" s="1" t="s">
        <v>134</v>
      </c>
      <c r="B49" s="1" t="s">
        <v>133</v>
      </c>
      <c r="D49" s="8">
        <v>169.91594865827102</v>
      </c>
      <c r="E49" s="9">
        <v>25</v>
      </c>
      <c r="F49" s="8">
        <v>163.0698459517692</v>
      </c>
      <c r="G49" s="9">
        <v>24</v>
      </c>
      <c r="H49" s="8">
        <v>127.55876185318753</v>
      </c>
      <c r="I49" s="8">
        <v>15</v>
      </c>
      <c r="J49" s="1">
        <v>2003</v>
      </c>
      <c r="N49" s="6">
        <v>8679.1</v>
      </c>
      <c r="O49" s="6">
        <v>1779</v>
      </c>
      <c r="P49" s="21">
        <v>0.20497517023654527</v>
      </c>
      <c r="Q49" s="1">
        <v>0</v>
      </c>
      <c r="R49" s="1" t="s">
        <v>28</v>
      </c>
      <c r="S49" s="1" t="s">
        <v>18</v>
      </c>
      <c r="T49" s="1" t="s">
        <v>18</v>
      </c>
      <c r="U49" s="22" t="s">
        <v>18</v>
      </c>
      <c r="V49" s="8"/>
    </row>
    <row r="50" spans="1:22" x14ac:dyDescent="0.3">
      <c r="A50" s="1" t="s">
        <v>134</v>
      </c>
      <c r="B50" s="1" t="s">
        <v>133</v>
      </c>
      <c r="D50" s="8" t="s">
        <v>18</v>
      </c>
      <c r="E50" s="9" t="s">
        <v>18</v>
      </c>
      <c r="F50" s="8" t="s">
        <v>18</v>
      </c>
      <c r="G50" s="9" t="s">
        <v>18</v>
      </c>
      <c r="H50" s="8">
        <v>117.94760201121639</v>
      </c>
      <c r="I50" s="8">
        <v>14</v>
      </c>
      <c r="J50" s="1">
        <v>2022</v>
      </c>
      <c r="K50" s="1" t="s">
        <v>21</v>
      </c>
      <c r="L50" s="1">
        <v>2022</v>
      </c>
      <c r="M50" s="1" t="s">
        <v>1783</v>
      </c>
      <c r="N50" s="6">
        <v>15513</v>
      </c>
      <c r="O50" s="6">
        <v>182</v>
      </c>
      <c r="P50" s="21">
        <v>1.1732095661703088E-2</v>
      </c>
      <c r="Q50" s="1">
        <v>0</v>
      </c>
      <c r="R50" s="1" t="s">
        <v>28</v>
      </c>
      <c r="S50" s="1" t="s">
        <v>18</v>
      </c>
      <c r="T50" s="1" t="s">
        <v>18</v>
      </c>
      <c r="U50" s="22" t="s">
        <v>18</v>
      </c>
      <c r="V50" s="8"/>
    </row>
    <row r="51" spans="1:22" x14ac:dyDescent="0.3">
      <c r="A51" s="1" t="s">
        <v>134</v>
      </c>
      <c r="B51" s="1" t="s">
        <v>133</v>
      </c>
      <c r="D51" s="8">
        <v>91.310521524748722</v>
      </c>
      <c r="E51" s="9">
        <v>10</v>
      </c>
      <c r="F51" s="8">
        <v>96.112727100322402</v>
      </c>
      <c r="G51" s="9">
        <v>11</v>
      </c>
      <c r="H51" s="8">
        <v>111.16858714204437</v>
      </c>
      <c r="I51" s="8">
        <v>13</v>
      </c>
      <c r="J51" s="1">
        <v>2017</v>
      </c>
      <c r="K51" s="1" t="s">
        <v>47</v>
      </c>
      <c r="L51" s="1">
        <v>2015</v>
      </c>
      <c r="M51" s="1" t="s">
        <v>1598</v>
      </c>
      <c r="N51" s="6">
        <v>5273</v>
      </c>
      <c r="O51" s="6">
        <v>170</v>
      </c>
      <c r="P51" s="21">
        <v>3.223971173904798E-2</v>
      </c>
      <c r="Q51" s="1">
        <v>0</v>
      </c>
      <c r="R51" s="1" t="s">
        <v>28</v>
      </c>
      <c r="S51" s="1" t="s">
        <v>18</v>
      </c>
      <c r="T51" s="1" t="s">
        <v>18</v>
      </c>
      <c r="U51" s="22" t="s">
        <v>18</v>
      </c>
      <c r="V51" s="8"/>
    </row>
    <row r="52" spans="1:22" x14ac:dyDescent="0.3">
      <c r="A52" s="1" t="s">
        <v>134</v>
      </c>
      <c r="B52" s="1" t="s">
        <v>133</v>
      </c>
      <c r="D52" s="8">
        <v>104.89269245072518</v>
      </c>
      <c r="E52" s="9">
        <v>15</v>
      </c>
      <c r="F52" s="8">
        <v>100.0319561175158</v>
      </c>
      <c r="G52" s="9">
        <v>13</v>
      </c>
      <c r="H52" s="8">
        <v>106.24573075492749</v>
      </c>
      <c r="I52" s="8">
        <v>12</v>
      </c>
      <c r="J52" s="1">
        <v>1997</v>
      </c>
      <c r="N52" s="6">
        <v>16134</v>
      </c>
      <c r="O52" s="6">
        <v>777</v>
      </c>
      <c r="P52" s="21">
        <v>4.8159166976571216E-2</v>
      </c>
      <c r="Q52" s="1">
        <v>0</v>
      </c>
      <c r="R52" s="1" t="s">
        <v>28</v>
      </c>
      <c r="S52" s="1" t="s">
        <v>18</v>
      </c>
      <c r="T52" s="1" t="s">
        <v>18</v>
      </c>
      <c r="U52" s="22" t="s">
        <v>18</v>
      </c>
      <c r="V52" s="8"/>
    </row>
    <row r="53" spans="1:22" x14ac:dyDescent="0.3">
      <c r="A53" s="1" t="s">
        <v>134</v>
      </c>
      <c r="B53" s="1" t="s">
        <v>133</v>
      </c>
      <c r="D53" s="8">
        <v>91.463697333333329</v>
      </c>
      <c r="E53" s="9">
        <v>11</v>
      </c>
      <c r="F53" s="8">
        <v>94.648975333333325</v>
      </c>
      <c r="G53" s="9">
        <v>10</v>
      </c>
      <c r="H53" s="8">
        <v>96.942488666666677</v>
      </c>
      <c r="I53" s="8">
        <v>11</v>
      </c>
      <c r="J53" s="1">
        <v>2006</v>
      </c>
      <c r="N53" s="6">
        <v>15000</v>
      </c>
      <c r="O53" s="6">
        <v>12000</v>
      </c>
      <c r="P53" s="21">
        <v>0.8</v>
      </c>
      <c r="Q53" s="1">
        <v>0</v>
      </c>
      <c r="R53" s="1" t="s">
        <v>1821</v>
      </c>
      <c r="S53" s="1" t="s">
        <v>18</v>
      </c>
      <c r="T53" s="1" t="s">
        <v>18</v>
      </c>
      <c r="U53" s="22" t="s">
        <v>18</v>
      </c>
      <c r="V53" s="8"/>
    </row>
    <row r="54" spans="1:22" x14ac:dyDescent="0.3">
      <c r="A54" s="1" t="s">
        <v>134</v>
      </c>
      <c r="B54" s="1" t="s">
        <v>133</v>
      </c>
      <c r="D54" s="8">
        <v>73.421322592067995</v>
      </c>
      <c r="E54" s="9">
        <v>7</v>
      </c>
      <c r="F54" s="8">
        <v>91.113925283286108</v>
      </c>
      <c r="G54" s="9">
        <v>9</v>
      </c>
      <c r="H54" s="8">
        <v>95.01811083569406</v>
      </c>
      <c r="I54" s="8">
        <v>10</v>
      </c>
      <c r="J54" s="1">
        <v>2015</v>
      </c>
      <c r="K54" s="1" t="s">
        <v>47</v>
      </c>
      <c r="L54" s="1">
        <v>2015</v>
      </c>
      <c r="M54" s="1" t="s">
        <v>1598</v>
      </c>
      <c r="N54" s="6">
        <v>5648</v>
      </c>
      <c r="O54" s="6">
        <v>116</v>
      </c>
      <c r="P54" s="21">
        <v>2.0538243626062325E-2</v>
      </c>
      <c r="Q54" s="1">
        <v>0</v>
      </c>
      <c r="R54" s="1" t="s">
        <v>28</v>
      </c>
      <c r="S54" s="1" t="s">
        <v>18</v>
      </c>
      <c r="T54" s="1" t="s">
        <v>18</v>
      </c>
      <c r="U54" s="22" t="s">
        <v>18</v>
      </c>
      <c r="V54" s="8"/>
    </row>
    <row r="55" spans="1:22" x14ac:dyDescent="0.3">
      <c r="A55" s="1" t="s">
        <v>134</v>
      </c>
      <c r="B55" s="1" t="s">
        <v>133</v>
      </c>
      <c r="D55" s="8">
        <v>99.725874618953696</v>
      </c>
      <c r="E55" s="9">
        <v>13</v>
      </c>
      <c r="F55" s="8">
        <v>81.168699621537669</v>
      </c>
      <c r="G55" s="9">
        <v>8</v>
      </c>
      <c r="H55" s="8">
        <v>84.717880610920048</v>
      </c>
      <c r="I55" s="8">
        <v>9</v>
      </c>
      <c r="J55" s="1">
        <v>2015</v>
      </c>
      <c r="K55" s="1" t="s">
        <v>19</v>
      </c>
      <c r="L55" s="1">
        <v>2022</v>
      </c>
      <c r="M55" s="1" t="s">
        <v>1783</v>
      </c>
      <c r="N55" s="6">
        <v>21188.37</v>
      </c>
      <c r="O55" s="6">
        <v>12276</v>
      </c>
      <c r="P55" s="21">
        <v>0.57937443984600989</v>
      </c>
      <c r="Q55" s="1">
        <v>12</v>
      </c>
      <c r="R55" s="1" t="s">
        <v>1589</v>
      </c>
      <c r="S55" s="1">
        <v>6</v>
      </c>
      <c r="T55" s="1">
        <v>0.51</v>
      </c>
      <c r="U55" s="22">
        <v>44795</v>
      </c>
      <c r="V55" s="8"/>
    </row>
    <row r="56" spans="1:22" x14ac:dyDescent="0.3">
      <c r="A56" s="1" t="s">
        <v>134</v>
      </c>
      <c r="B56" s="1" t="s">
        <v>133</v>
      </c>
      <c r="D56" s="8">
        <v>43.234793852623852</v>
      </c>
      <c r="E56" s="9">
        <v>6</v>
      </c>
      <c r="F56" s="8">
        <v>45.733924173893406</v>
      </c>
      <c r="G56" s="9">
        <v>6</v>
      </c>
      <c r="H56" s="8">
        <v>53.207459832485412</v>
      </c>
      <c r="I56" s="8">
        <v>8</v>
      </c>
      <c r="J56" s="1">
        <v>2008</v>
      </c>
      <c r="N56" s="6">
        <v>141719</v>
      </c>
      <c r="O56" s="6">
        <v>6270</v>
      </c>
      <c r="P56" s="21">
        <v>4.4242479836860263E-2</v>
      </c>
      <c r="Q56" s="1">
        <v>26</v>
      </c>
      <c r="R56" s="1" t="s">
        <v>28</v>
      </c>
      <c r="S56" s="1" t="s">
        <v>18</v>
      </c>
      <c r="T56" s="1" t="s">
        <v>18</v>
      </c>
      <c r="U56" s="22" t="s">
        <v>18</v>
      </c>
      <c r="V56" s="8"/>
    </row>
    <row r="57" spans="1:22" x14ac:dyDescent="0.3">
      <c r="A57" s="1" t="s">
        <v>134</v>
      </c>
      <c r="B57" s="1" t="s">
        <v>133</v>
      </c>
      <c r="D57" s="8">
        <v>89.620207147375069</v>
      </c>
      <c r="E57" s="9">
        <v>9</v>
      </c>
      <c r="F57" s="8">
        <v>57.625988298545224</v>
      </c>
      <c r="G57" s="9">
        <v>7</v>
      </c>
      <c r="H57" s="8">
        <v>51.002494465528152</v>
      </c>
      <c r="I57" s="8">
        <v>7</v>
      </c>
      <c r="J57" s="1">
        <v>2015</v>
      </c>
      <c r="K57" s="1" t="s">
        <v>19</v>
      </c>
      <c r="L57" s="1">
        <v>2018</v>
      </c>
      <c r="M57" s="1" t="s">
        <v>1601</v>
      </c>
      <c r="N57" s="6">
        <v>12648</v>
      </c>
      <c r="O57" s="6">
        <v>12648</v>
      </c>
      <c r="P57" s="21">
        <v>1</v>
      </c>
      <c r="Q57" s="1">
        <v>0</v>
      </c>
      <c r="R57" s="1" t="s">
        <v>1589</v>
      </c>
      <c r="S57" s="1">
        <v>8</v>
      </c>
      <c r="T57" s="1">
        <v>380</v>
      </c>
      <c r="U57" s="22">
        <v>45128</v>
      </c>
      <c r="V57" s="8"/>
    </row>
    <row r="58" spans="1:22" x14ac:dyDescent="0.3">
      <c r="A58" s="1" t="s">
        <v>134</v>
      </c>
      <c r="B58" s="1" t="s">
        <v>133</v>
      </c>
      <c r="D58" s="8" t="s">
        <v>18</v>
      </c>
      <c r="E58" s="9" t="s">
        <v>18</v>
      </c>
      <c r="F58" s="8" t="s">
        <v>18</v>
      </c>
      <c r="G58" s="9" t="s">
        <v>18</v>
      </c>
      <c r="H58" s="8">
        <v>44.589004236944206</v>
      </c>
      <c r="I58" s="8">
        <v>6</v>
      </c>
      <c r="J58" s="1">
        <v>2027</v>
      </c>
      <c r="N58" s="6">
        <v>61601</v>
      </c>
      <c r="O58" s="6">
        <v>17401</v>
      </c>
      <c r="P58" s="21">
        <v>0.28247918053278354</v>
      </c>
      <c r="Q58" s="1">
        <v>60</v>
      </c>
      <c r="R58" s="1" t="s">
        <v>28</v>
      </c>
      <c r="S58" s="1" t="s">
        <v>18</v>
      </c>
      <c r="T58" s="1" t="s">
        <v>18</v>
      </c>
      <c r="U58" s="22" t="s">
        <v>18</v>
      </c>
      <c r="V58" s="8"/>
    </row>
    <row r="59" spans="1:22" x14ac:dyDescent="0.3">
      <c r="A59" s="1" t="s">
        <v>134</v>
      </c>
      <c r="B59" s="1" t="s">
        <v>133</v>
      </c>
      <c r="D59" s="8">
        <v>32.169291148412029</v>
      </c>
      <c r="E59" s="9">
        <v>5</v>
      </c>
      <c r="F59" s="8">
        <v>35.62843859437266</v>
      </c>
      <c r="G59" s="9">
        <v>5</v>
      </c>
      <c r="H59" s="8">
        <v>37.054401642313728</v>
      </c>
      <c r="I59" s="8">
        <v>5</v>
      </c>
      <c r="J59" s="1">
        <v>2003</v>
      </c>
      <c r="N59" s="6">
        <v>8281</v>
      </c>
      <c r="O59" s="6">
        <v>2008</v>
      </c>
      <c r="P59" s="21">
        <v>0.24248279193334138</v>
      </c>
      <c r="Q59" s="1">
        <v>0</v>
      </c>
      <c r="R59" s="1" t="s">
        <v>28</v>
      </c>
      <c r="S59" s="1" t="s">
        <v>18</v>
      </c>
      <c r="T59" s="1" t="s">
        <v>18</v>
      </c>
      <c r="U59" s="22" t="s">
        <v>18</v>
      </c>
      <c r="V59" s="8"/>
    </row>
    <row r="60" spans="1:22" x14ac:dyDescent="0.3">
      <c r="A60" s="1" t="s">
        <v>134</v>
      </c>
      <c r="B60" s="1" t="s">
        <v>133</v>
      </c>
      <c r="D60" s="8">
        <v>20.278763594733828</v>
      </c>
      <c r="E60" s="9">
        <v>3</v>
      </c>
      <c r="F60" s="8">
        <v>25.228391528334289</v>
      </c>
      <c r="G60" s="9">
        <v>4</v>
      </c>
      <c r="H60" s="8">
        <v>31.482541499713793</v>
      </c>
      <c r="I60" s="8">
        <v>4</v>
      </c>
      <c r="J60" s="1">
        <v>1997</v>
      </c>
      <c r="N60" s="6">
        <v>8735</v>
      </c>
      <c r="O60" s="6">
        <v>850</v>
      </c>
      <c r="P60" s="21">
        <v>9.7309673726388088E-2</v>
      </c>
      <c r="Q60" s="1">
        <v>3</v>
      </c>
      <c r="R60" s="1" t="s">
        <v>28</v>
      </c>
      <c r="S60" s="1" t="s">
        <v>18</v>
      </c>
      <c r="T60" s="1" t="s">
        <v>18</v>
      </c>
      <c r="U60" s="22" t="s">
        <v>18</v>
      </c>
      <c r="V60" s="8"/>
    </row>
    <row r="61" spans="1:22" x14ac:dyDescent="0.3">
      <c r="A61" s="1" t="s">
        <v>134</v>
      </c>
      <c r="B61" s="1" t="s">
        <v>133</v>
      </c>
      <c r="D61" s="8">
        <v>25.409390607528881</v>
      </c>
      <c r="E61" s="9">
        <v>4</v>
      </c>
      <c r="F61" s="8">
        <v>21.410734252702198</v>
      </c>
      <c r="G61" s="9">
        <v>3</v>
      </c>
      <c r="H61" s="8">
        <v>21.803950801341781</v>
      </c>
      <c r="I61" s="8">
        <v>3</v>
      </c>
      <c r="J61" s="1">
        <v>1984</v>
      </c>
      <c r="N61" s="6">
        <v>5366</v>
      </c>
      <c r="O61" s="6">
        <v>1500</v>
      </c>
      <c r="P61" s="21">
        <v>0.27953783078643307</v>
      </c>
      <c r="Q61" s="1">
        <v>0</v>
      </c>
      <c r="R61" s="1" t="s">
        <v>28</v>
      </c>
      <c r="S61" s="1" t="s">
        <v>18</v>
      </c>
      <c r="T61" s="1" t="s">
        <v>18</v>
      </c>
      <c r="U61" s="22" t="s">
        <v>18</v>
      </c>
      <c r="V61" s="8"/>
    </row>
    <row r="62" spans="1:22" x14ac:dyDescent="0.3">
      <c r="A62" s="1" t="s">
        <v>134</v>
      </c>
      <c r="B62" s="1" t="s">
        <v>133</v>
      </c>
      <c r="D62" s="8">
        <v>10.797344321556668</v>
      </c>
      <c r="E62" s="9">
        <v>2</v>
      </c>
      <c r="F62" s="8">
        <v>11.971111064691998</v>
      </c>
      <c r="G62" s="9">
        <v>2</v>
      </c>
      <c r="H62" s="8">
        <v>12.849267854531782</v>
      </c>
      <c r="I62" s="8">
        <v>2</v>
      </c>
      <c r="J62" s="1">
        <v>1993</v>
      </c>
      <c r="N62" s="6">
        <v>813841</v>
      </c>
      <c r="O62" s="6">
        <v>34800</v>
      </c>
      <c r="P62" s="21">
        <v>4.2760195173258658E-2</v>
      </c>
      <c r="Q62" s="1">
        <v>75</v>
      </c>
      <c r="R62" s="1" t="s">
        <v>1589</v>
      </c>
      <c r="S62" s="1" t="s">
        <v>18</v>
      </c>
      <c r="T62" s="1" t="s">
        <v>18</v>
      </c>
      <c r="U62" s="22" t="s">
        <v>18</v>
      </c>
      <c r="V62" s="8"/>
    </row>
    <row r="63" spans="1:22" x14ac:dyDescent="0.3">
      <c r="A63" s="1" t="s">
        <v>134</v>
      </c>
      <c r="B63" s="1" t="s">
        <v>133</v>
      </c>
      <c r="D63" s="8">
        <v>3.1244786966571918</v>
      </c>
      <c r="E63" s="9">
        <v>1</v>
      </c>
      <c r="F63" s="8">
        <v>4.362397006094942</v>
      </c>
      <c r="G63" s="9">
        <v>1</v>
      </c>
      <c r="H63" s="8">
        <v>5.1375470150226086</v>
      </c>
      <c r="I63" s="8">
        <v>1</v>
      </c>
      <c r="J63" s="1">
        <v>0</v>
      </c>
      <c r="N63" s="6">
        <v>207221</v>
      </c>
      <c r="O63" s="6">
        <v>4</v>
      </c>
      <c r="P63" s="21">
        <v>1.9303062913507803E-5</v>
      </c>
      <c r="Q63" s="1">
        <v>0</v>
      </c>
      <c r="R63" s="1" t="s">
        <v>28</v>
      </c>
      <c r="S63" s="1" t="s">
        <v>18</v>
      </c>
      <c r="T63" s="1" t="s">
        <v>18</v>
      </c>
      <c r="U63" s="22" t="s">
        <v>18</v>
      </c>
      <c r="V63" s="8"/>
    </row>
  </sheetData>
  <sheetProtection selectLockedCells="1" selectUnlockedCells="1"/>
  <autoFilter ref="A1:V63">
    <sortState ref="A2:X67">
      <sortCondition ref="A2:A67" customList="Commercial Building,Healthcare Facility,Educational Institution,Civic,Community &amp; Cultural Institution,Sports &amp; Recreation Centre"/>
      <sortCondition ref="B2:B67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C2:C67" customList="Large,Medium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Building Search</vt:lpstr>
      <vt:lpstr>Benchmarks</vt:lpstr>
      <vt:lpstr>All Buildings</vt:lpstr>
      <vt:lpstr>Commercial Buildings</vt:lpstr>
      <vt:lpstr>Healthcare Facility</vt:lpstr>
      <vt:lpstr>Educational Institution</vt:lpstr>
      <vt:lpstr>Civic, Community &amp; Cultural Ins</vt:lpstr>
      <vt:lpstr>Sports &amp; Recreation Centre</vt:lpstr>
      <vt:lpstr>'Building Search'!Print_Area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 Loke CHOO (BCA)</dc:creator>
  <cp:lastModifiedBy>Aakash yadav</cp:lastModifiedBy>
  <dcterms:created xsi:type="dcterms:W3CDTF">2022-12-15T03:31:03Z</dcterms:created>
  <dcterms:modified xsi:type="dcterms:W3CDTF">2024-06-23T06:56:51Z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434c4c7-833e-41e4-b0ab-cdb227a2f6f7_Enabled">
    <vt:lpwstr>true</vt:lpwstr>
  </property>
  <property fmtid="{D5CDD505-2E9C-101B-9397-08002B2CF9AE}" pid="3" name="MSIP_Label_5434c4c7-833e-41e4-b0ab-cdb227a2f6f7_SetDate">
    <vt:lpwstr>2024-01-04T02:04:36Z</vt:lpwstr>
  </property>
  <property fmtid="{D5CDD505-2E9C-101B-9397-08002B2CF9AE}" pid="4" name="MSIP_Label_5434c4c7-833e-41e4-b0ab-cdb227a2f6f7_Method">
    <vt:lpwstr>Privileged</vt:lpwstr>
  </property>
  <property fmtid="{D5CDD505-2E9C-101B-9397-08002B2CF9AE}" pid="5" name="MSIP_Label_5434c4c7-833e-41e4-b0ab-cdb227a2f6f7_Name">
    <vt:lpwstr>Official (Open)</vt:lpwstr>
  </property>
  <property fmtid="{D5CDD505-2E9C-101B-9397-08002B2CF9AE}" pid="6" name="MSIP_Label_5434c4c7-833e-41e4-b0ab-cdb227a2f6f7_SiteId">
    <vt:lpwstr>0b11c524-9a1c-4e1b-84cb-6336aefc2243</vt:lpwstr>
  </property>
  <property fmtid="{D5CDD505-2E9C-101B-9397-08002B2CF9AE}" pid="7" name="MSIP_Label_5434c4c7-833e-41e4-b0ab-cdb227a2f6f7_ActionId">
    <vt:lpwstr>7c925a8e-63b8-4fbf-9c57-2ba59466b4ec</vt:lpwstr>
  </property>
  <property fmtid="{D5CDD505-2E9C-101B-9397-08002B2CF9AE}" pid="8" name="MSIP_Label_5434c4c7-833e-41e4-b0ab-cdb227a2f6f7_ContentBits">
    <vt:lpwstr>0</vt:lpwstr>
  </property>
</Properties>
</file>